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2335" windowHeight="1075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AJ1002" i="3"/>
  <c r="AM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AJ947" i="3"/>
  <c r="AM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AJ921" i="3"/>
  <c r="AM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AJ914" i="3"/>
  <c r="AM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AJ912" i="3"/>
  <c r="AM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AJ910" i="3"/>
  <c r="AM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AJ892" i="3"/>
  <c r="AM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AJ890" i="3"/>
  <c r="AM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W864" i="2"/>
  <c r="V864" i="2"/>
  <c r="U864" i="2"/>
  <c r="T864" i="2"/>
  <c r="S864" i="2"/>
  <c r="R864" i="2"/>
  <c r="Q864" i="2"/>
  <c r="P864" i="2"/>
  <c r="O864" i="2"/>
  <c r="N864" i="2"/>
  <c r="M864" i="2"/>
  <c r="L864" i="2"/>
  <c r="W863" i="2"/>
  <c r="V863" i="2"/>
  <c r="U863" i="2"/>
  <c r="T863" i="2"/>
  <c r="S863" i="2"/>
  <c r="R863" i="2"/>
  <c r="Q863" i="2"/>
  <c r="P863" i="2"/>
  <c r="O863" i="2"/>
  <c r="N863" i="2"/>
  <c r="M863" i="2"/>
  <c r="AJ1003" i="3" s="1"/>
  <c r="AM1003" i="3" s="1"/>
  <c r="L863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W861" i="2"/>
  <c r="V861" i="2"/>
  <c r="U861" i="2"/>
  <c r="T861" i="2"/>
  <c r="S861" i="2"/>
  <c r="R861" i="2"/>
  <c r="Q861" i="2"/>
  <c r="P861" i="2"/>
  <c r="O861" i="2"/>
  <c r="N861" i="2"/>
  <c r="M861" i="2"/>
  <c r="AJ1001" i="3" s="1"/>
  <c r="AM1001" i="3" s="1"/>
  <c r="L861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W859" i="2"/>
  <c r="V859" i="2"/>
  <c r="U859" i="2"/>
  <c r="T859" i="2"/>
  <c r="S859" i="2"/>
  <c r="R859" i="2"/>
  <c r="Q859" i="2"/>
  <c r="P859" i="2"/>
  <c r="O859" i="2"/>
  <c r="N859" i="2"/>
  <c r="M859" i="2"/>
  <c r="AJ999" i="3" s="1"/>
  <c r="AM999" i="3" s="1"/>
  <c r="L859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W857" i="2"/>
  <c r="V857" i="2"/>
  <c r="U857" i="2"/>
  <c r="T857" i="2"/>
  <c r="S857" i="2"/>
  <c r="R857" i="2"/>
  <c r="Q857" i="2"/>
  <c r="P857" i="2"/>
  <c r="O857" i="2"/>
  <c r="N857" i="2"/>
  <c r="M857" i="2"/>
  <c r="AJ997" i="3" s="1"/>
  <c r="AM997" i="3" s="1"/>
  <c r="L857" i="2"/>
  <c r="W856" i="2"/>
  <c r="V856" i="2"/>
  <c r="U856" i="2"/>
  <c r="T856" i="2"/>
  <c r="S856" i="2"/>
  <c r="R856" i="2"/>
  <c r="Q856" i="2"/>
  <c r="P856" i="2"/>
  <c r="O856" i="2"/>
  <c r="N856" i="2"/>
  <c r="M856" i="2"/>
  <c r="AJ996" i="3" s="1"/>
  <c r="AM996" i="3" s="1"/>
  <c r="L856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W854" i="2"/>
  <c r="V854" i="2"/>
  <c r="U854" i="2"/>
  <c r="T854" i="2"/>
  <c r="S854" i="2"/>
  <c r="R854" i="2"/>
  <c r="Q854" i="2"/>
  <c r="P854" i="2"/>
  <c r="O854" i="2"/>
  <c r="N854" i="2"/>
  <c r="M854" i="2"/>
  <c r="AJ994" i="3" s="1"/>
  <c r="AM994" i="3" s="1"/>
  <c r="L854" i="2"/>
  <c r="W853" i="2"/>
  <c r="V853" i="2"/>
  <c r="U853" i="2"/>
  <c r="T853" i="2"/>
  <c r="S853" i="2"/>
  <c r="R853" i="2"/>
  <c r="Q853" i="2"/>
  <c r="P853" i="2"/>
  <c r="O853" i="2"/>
  <c r="N853" i="2"/>
  <c r="M853" i="2"/>
  <c r="AJ993" i="3" s="1"/>
  <c r="AM993" i="3" s="1"/>
  <c r="L853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W851" i="2"/>
  <c r="V851" i="2"/>
  <c r="U851" i="2"/>
  <c r="T851" i="2"/>
  <c r="S851" i="2"/>
  <c r="R851" i="2"/>
  <c r="Q851" i="2"/>
  <c r="P851" i="2"/>
  <c r="O851" i="2"/>
  <c r="N851" i="2"/>
  <c r="M851" i="2"/>
  <c r="AJ991" i="3" s="1"/>
  <c r="AM991" i="3" s="1"/>
  <c r="L851" i="2"/>
  <c r="W850" i="2"/>
  <c r="V850" i="2"/>
  <c r="U850" i="2"/>
  <c r="T850" i="2"/>
  <c r="S850" i="2"/>
  <c r="R850" i="2"/>
  <c r="Q850" i="2"/>
  <c r="P850" i="2"/>
  <c r="O850" i="2"/>
  <c r="N850" i="2"/>
  <c r="M850" i="2"/>
  <c r="AJ990" i="3" s="1"/>
  <c r="AM990" i="3" s="1"/>
  <c r="L850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W848" i="2"/>
  <c r="V848" i="2"/>
  <c r="U848" i="2"/>
  <c r="T848" i="2"/>
  <c r="S848" i="2"/>
  <c r="R848" i="2"/>
  <c r="Q848" i="2"/>
  <c r="P848" i="2"/>
  <c r="O848" i="2"/>
  <c r="N848" i="2"/>
  <c r="M848" i="2"/>
  <c r="AJ988" i="3" s="1"/>
  <c r="AM988" i="3" s="1"/>
  <c r="L848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W846" i="2"/>
  <c r="V846" i="2"/>
  <c r="U846" i="2"/>
  <c r="T846" i="2"/>
  <c r="S846" i="2"/>
  <c r="R846" i="2"/>
  <c r="Q846" i="2"/>
  <c r="P846" i="2"/>
  <c r="O846" i="2"/>
  <c r="N846" i="2"/>
  <c r="M846" i="2"/>
  <c r="AJ986" i="3" s="1"/>
  <c r="AM986" i="3" s="1"/>
  <c r="L846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W844" i="2"/>
  <c r="V844" i="2"/>
  <c r="U844" i="2"/>
  <c r="T844" i="2"/>
  <c r="S844" i="2"/>
  <c r="R844" i="2"/>
  <c r="Q844" i="2"/>
  <c r="P844" i="2"/>
  <c r="O844" i="2"/>
  <c r="N844" i="2"/>
  <c r="M844" i="2"/>
  <c r="AJ984" i="3" s="1"/>
  <c r="AM984" i="3" s="1"/>
  <c r="L844" i="2"/>
  <c r="W843" i="2"/>
  <c r="V843" i="2"/>
  <c r="U843" i="2"/>
  <c r="T843" i="2"/>
  <c r="S843" i="2"/>
  <c r="R843" i="2"/>
  <c r="Q843" i="2"/>
  <c r="P843" i="2"/>
  <c r="O843" i="2"/>
  <c r="N843" i="2"/>
  <c r="M843" i="2"/>
  <c r="AJ983" i="3" s="1"/>
  <c r="AM983" i="3" s="1"/>
  <c r="L843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W841" i="2"/>
  <c r="V841" i="2"/>
  <c r="U841" i="2"/>
  <c r="T841" i="2"/>
  <c r="S841" i="2"/>
  <c r="R841" i="2"/>
  <c r="Q841" i="2"/>
  <c r="P841" i="2"/>
  <c r="O841" i="2"/>
  <c r="N841" i="2"/>
  <c r="M841" i="2"/>
  <c r="AJ981" i="3" s="1"/>
  <c r="AM981" i="3" s="1"/>
  <c r="L841" i="2"/>
  <c r="W840" i="2"/>
  <c r="V840" i="2"/>
  <c r="U840" i="2"/>
  <c r="T840" i="2"/>
  <c r="S840" i="2"/>
  <c r="R840" i="2"/>
  <c r="Q840" i="2"/>
  <c r="P840" i="2"/>
  <c r="O840" i="2"/>
  <c r="N840" i="2"/>
  <c r="M840" i="2"/>
  <c r="AJ980" i="3" s="1"/>
  <c r="AM980" i="3" s="1"/>
  <c r="L840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W838" i="2"/>
  <c r="V838" i="2"/>
  <c r="U838" i="2"/>
  <c r="T838" i="2"/>
  <c r="S838" i="2"/>
  <c r="R838" i="2"/>
  <c r="Q838" i="2"/>
  <c r="P838" i="2"/>
  <c r="O838" i="2"/>
  <c r="N838" i="2"/>
  <c r="M838" i="2"/>
  <c r="AJ978" i="3" s="1"/>
  <c r="AM978" i="3" s="1"/>
  <c r="L838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W836" i="2"/>
  <c r="V836" i="2"/>
  <c r="U836" i="2"/>
  <c r="T836" i="2"/>
  <c r="S836" i="2"/>
  <c r="R836" i="2"/>
  <c r="Q836" i="2"/>
  <c r="P836" i="2"/>
  <c r="O836" i="2"/>
  <c r="N836" i="2"/>
  <c r="M836" i="2"/>
  <c r="L836" i="2"/>
  <c r="W835" i="2"/>
  <c r="V835" i="2"/>
  <c r="U835" i="2"/>
  <c r="T835" i="2"/>
  <c r="S835" i="2"/>
  <c r="R835" i="2"/>
  <c r="Q835" i="2"/>
  <c r="P835" i="2"/>
  <c r="O835" i="2"/>
  <c r="N835" i="2"/>
  <c r="M835" i="2"/>
  <c r="AJ975" i="3" s="1"/>
  <c r="AM975" i="3" s="1"/>
  <c r="L835" i="2"/>
  <c r="W834" i="2"/>
  <c r="V834" i="2"/>
  <c r="U834" i="2"/>
  <c r="T834" i="2"/>
  <c r="S834" i="2"/>
  <c r="R834" i="2"/>
  <c r="Q834" i="2"/>
  <c r="P834" i="2"/>
  <c r="O834" i="2"/>
  <c r="N834" i="2"/>
  <c r="M834" i="2"/>
  <c r="L834" i="2"/>
  <c r="W833" i="2"/>
  <c r="V833" i="2"/>
  <c r="U833" i="2"/>
  <c r="T833" i="2"/>
  <c r="S833" i="2"/>
  <c r="R833" i="2"/>
  <c r="Q833" i="2"/>
  <c r="P833" i="2"/>
  <c r="O833" i="2"/>
  <c r="N833" i="2"/>
  <c r="M833" i="2"/>
  <c r="L833" i="2"/>
  <c r="W832" i="2"/>
  <c r="V832" i="2"/>
  <c r="U832" i="2"/>
  <c r="T832" i="2"/>
  <c r="S832" i="2"/>
  <c r="R832" i="2"/>
  <c r="Q832" i="2"/>
  <c r="P832" i="2"/>
  <c r="O832" i="2"/>
  <c r="N832" i="2"/>
  <c r="M832" i="2"/>
  <c r="L832" i="2"/>
  <c r="W831" i="2"/>
  <c r="V831" i="2"/>
  <c r="U831" i="2"/>
  <c r="T831" i="2"/>
  <c r="S831" i="2"/>
  <c r="R831" i="2"/>
  <c r="Q831" i="2"/>
  <c r="P831" i="2"/>
  <c r="O831" i="2"/>
  <c r="N831" i="2"/>
  <c r="M831" i="2"/>
  <c r="AJ971" i="3" s="1"/>
  <c r="AM971" i="3" s="1"/>
  <c r="L831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W829" i="2"/>
  <c r="V829" i="2"/>
  <c r="U829" i="2"/>
  <c r="T829" i="2"/>
  <c r="S829" i="2"/>
  <c r="R829" i="2"/>
  <c r="Q829" i="2"/>
  <c r="P829" i="2"/>
  <c r="O829" i="2"/>
  <c r="N829" i="2"/>
  <c r="M829" i="2"/>
  <c r="AJ969" i="3" s="1"/>
  <c r="AM969" i="3" s="1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W827" i="2"/>
  <c r="V827" i="2"/>
  <c r="U827" i="2"/>
  <c r="T827" i="2"/>
  <c r="S827" i="2"/>
  <c r="R827" i="2"/>
  <c r="Q827" i="2"/>
  <c r="P827" i="2"/>
  <c r="O827" i="2"/>
  <c r="N827" i="2"/>
  <c r="M827" i="2"/>
  <c r="AJ967" i="3" s="1"/>
  <c r="AM967" i="3" s="1"/>
  <c r="L827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W825" i="2"/>
  <c r="V825" i="2"/>
  <c r="U825" i="2"/>
  <c r="T825" i="2"/>
  <c r="S825" i="2"/>
  <c r="R825" i="2"/>
  <c r="Q825" i="2"/>
  <c r="P825" i="2"/>
  <c r="O825" i="2"/>
  <c r="N825" i="2"/>
  <c r="M825" i="2"/>
  <c r="L825" i="2"/>
  <c r="W824" i="2"/>
  <c r="V824" i="2"/>
  <c r="U824" i="2"/>
  <c r="T824" i="2"/>
  <c r="S824" i="2"/>
  <c r="R824" i="2"/>
  <c r="Q824" i="2"/>
  <c r="P824" i="2"/>
  <c r="O824" i="2"/>
  <c r="N824" i="2"/>
  <c r="M824" i="2"/>
  <c r="L824" i="2"/>
  <c r="W823" i="2"/>
  <c r="V823" i="2"/>
  <c r="U823" i="2"/>
  <c r="T823" i="2"/>
  <c r="S823" i="2"/>
  <c r="R823" i="2"/>
  <c r="Q823" i="2"/>
  <c r="P823" i="2"/>
  <c r="O823" i="2"/>
  <c r="N823" i="2"/>
  <c r="M823" i="2"/>
  <c r="L823" i="2"/>
  <c r="W822" i="2"/>
  <c r="V822" i="2"/>
  <c r="U822" i="2"/>
  <c r="T822" i="2"/>
  <c r="S822" i="2"/>
  <c r="R822" i="2"/>
  <c r="Q822" i="2"/>
  <c r="P822" i="2"/>
  <c r="O822" i="2"/>
  <c r="N822" i="2"/>
  <c r="M822" i="2"/>
  <c r="L822" i="2"/>
  <c r="W821" i="2"/>
  <c r="V821" i="2"/>
  <c r="U821" i="2"/>
  <c r="T821" i="2"/>
  <c r="S821" i="2"/>
  <c r="R821" i="2"/>
  <c r="Q821" i="2"/>
  <c r="P821" i="2"/>
  <c r="O821" i="2"/>
  <c r="N821" i="2"/>
  <c r="M821" i="2"/>
  <c r="AJ961" i="3" s="1"/>
  <c r="AM961" i="3" s="1"/>
  <c r="L821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W819" i="2"/>
  <c r="V819" i="2"/>
  <c r="U819" i="2"/>
  <c r="T819" i="2"/>
  <c r="S819" i="2"/>
  <c r="R819" i="2"/>
  <c r="Q819" i="2"/>
  <c r="P819" i="2"/>
  <c r="O819" i="2"/>
  <c r="N819" i="2"/>
  <c r="M819" i="2"/>
  <c r="AJ959" i="3" s="1"/>
  <c r="AM959" i="3" s="1"/>
  <c r="L819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W817" i="2"/>
  <c r="V817" i="2"/>
  <c r="U817" i="2"/>
  <c r="T817" i="2"/>
  <c r="S817" i="2"/>
  <c r="R817" i="2"/>
  <c r="Q817" i="2"/>
  <c r="P817" i="2"/>
  <c r="O817" i="2"/>
  <c r="N817" i="2"/>
  <c r="M817" i="2"/>
  <c r="AJ957" i="3" s="1"/>
  <c r="AM957" i="3" s="1"/>
  <c r="L817" i="2"/>
  <c r="W816" i="2"/>
  <c r="V816" i="2"/>
  <c r="U816" i="2"/>
  <c r="T816" i="2"/>
  <c r="S816" i="2"/>
  <c r="R816" i="2"/>
  <c r="Q816" i="2"/>
  <c r="P816" i="2"/>
  <c r="O816" i="2"/>
  <c r="N816" i="2"/>
  <c r="M816" i="2"/>
  <c r="L816" i="2"/>
  <c r="W815" i="2"/>
  <c r="V815" i="2"/>
  <c r="U815" i="2"/>
  <c r="T815" i="2"/>
  <c r="S815" i="2"/>
  <c r="R815" i="2"/>
  <c r="Q815" i="2"/>
  <c r="P815" i="2"/>
  <c r="O815" i="2"/>
  <c r="N815" i="2"/>
  <c r="M815" i="2"/>
  <c r="AJ955" i="3" s="1"/>
  <c r="AM955" i="3" s="1"/>
  <c r="L815" i="2"/>
  <c r="W814" i="2"/>
  <c r="V814" i="2"/>
  <c r="U814" i="2"/>
  <c r="T814" i="2"/>
  <c r="S814" i="2"/>
  <c r="R814" i="2"/>
  <c r="Q814" i="2"/>
  <c r="P814" i="2"/>
  <c r="O814" i="2"/>
  <c r="N814" i="2"/>
  <c r="M814" i="2"/>
  <c r="AJ954" i="3" s="1"/>
  <c r="AM954" i="3" s="1"/>
  <c r="L814" i="2"/>
  <c r="W813" i="2"/>
  <c r="V813" i="2"/>
  <c r="U813" i="2"/>
  <c r="T813" i="2"/>
  <c r="S813" i="2"/>
  <c r="R813" i="2"/>
  <c r="Q813" i="2"/>
  <c r="P813" i="2"/>
  <c r="O813" i="2"/>
  <c r="N813" i="2"/>
  <c r="M813" i="2"/>
  <c r="L813" i="2"/>
  <c r="W812" i="2"/>
  <c r="V812" i="2"/>
  <c r="U812" i="2"/>
  <c r="T812" i="2"/>
  <c r="S812" i="2"/>
  <c r="R812" i="2"/>
  <c r="Q812" i="2"/>
  <c r="P812" i="2"/>
  <c r="O812" i="2"/>
  <c r="N812" i="2"/>
  <c r="M812" i="2"/>
  <c r="L812" i="2"/>
  <c r="W811" i="2"/>
  <c r="V811" i="2"/>
  <c r="U811" i="2"/>
  <c r="T811" i="2"/>
  <c r="S811" i="2"/>
  <c r="R811" i="2"/>
  <c r="Q811" i="2"/>
  <c r="P811" i="2"/>
  <c r="O811" i="2"/>
  <c r="N811" i="2"/>
  <c r="M811" i="2"/>
  <c r="L811" i="2"/>
  <c r="W810" i="2"/>
  <c r="V810" i="2"/>
  <c r="U810" i="2"/>
  <c r="T810" i="2"/>
  <c r="S810" i="2"/>
  <c r="R810" i="2"/>
  <c r="Q810" i="2"/>
  <c r="P810" i="2"/>
  <c r="O810" i="2"/>
  <c r="N810" i="2"/>
  <c r="M810" i="2"/>
  <c r="AJ950" i="3" s="1"/>
  <c r="AM950" i="3" s="1"/>
  <c r="L810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W808" i="2"/>
  <c r="V808" i="2"/>
  <c r="U808" i="2"/>
  <c r="T808" i="2"/>
  <c r="S808" i="2"/>
  <c r="R808" i="2"/>
  <c r="Q808" i="2"/>
  <c r="P808" i="2"/>
  <c r="O808" i="2"/>
  <c r="N808" i="2"/>
  <c r="M808" i="2"/>
  <c r="AJ948" i="3" s="1"/>
  <c r="AM948" i="3" s="1"/>
  <c r="L808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W806" i="2"/>
  <c r="V806" i="2"/>
  <c r="U806" i="2"/>
  <c r="T806" i="2"/>
  <c r="S806" i="2"/>
  <c r="R806" i="2"/>
  <c r="Q806" i="2"/>
  <c r="P806" i="2"/>
  <c r="O806" i="2"/>
  <c r="N806" i="2"/>
  <c r="M806" i="2"/>
  <c r="AJ946" i="3" s="1"/>
  <c r="AM946" i="3" s="1"/>
  <c r="L806" i="2"/>
  <c r="W805" i="2"/>
  <c r="V805" i="2"/>
  <c r="U805" i="2"/>
  <c r="T805" i="2"/>
  <c r="S805" i="2"/>
  <c r="R805" i="2"/>
  <c r="Q805" i="2"/>
  <c r="P805" i="2"/>
  <c r="O805" i="2"/>
  <c r="N805" i="2"/>
  <c r="M805" i="2"/>
  <c r="AJ945" i="3" s="1"/>
  <c r="AM945" i="3" s="1"/>
  <c r="L805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W803" i="2"/>
  <c r="V803" i="2"/>
  <c r="U803" i="2"/>
  <c r="T803" i="2"/>
  <c r="S803" i="2"/>
  <c r="R803" i="2"/>
  <c r="Q803" i="2"/>
  <c r="P803" i="2"/>
  <c r="O803" i="2"/>
  <c r="N803" i="2"/>
  <c r="M803" i="2"/>
  <c r="AJ943" i="3" s="1"/>
  <c r="AM943" i="3" s="1"/>
  <c r="L803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W801" i="2"/>
  <c r="V801" i="2"/>
  <c r="U801" i="2"/>
  <c r="T801" i="2"/>
  <c r="S801" i="2"/>
  <c r="R801" i="2"/>
  <c r="Q801" i="2"/>
  <c r="P801" i="2"/>
  <c r="O801" i="2"/>
  <c r="N801" i="2"/>
  <c r="M801" i="2"/>
  <c r="L801" i="2"/>
  <c r="W800" i="2"/>
  <c r="V800" i="2"/>
  <c r="U800" i="2"/>
  <c r="T800" i="2"/>
  <c r="S800" i="2"/>
  <c r="R800" i="2"/>
  <c r="Q800" i="2"/>
  <c r="P800" i="2"/>
  <c r="O800" i="2"/>
  <c r="N800" i="2"/>
  <c r="M800" i="2"/>
  <c r="L800" i="2"/>
  <c r="W799" i="2"/>
  <c r="V799" i="2"/>
  <c r="U799" i="2"/>
  <c r="T799" i="2"/>
  <c r="S799" i="2"/>
  <c r="R799" i="2"/>
  <c r="Q799" i="2"/>
  <c r="P799" i="2"/>
  <c r="O799" i="2"/>
  <c r="N799" i="2"/>
  <c r="M799" i="2"/>
  <c r="AJ939" i="3" s="1"/>
  <c r="AM939" i="3" s="1"/>
  <c r="L799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W797" i="2"/>
  <c r="V797" i="2"/>
  <c r="U797" i="2"/>
  <c r="T797" i="2"/>
  <c r="S797" i="2"/>
  <c r="R797" i="2"/>
  <c r="Q797" i="2"/>
  <c r="P797" i="2"/>
  <c r="O797" i="2"/>
  <c r="N797" i="2"/>
  <c r="M797" i="2"/>
  <c r="AJ937" i="3" s="1"/>
  <c r="AM937" i="3" s="1"/>
  <c r="L797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W795" i="2"/>
  <c r="V795" i="2"/>
  <c r="U795" i="2"/>
  <c r="T795" i="2"/>
  <c r="S795" i="2"/>
  <c r="R795" i="2"/>
  <c r="Q795" i="2"/>
  <c r="P795" i="2"/>
  <c r="O795" i="2"/>
  <c r="N795" i="2"/>
  <c r="M795" i="2"/>
  <c r="AJ935" i="3" s="1"/>
  <c r="AM935" i="3" s="1"/>
  <c r="L795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W793" i="2"/>
  <c r="V793" i="2"/>
  <c r="U793" i="2"/>
  <c r="T793" i="2"/>
  <c r="S793" i="2"/>
  <c r="R793" i="2"/>
  <c r="Q793" i="2"/>
  <c r="P793" i="2"/>
  <c r="O793" i="2"/>
  <c r="N793" i="2"/>
  <c r="M793" i="2"/>
  <c r="L793" i="2"/>
  <c r="W792" i="2"/>
  <c r="V792" i="2"/>
  <c r="U792" i="2"/>
  <c r="T792" i="2"/>
  <c r="S792" i="2"/>
  <c r="R792" i="2"/>
  <c r="Q792" i="2"/>
  <c r="P792" i="2"/>
  <c r="O792" i="2"/>
  <c r="N792" i="2"/>
  <c r="M792" i="2"/>
  <c r="L792" i="2"/>
  <c r="W791" i="2"/>
  <c r="V791" i="2"/>
  <c r="U791" i="2"/>
  <c r="T791" i="2"/>
  <c r="S791" i="2"/>
  <c r="R791" i="2"/>
  <c r="Q791" i="2"/>
  <c r="P791" i="2"/>
  <c r="O791" i="2"/>
  <c r="N791" i="2"/>
  <c r="M791" i="2"/>
  <c r="AJ931" i="3" s="1"/>
  <c r="AM931" i="3" s="1"/>
  <c r="L791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W789" i="2"/>
  <c r="V789" i="2"/>
  <c r="U789" i="2"/>
  <c r="T789" i="2"/>
  <c r="S789" i="2"/>
  <c r="R789" i="2"/>
  <c r="Q789" i="2"/>
  <c r="P789" i="2"/>
  <c r="O789" i="2"/>
  <c r="N789" i="2"/>
  <c r="M789" i="2"/>
  <c r="AJ929" i="3" s="1"/>
  <c r="AM929" i="3" s="1"/>
  <c r="L789" i="2"/>
  <c r="W788" i="2"/>
  <c r="V788" i="2"/>
  <c r="U788" i="2"/>
  <c r="T788" i="2"/>
  <c r="S788" i="2"/>
  <c r="R788" i="2"/>
  <c r="Q788" i="2"/>
  <c r="P788" i="2"/>
  <c r="O788" i="2"/>
  <c r="N788" i="2"/>
  <c r="M788" i="2"/>
  <c r="L788" i="2"/>
  <c r="W787" i="2"/>
  <c r="V787" i="2"/>
  <c r="U787" i="2"/>
  <c r="T787" i="2"/>
  <c r="S787" i="2"/>
  <c r="R787" i="2"/>
  <c r="Q787" i="2"/>
  <c r="P787" i="2"/>
  <c r="O787" i="2"/>
  <c r="N787" i="2"/>
  <c r="M787" i="2"/>
  <c r="AJ927" i="3" s="1"/>
  <c r="AM927" i="3" s="1"/>
  <c r="L787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W785" i="2"/>
  <c r="V785" i="2"/>
  <c r="U785" i="2"/>
  <c r="T785" i="2"/>
  <c r="S785" i="2"/>
  <c r="R785" i="2"/>
  <c r="Q785" i="2"/>
  <c r="P785" i="2"/>
  <c r="O785" i="2"/>
  <c r="N785" i="2"/>
  <c r="M785" i="2"/>
  <c r="L785" i="2"/>
  <c r="W784" i="2"/>
  <c r="V784" i="2"/>
  <c r="U784" i="2"/>
  <c r="T784" i="2"/>
  <c r="S784" i="2"/>
  <c r="R784" i="2"/>
  <c r="Q784" i="2"/>
  <c r="P784" i="2"/>
  <c r="O784" i="2"/>
  <c r="N784" i="2"/>
  <c r="M784" i="2"/>
  <c r="L784" i="2"/>
  <c r="W783" i="2"/>
  <c r="V783" i="2"/>
  <c r="U783" i="2"/>
  <c r="T783" i="2"/>
  <c r="S783" i="2"/>
  <c r="R783" i="2"/>
  <c r="Q783" i="2"/>
  <c r="P783" i="2"/>
  <c r="O783" i="2"/>
  <c r="N783" i="2"/>
  <c r="M783" i="2"/>
  <c r="AJ923" i="3" s="1"/>
  <c r="AM923" i="3" s="1"/>
  <c r="L783" i="2"/>
  <c r="W782" i="2"/>
  <c r="V782" i="2"/>
  <c r="U782" i="2"/>
  <c r="T782" i="2"/>
  <c r="S782" i="2"/>
  <c r="R782" i="2"/>
  <c r="Q782" i="2"/>
  <c r="P782" i="2"/>
  <c r="O782" i="2"/>
  <c r="N782" i="2"/>
  <c r="M782" i="2"/>
  <c r="L782" i="2"/>
  <c r="W781" i="2"/>
  <c r="V781" i="2"/>
  <c r="U781" i="2"/>
  <c r="T781" i="2"/>
  <c r="S781" i="2"/>
  <c r="R781" i="2"/>
  <c r="Q781" i="2"/>
  <c r="P781" i="2"/>
  <c r="O781" i="2"/>
  <c r="N781" i="2"/>
  <c r="M781" i="2"/>
  <c r="L781" i="2"/>
  <c r="W780" i="2"/>
  <c r="V780" i="2"/>
  <c r="U780" i="2"/>
  <c r="T780" i="2"/>
  <c r="S780" i="2"/>
  <c r="R780" i="2"/>
  <c r="Q780" i="2"/>
  <c r="P780" i="2"/>
  <c r="O780" i="2"/>
  <c r="N780" i="2"/>
  <c r="M780" i="2"/>
  <c r="L780" i="2"/>
  <c r="W779" i="2"/>
  <c r="V779" i="2"/>
  <c r="U779" i="2"/>
  <c r="T779" i="2"/>
  <c r="S779" i="2"/>
  <c r="R779" i="2"/>
  <c r="Q779" i="2"/>
  <c r="P779" i="2"/>
  <c r="O779" i="2"/>
  <c r="N779" i="2"/>
  <c r="M779" i="2"/>
  <c r="AJ919" i="3" s="1"/>
  <c r="AM919" i="3" s="1"/>
  <c r="L779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W777" i="2"/>
  <c r="V777" i="2"/>
  <c r="U777" i="2"/>
  <c r="T777" i="2"/>
  <c r="S777" i="2"/>
  <c r="R777" i="2"/>
  <c r="Q777" i="2"/>
  <c r="P777" i="2"/>
  <c r="O777" i="2"/>
  <c r="N777" i="2"/>
  <c r="M777" i="2"/>
  <c r="L777" i="2"/>
  <c r="W776" i="2"/>
  <c r="V776" i="2"/>
  <c r="U776" i="2"/>
  <c r="T776" i="2"/>
  <c r="S776" i="2"/>
  <c r="R776" i="2"/>
  <c r="Q776" i="2"/>
  <c r="P776" i="2"/>
  <c r="O776" i="2"/>
  <c r="N776" i="2"/>
  <c r="M776" i="2"/>
  <c r="AJ916" i="3" s="1"/>
  <c r="AM916" i="3" s="1"/>
  <c r="L776" i="2"/>
  <c r="W775" i="2"/>
  <c r="V775" i="2"/>
  <c r="U775" i="2"/>
  <c r="T775" i="2"/>
  <c r="S775" i="2"/>
  <c r="R775" i="2"/>
  <c r="Q775" i="2"/>
  <c r="P775" i="2"/>
  <c r="O775" i="2"/>
  <c r="N775" i="2"/>
  <c r="M775" i="2"/>
  <c r="L775" i="2"/>
  <c r="W774" i="2"/>
  <c r="V774" i="2"/>
  <c r="U774" i="2"/>
  <c r="T774" i="2"/>
  <c r="S774" i="2"/>
  <c r="R774" i="2"/>
  <c r="Q774" i="2"/>
  <c r="P774" i="2"/>
  <c r="O774" i="2"/>
  <c r="N774" i="2"/>
  <c r="M774" i="2"/>
  <c r="L774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W772" i="2"/>
  <c r="V772" i="2"/>
  <c r="U772" i="2"/>
  <c r="T772" i="2"/>
  <c r="S772" i="2"/>
  <c r="R772" i="2"/>
  <c r="Q772" i="2"/>
  <c r="P772" i="2"/>
  <c r="O772" i="2"/>
  <c r="N772" i="2"/>
  <c r="M772" i="2"/>
  <c r="L772" i="2"/>
  <c r="W771" i="2"/>
  <c r="V771" i="2"/>
  <c r="U771" i="2"/>
  <c r="T771" i="2"/>
  <c r="S771" i="2"/>
  <c r="R771" i="2"/>
  <c r="Q771" i="2"/>
  <c r="P771" i="2"/>
  <c r="O771" i="2"/>
  <c r="N771" i="2"/>
  <c r="M771" i="2"/>
  <c r="L771" i="2"/>
  <c r="W770" i="2"/>
  <c r="V770" i="2"/>
  <c r="U770" i="2"/>
  <c r="T770" i="2"/>
  <c r="S770" i="2"/>
  <c r="R770" i="2"/>
  <c r="Q770" i="2"/>
  <c r="P770" i="2"/>
  <c r="O770" i="2"/>
  <c r="N770" i="2"/>
  <c r="M770" i="2"/>
  <c r="L770" i="2"/>
  <c r="W769" i="2"/>
  <c r="V769" i="2"/>
  <c r="U769" i="2"/>
  <c r="T769" i="2"/>
  <c r="S769" i="2"/>
  <c r="R769" i="2"/>
  <c r="Q769" i="2"/>
  <c r="P769" i="2"/>
  <c r="O769" i="2"/>
  <c r="N769" i="2"/>
  <c r="M769" i="2"/>
  <c r="AJ909" i="3" s="1"/>
  <c r="AM909" i="3" s="1"/>
  <c r="L769" i="2"/>
  <c r="W768" i="2"/>
  <c r="V768" i="2"/>
  <c r="U768" i="2"/>
  <c r="T768" i="2"/>
  <c r="S768" i="2"/>
  <c r="R768" i="2"/>
  <c r="Q768" i="2"/>
  <c r="P768" i="2"/>
  <c r="O768" i="2"/>
  <c r="N768" i="2"/>
  <c r="M768" i="2"/>
  <c r="AJ908" i="3" s="1"/>
  <c r="AM908" i="3" s="1"/>
  <c r="L768" i="2"/>
  <c r="W767" i="2"/>
  <c r="V767" i="2"/>
  <c r="U767" i="2"/>
  <c r="T767" i="2"/>
  <c r="S767" i="2"/>
  <c r="R767" i="2"/>
  <c r="Q767" i="2"/>
  <c r="P767" i="2"/>
  <c r="O767" i="2"/>
  <c r="N767" i="2"/>
  <c r="M767" i="2"/>
  <c r="AJ907" i="3" s="1"/>
  <c r="AM907" i="3" s="1"/>
  <c r="L767" i="2"/>
  <c r="W766" i="2"/>
  <c r="V766" i="2"/>
  <c r="U766" i="2"/>
  <c r="T766" i="2"/>
  <c r="S766" i="2"/>
  <c r="R766" i="2"/>
  <c r="Q766" i="2"/>
  <c r="P766" i="2"/>
  <c r="O766" i="2"/>
  <c r="N766" i="2"/>
  <c r="M766" i="2"/>
  <c r="L766" i="2"/>
  <c r="W765" i="2"/>
  <c r="V765" i="2"/>
  <c r="U765" i="2"/>
  <c r="T765" i="2"/>
  <c r="S765" i="2"/>
  <c r="R765" i="2"/>
  <c r="Q765" i="2"/>
  <c r="P765" i="2"/>
  <c r="O765" i="2"/>
  <c r="N765" i="2"/>
  <c r="M765" i="2"/>
  <c r="AJ905" i="3" s="1"/>
  <c r="AM905" i="3" s="1"/>
  <c r="L765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W763" i="2"/>
  <c r="V763" i="2"/>
  <c r="U763" i="2"/>
  <c r="T763" i="2"/>
  <c r="S763" i="2"/>
  <c r="R763" i="2"/>
  <c r="Q763" i="2"/>
  <c r="P763" i="2"/>
  <c r="O763" i="2"/>
  <c r="N763" i="2"/>
  <c r="M763" i="2"/>
  <c r="AJ903" i="3" s="1"/>
  <c r="AM903" i="3" s="1"/>
  <c r="L763" i="2"/>
  <c r="W762" i="2"/>
  <c r="V762" i="2"/>
  <c r="U762" i="2"/>
  <c r="T762" i="2"/>
  <c r="S762" i="2"/>
  <c r="R762" i="2"/>
  <c r="Q762" i="2"/>
  <c r="P762" i="2"/>
  <c r="O762" i="2"/>
  <c r="N762" i="2"/>
  <c r="M762" i="2"/>
  <c r="AJ902" i="3" s="1"/>
  <c r="AM902" i="3" s="1"/>
  <c r="L762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W760" i="2"/>
  <c r="V760" i="2"/>
  <c r="U760" i="2"/>
  <c r="T760" i="2"/>
  <c r="S760" i="2"/>
  <c r="R760" i="2"/>
  <c r="Q760" i="2"/>
  <c r="P760" i="2"/>
  <c r="O760" i="2"/>
  <c r="N760" i="2"/>
  <c r="M760" i="2"/>
  <c r="AJ900" i="3" s="1"/>
  <c r="AM900" i="3" s="1"/>
  <c r="L760" i="2"/>
  <c r="W759" i="2"/>
  <c r="V759" i="2"/>
  <c r="U759" i="2"/>
  <c r="T759" i="2"/>
  <c r="S759" i="2"/>
  <c r="R759" i="2"/>
  <c r="Q759" i="2"/>
  <c r="P759" i="2"/>
  <c r="O759" i="2"/>
  <c r="N759" i="2"/>
  <c r="M759" i="2"/>
  <c r="AJ899" i="3" s="1"/>
  <c r="AM899" i="3" s="1"/>
  <c r="L759" i="2"/>
  <c r="W758" i="2"/>
  <c r="V758" i="2"/>
  <c r="U758" i="2"/>
  <c r="T758" i="2"/>
  <c r="S758" i="2"/>
  <c r="R758" i="2"/>
  <c r="Q758" i="2"/>
  <c r="P758" i="2"/>
  <c r="O758" i="2"/>
  <c r="N758" i="2"/>
  <c r="M758" i="2"/>
  <c r="AJ898" i="3" s="1"/>
  <c r="AM898" i="3" s="1"/>
  <c r="L758" i="2"/>
  <c r="W757" i="2"/>
  <c r="V757" i="2"/>
  <c r="U757" i="2"/>
  <c r="T757" i="2"/>
  <c r="S757" i="2"/>
  <c r="R757" i="2"/>
  <c r="Q757" i="2"/>
  <c r="P757" i="2"/>
  <c r="O757" i="2"/>
  <c r="N757" i="2"/>
  <c r="M757" i="2"/>
  <c r="AJ897" i="3" s="1"/>
  <c r="AM897" i="3" s="1"/>
  <c r="L757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W755" i="2"/>
  <c r="V755" i="2"/>
  <c r="U755" i="2"/>
  <c r="T755" i="2"/>
  <c r="S755" i="2"/>
  <c r="R755" i="2"/>
  <c r="Q755" i="2"/>
  <c r="P755" i="2"/>
  <c r="O755" i="2"/>
  <c r="N755" i="2"/>
  <c r="M755" i="2"/>
  <c r="AJ895" i="3" s="1"/>
  <c r="AM895" i="3" s="1"/>
  <c r="L755" i="2"/>
  <c r="W754" i="2"/>
  <c r="V754" i="2"/>
  <c r="U754" i="2"/>
  <c r="T754" i="2"/>
  <c r="S754" i="2"/>
  <c r="R754" i="2"/>
  <c r="Q754" i="2"/>
  <c r="P754" i="2"/>
  <c r="O754" i="2"/>
  <c r="N754" i="2"/>
  <c r="M754" i="2"/>
  <c r="AJ894" i="3" s="1"/>
  <c r="AM894" i="3" s="1"/>
  <c r="L754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W752" i="2"/>
  <c r="V752" i="2"/>
  <c r="U752" i="2"/>
  <c r="T752" i="2"/>
  <c r="S752" i="2"/>
  <c r="R752" i="2"/>
  <c r="Q752" i="2"/>
  <c r="P752" i="2"/>
  <c r="O752" i="2"/>
  <c r="N752" i="2"/>
  <c r="M752" i="2"/>
  <c r="L752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W750" i="2"/>
  <c r="V750" i="2"/>
  <c r="U750" i="2"/>
  <c r="T750" i="2"/>
  <c r="S750" i="2"/>
  <c r="R750" i="2"/>
  <c r="Q750" i="2"/>
  <c r="P750" i="2"/>
  <c r="O750" i="2"/>
  <c r="N750" i="2"/>
  <c r="M750" i="2"/>
  <c r="L750" i="2"/>
  <c r="W749" i="2"/>
  <c r="V749" i="2"/>
  <c r="U749" i="2"/>
  <c r="T749" i="2"/>
  <c r="S749" i="2"/>
  <c r="R749" i="2"/>
  <c r="Q749" i="2"/>
  <c r="P749" i="2"/>
  <c r="O749" i="2"/>
  <c r="N749" i="2"/>
  <c r="M749" i="2"/>
  <c r="AJ889" i="3" s="1"/>
  <c r="AM889" i="3" s="1"/>
  <c r="L749" i="2"/>
  <c r="W748" i="2"/>
  <c r="V748" i="2"/>
  <c r="U748" i="2"/>
  <c r="T748" i="2"/>
  <c r="S748" i="2"/>
  <c r="R748" i="2"/>
  <c r="Q748" i="2"/>
  <c r="P748" i="2"/>
  <c r="O748" i="2"/>
  <c r="N748" i="2"/>
  <c r="M748" i="2"/>
  <c r="AJ888" i="3" s="1"/>
  <c r="AM888" i="3" s="1"/>
  <c r="L748" i="2"/>
  <c r="W747" i="2"/>
  <c r="V747" i="2"/>
  <c r="U747" i="2"/>
  <c r="T747" i="2"/>
  <c r="S747" i="2"/>
  <c r="R747" i="2"/>
  <c r="Q747" i="2"/>
  <c r="P747" i="2"/>
  <c r="O747" i="2"/>
  <c r="N747" i="2"/>
  <c r="M747" i="2"/>
  <c r="AJ887" i="3" s="1"/>
  <c r="AM887" i="3" s="1"/>
  <c r="L747" i="2"/>
  <c r="W746" i="2"/>
  <c r="V746" i="2"/>
  <c r="U746" i="2"/>
  <c r="T746" i="2"/>
  <c r="S746" i="2"/>
  <c r="R746" i="2"/>
  <c r="Q746" i="2"/>
  <c r="P746" i="2"/>
  <c r="O746" i="2"/>
  <c r="N746" i="2"/>
  <c r="M746" i="2"/>
  <c r="L746" i="2"/>
  <c r="W745" i="2"/>
  <c r="V745" i="2"/>
  <c r="U745" i="2"/>
  <c r="T745" i="2"/>
  <c r="S745" i="2"/>
  <c r="R745" i="2"/>
  <c r="Q745" i="2"/>
  <c r="P745" i="2"/>
  <c r="O745" i="2"/>
  <c r="N745" i="2"/>
  <c r="M745" i="2"/>
  <c r="AJ885" i="3" s="1"/>
  <c r="AM885" i="3" s="1"/>
  <c r="L745" i="2"/>
  <c r="W744" i="2"/>
  <c r="V744" i="2"/>
  <c r="U744" i="2"/>
  <c r="T744" i="2"/>
  <c r="S744" i="2"/>
  <c r="R744" i="2"/>
  <c r="Q744" i="2"/>
  <c r="P744" i="2"/>
  <c r="O744" i="2"/>
  <c r="N744" i="2"/>
  <c r="M744" i="2"/>
  <c r="AJ884" i="3" s="1"/>
  <c r="AM884" i="3" s="1"/>
  <c r="L744" i="2"/>
  <c r="W743" i="2"/>
  <c r="V743" i="2"/>
  <c r="U743" i="2"/>
  <c r="T743" i="2"/>
  <c r="S743" i="2"/>
  <c r="R743" i="2"/>
  <c r="Q743" i="2"/>
  <c r="P743" i="2"/>
  <c r="O743" i="2"/>
  <c r="N743" i="2"/>
  <c r="M743" i="2"/>
  <c r="AJ883" i="3" s="1"/>
  <c r="AM883" i="3" s="1"/>
  <c r="L743" i="2"/>
  <c r="W742" i="2"/>
  <c r="V742" i="2"/>
  <c r="U742" i="2"/>
  <c r="T742" i="2"/>
  <c r="S742" i="2"/>
  <c r="R742" i="2"/>
  <c r="Q742" i="2"/>
  <c r="P742" i="2"/>
  <c r="O742" i="2"/>
  <c r="N742" i="2"/>
  <c r="M742" i="2"/>
  <c r="AJ882" i="3" s="1"/>
  <c r="AM882" i="3" s="1"/>
  <c r="L742" i="2"/>
  <c r="W741" i="2"/>
  <c r="V741" i="2"/>
  <c r="U741" i="2"/>
  <c r="T741" i="2"/>
  <c r="S741" i="2"/>
  <c r="R741" i="2"/>
  <c r="Q741" i="2"/>
  <c r="P741" i="2"/>
  <c r="O741" i="2"/>
  <c r="N741" i="2"/>
  <c r="M741" i="2"/>
  <c r="AJ881" i="3" s="1"/>
  <c r="AM881" i="3" s="1"/>
  <c r="L741" i="2"/>
  <c r="W740" i="2"/>
  <c r="V740" i="2"/>
  <c r="U740" i="2"/>
  <c r="T740" i="2"/>
  <c r="S740" i="2"/>
  <c r="R740" i="2"/>
  <c r="Q740" i="2"/>
  <c r="P740" i="2"/>
  <c r="O740" i="2"/>
  <c r="N740" i="2"/>
  <c r="M740" i="2"/>
  <c r="L740" i="2"/>
  <c r="W739" i="2"/>
  <c r="V739" i="2"/>
  <c r="U739" i="2"/>
  <c r="T739" i="2"/>
  <c r="S739" i="2"/>
  <c r="R739" i="2"/>
  <c r="Q739" i="2"/>
  <c r="P739" i="2"/>
  <c r="O739" i="2"/>
  <c r="N739" i="2"/>
  <c r="M739" i="2"/>
  <c r="L739" i="2"/>
  <c r="W738" i="2"/>
  <c r="V738" i="2"/>
  <c r="U738" i="2"/>
  <c r="T738" i="2"/>
  <c r="S738" i="2"/>
  <c r="R738" i="2"/>
  <c r="Q738" i="2"/>
  <c r="P738" i="2"/>
  <c r="O738" i="2"/>
  <c r="N738" i="2"/>
  <c r="M738" i="2"/>
  <c r="AJ878" i="3" s="1"/>
  <c r="AM878" i="3" s="1"/>
  <c r="L738" i="2"/>
  <c r="W737" i="2"/>
  <c r="V737" i="2"/>
  <c r="U737" i="2"/>
  <c r="T737" i="2"/>
  <c r="S737" i="2"/>
  <c r="R737" i="2"/>
  <c r="Q737" i="2"/>
  <c r="P737" i="2"/>
  <c r="O737" i="2"/>
  <c r="N737" i="2"/>
  <c r="M737" i="2"/>
  <c r="L737" i="2"/>
  <c r="W736" i="2"/>
  <c r="V736" i="2"/>
  <c r="U736" i="2"/>
  <c r="T736" i="2"/>
  <c r="S736" i="2"/>
  <c r="R736" i="2"/>
  <c r="Q736" i="2"/>
  <c r="P736" i="2"/>
  <c r="O736" i="2"/>
  <c r="N736" i="2"/>
  <c r="M736" i="2"/>
  <c r="AJ876" i="3" s="1"/>
  <c r="AM876" i="3" s="1"/>
  <c r="L736" i="2"/>
  <c r="W735" i="2"/>
  <c r="V735" i="2"/>
  <c r="U735" i="2"/>
  <c r="T735" i="2"/>
  <c r="S735" i="2"/>
  <c r="R735" i="2"/>
  <c r="Q735" i="2"/>
  <c r="P735" i="2"/>
  <c r="O735" i="2"/>
  <c r="N735" i="2"/>
  <c r="M735" i="2"/>
  <c r="L735" i="2"/>
  <c r="W734" i="2"/>
  <c r="V734" i="2"/>
  <c r="U734" i="2"/>
  <c r="T734" i="2"/>
  <c r="S734" i="2"/>
  <c r="R734" i="2"/>
  <c r="Q734" i="2"/>
  <c r="P734" i="2"/>
  <c r="O734" i="2"/>
  <c r="N734" i="2"/>
  <c r="M734" i="2"/>
  <c r="AJ874" i="3" s="1"/>
  <c r="AM874" i="3" s="1"/>
  <c r="L734" i="2"/>
  <c r="W733" i="2"/>
  <c r="V733" i="2"/>
  <c r="U733" i="2"/>
  <c r="T733" i="2"/>
  <c r="S733" i="2"/>
  <c r="R733" i="2"/>
  <c r="Q733" i="2"/>
  <c r="P733" i="2"/>
  <c r="O733" i="2"/>
  <c r="N733" i="2"/>
  <c r="M733" i="2"/>
  <c r="L733" i="2"/>
  <c r="W732" i="2"/>
  <c r="V732" i="2"/>
  <c r="U732" i="2"/>
  <c r="T732" i="2"/>
  <c r="S732" i="2"/>
  <c r="R732" i="2"/>
  <c r="Q732" i="2"/>
  <c r="P732" i="2"/>
  <c r="O732" i="2"/>
  <c r="N732" i="2"/>
  <c r="M732" i="2"/>
  <c r="AJ872" i="3" s="1"/>
  <c r="AM872" i="3" s="1"/>
  <c r="L732" i="2"/>
  <c r="W731" i="2"/>
  <c r="V731" i="2"/>
  <c r="U731" i="2"/>
  <c r="T731" i="2"/>
  <c r="S731" i="2"/>
  <c r="R731" i="2"/>
  <c r="Q731" i="2"/>
  <c r="P731" i="2"/>
  <c r="O731" i="2"/>
  <c r="N731" i="2"/>
  <c r="M731" i="2"/>
  <c r="L731" i="2"/>
  <c r="W730" i="2"/>
  <c r="V730" i="2"/>
  <c r="U730" i="2"/>
  <c r="T730" i="2"/>
  <c r="S730" i="2"/>
  <c r="R730" i="2"/>
  <c r="Q730" i="2"/>
  <c r="P730" i="2"/>
  <c r="O730" i="2"/>
  <c r="N730" i="2"/>
  <c r="M730" i="2"/>
  <c r="AJ870" i="3" s="1"/>
  <c r="AM870" i="3" s="1"/>
  <c r="L730" i="2"/>
  <c r="W729" i="2"/>
  <c r="V729" i="2"/>
  <c r="U729" i="2"/>
  <c r="T729" i="2"/>
  <c r="S729" i="2"/>
  <c r="R729" i="2"/>
  <c r="Q729" i="2"/>
  <c r="P729" i="2"/>
  <c r="O729" i="2"/>
  <c r="N729" i="2"/>
  <c r="M729" i="2"/>
  <c r="AJ869" i="3" s="1"/>
  <c r="AM869" i="3" s="1"/>
  <c r="L729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W727" i="2"/>
  <c r="V727" i="2"/>
  <c r="U727" i="2"/>
  <c r="T727" i="2"/>
  <c r="S727" i="2"/>
  <c r="R727" i="2"/>
  <c r="Q727" i="2"/>
  <c r="P727" i="2"/>
  <c r="O727" i="2"/>
  <c r="N727" i="2"/>
  <c r="M727" i="2"/>
  <c r="L727" i="2"/>
  <c r="W726" i="2"/>
  <c r="V726" i="2"/>
  <c r="U726" i="2"/>
  <c r="T726" i="2"/>
  <c r="S726" i="2"/>
  <c r="R726" i="2"/>
  <c r="Q726" i="2"/>
  <c r="P726" i="2"/>
  <c r="O726" i="2"/>
  <c r="N726" i="2"/>
  <c r="M726" i="2"/>
  <c r="L726" i="2"/>
  <c r="W725" i="2"/>
  <c r="V725" i="2"/>
  <c r="U725" i="2"/>
  <c r="T725" i="2"/>
  <c r="S725" i="2"/>
  <c r="R725" i="2"/>
  <c r="Q725" i="2"/>
  <c r="P725" i="2"/>
  <c r="O725" i="2"/>
  <c r="N725" i="2"/>
  <c r="M725" i="2"/>
  <c r="AJ865" i="3" s="1"/>
  <c r="AM865" i="3" s="1"/>
  <c r="L725" i="2"/>
  <c r="W724" i="2"/>
  <c r="V724" i="2"/>
  <c r="U724" i="2"/>
  <c r="T724" i="2"/>
  <c r="S724" i="2"/>
  <c r="R724" i="2"/>
  <c r="Q724" i="2"/>
  <c r="P724" i="2"/>
  <c r="O724" i="2"/>
  <c r="N724" i="2"/>
  <c r="M724" i="2"/>
  <c r="L724" i="2"/>
  <c r="W723" i="2"/>
  <c r="V723" i="2"/>
  <c r="U723" i="2"/>
  <c r="T723" i="2"/>
  <c r="S723" i="2"/>
  <c r="R723" i="2"/>
  <c r="Q723" i="2"/>
  <c r="P723" i="2"/>
  <c r="O723" i="2"/>
  <c r="N723" i="2"/>
  <c r="M723" i="2"/>
  <c r="AJ863" i="3" s="1"/>
  <c r="AM863" i="3" s="1"/>
  <c r="L723" i="2"/>
  <c r="W722" i="2"/>
  <c r="V722" i="2"/>
  <c r="U722" i="2"/>
  <c r="T722" i="2"/>
  <c r="S722" i="2"/>
  <c r="R722" i="2"/>
  <c r="Q722" i="2"/>
  <c r="P722" i="2"/>
  <c r="O722" i="2"/>
  <c r="N722" i="2"/>
  <c r="M722" i="2"/>
  <c r="L722" i="2"/>
  <c r="W721" i="2"/>
  <c r="V721" i="2"/>
  <c r="U721" i="2"/>
  <c r="T721" i="2"/>
  <c r="S721" i="2"/>
  <c r="R721" i="2"/>
  <c r="Q721" i="2"/>
  <c r="P721" i="2"/>
  <c r="O721" i="2"/>
  <c r="N721" i="2"/>
  <c r="M721" i="2"/>
  <c r="AJ861" i="3" s="1"/>
  <c r="AM861" i="3" s="1"/>
  <c r="L721" i="2"/>
  <c r="W720" i="2"/>
  <c r="V720" i="2"/>
  <c r="U720" i="2"/>
  <c r="T720" i="2"/>
  <c r="S720" i="2"/>
  <c r="R720" i="2"/>
  <c r="Q720" i="2"/>
  <c r="P720" i="2"/>
  <c r="O720" i="2"/>
  <c r="N720" i="2"/>
  <c r="M720" i="2"/>
  <c r="AJ860" i="3" s="1"/>
  <c r="AM860" i="3" s="1"/>
  <c r="L720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W718" i="2"/>
  <c r="V718" i="2"/>
  <c r="U718" i="2"/>
  <c r="T718" i="2"/>
  <c r="S718" i="2"/>
  <c r="R718" i="2"/>
  <c r="Q718" i="2"/>
  <c r="P718" i="2"/>
  <c r="O718" i="2"/>
  <c r="N718" i="2"/>
  <c r="M718" i="2"/>
  <c r="L718" i="2"/>
  <c r="W717" i="2"/>
  <c r="V717" i="2"/>
  <c r="U717" i="2"/>
  <c r="T717" i="2"/>
  <c r="S717" i="2"/>
  <c r="R717" i="2"/>
  <c r="Q717" i="2"/>
  <c r="P717" i="2"/>
  <c r="O717" i="2"/>
  <c r="N717" i="2"/>
  <c r="M717" i="2"/>
  <c r="AJ857" i="3" s="1"/>
  <c r="AM857" i="3" s="1"/>
  <c r="L717" i="2"/>
  <c r="W716" i="2"/>
  <c r="V716" i="2"/>
  <c r="U716" i="2"/>
  <c r="T716" i="2"/>
  <c r="S716" i="2"/>
  <c r="R716" i="2"/>
  <c r="Q716" i="2"/>
  <c r="P716" i="2"/>
  <c r="O716" i="2"/>
  <c r="N716" i="2"/>
  <c r="M716" i="2"/>
  <c r="AJ856" i="3" s="1"/>
  <c r="AM856" i="3" s="1"/>
  <c r="L716" i="2"/>
  <c r="W715" i="2"/>
  <c r="V715" i="2"/>
  <c r="U715" i="2"/>
  <c r="T715" i="2"/>
  <c r="S715" i="2"/>
  <c r="R715" i="2"/>
  <c r="Q715" i="2"/>
  <c r="P715" i="2"/>
  <c r="O715" i="2"/>
  <c r="N715" i="2"/>
  <c r="M715" i="2"/>
  <c r="L715" i="2"/>
  <c r="W714" i="2"/>
  <c r="V714" i="2"/>
  <c r="U714" i="2"/>
  <c r="T714" i="2"/>
  <c r="S714" i="2"/>
  <c r="R714" i="2"/>
  <c r="Q714" i="2"/>
  <c r="P714" i="2"/>
  <c r="O714" i="2"/>
  <c r="N714" i="2"/>
  <c r="M714" i="2"/>
  <c r="L714" i="2"/>
  <c r="W713" i="2"/>
  <c r="V713" i="2"/>
  <c r="U713" i="2"/>
  <c r="T713" i="2"/>
  <c r="S713" i="2"/>
  <c r="R713" i="2"/>
  <c r="Q713" i="2"/>
  <c r="P713" i="2"/>
  <c r="O713" i="2"/>
  <c r="N713" i="2"/>
  <c r="M713" i="2"/>
  <c r="AJ853" i="3" s="1"/>
  <c r="AM853" i="3" s="1"/>
  <c r="L713" i="2"/>
  <c r="W712" i="2"/>
  <c r="V712" i="2"/>
  <c r="U712" i="2"/>
  <c r="T712" i="2"/>
  <c r="S712" i="2"/>
  <c r="R712" i="2"/>
  <c r="Q712" i="2"/>
  <c r="P712" i="2"/>
  <c r="O712" i="2"/>
  <c r="N712" i="2"/>
  <c r="M712" i="2"/>
  <c r="AJ852" i="3" s="1"/>
  <c r="AM852" i="3" s="1"/>
  <c r="L712" i="2"/>
  <c r="W711" i="2"/>
  <c r="V711" i="2"/>
  <c r="U711" i="2"/>
  <c r="T711" i="2"/>
  <c r="S711" i="2"/>
  <c r="R711" i="2"/>
  <c r="Q711" i="2"/>
  <c r="P711" i="2"/>
  <c r="O711" i="2"/>
  <c r="N711" i="2"/>
  <c r="M711" i="2"/>
  <c r="L711" i="2"/>
  <c r="W710" i="2"/>
  <c r="V710" i="2"/>
  <c r="U710" i="2"/>
  <c r="T710" i="2"/>
  <c r="S710" i="2"/>
  <c r="R710" i="2"/>
  <c r="Q710" i="2"/>
  <c r="P710" i="2"/>
  <c r="O710" i="2"/>
  <c r="N710" i="2"/>
  <c r="M710" i="2"/>
  <c r="AJ850" i="3" s="1"/>
  <c r="AM850" i="3" s="1"/>
  <c r="L710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W708" i="2"/>
  <c r="V708" i="2"/>
  <c r="U708" i="2"/>
  <c r="T708" i="2"/>
  <c r="S708" i="2"/>
  <c r="R708" i="2"/>
  <c r="Q708" i="2"/>
  <c r="P708" i="2"/>
  <c r="O708" i="2"/>
  <c r="N708" i="2"/>
  <c r="M708" i="2"/>
  <c r="AJ848" i="3" s="1"/>
  <c r="AM848" i="3" s="1"/>
  <c r="L708" i="2"/>
  <c r="W707" i="2"/>
  <c r="V707" i="2"/>
  <c r="U707" i="2"/>
  <c r="T707" i="2"/>
  <c r="S707" i="2"/>
  <c r="R707" i="2"/>
  <c r="Q707" i="2"/>
  <c r="P707" i="2"/>
  <c r="O707" i="2"/>
  <c r="N707" i="2"/>
  <c r="M707" i="2"/>
  <c r="L707" i="2"/>
  <c r="W706" i="2"/>
  <c r="V706" i="2"/>
  <c r="U706" i="2"/>
  <c r="T706" i="2"/>
  <c r="S706" i="2"/>
  <c r="R706" i="2"/>
  <c r="Q706" i="2"/>
  <c r="P706" i="2"/>
  <c r="O706" i="2"/>
  <c r="N706" i="2"/>
  <c r="M706" i="2"/>
  <c r="AJ846" i="3" s="1"/>
  <c r="AM846" i="3" s="1"/>
  <c r="L706" i="2"/>
  <c r="W705" i="2"/>
  <c r="V705" i="2"/>
  <c r="U705" i="2"/>
  <c r="T705" i="2"/>
  <c r="S705" i="2"/>
  <c r="R705" i="2"/>
  <c r="Q705" i="2"/>
  <c r="P705" i="2"/>
  <c r="O705" i="2"/>
  <c r="N705" i="2"/>
  <c r="M705" i="2"/>
  <c r="L705" i="2"/>
  <c r="W704" i="2"/>
  <c r="V704" i="2"/>
  <c r="U704" i="2"/>
  <c r="T704" i="2"/>
  <c r="S704" i="2"/>
  <c r="R704" i="2"/>
  <c r="Q704" i="2"/>
  <c r="P704" i="2"/>
  <c r="O704" i="2"/>
  <c r="N704" i="2"/>
  <c r="M704" i="2"/>
  <c r="AJ844" i="3" s="1"/>
  <c r="AM844" i="3" s="1"/>
  <c r="L704" i="2"/>
  <c r="W703" i="2"/>
  <c r="V703" i="2"/>
  <c r="U703" i="2"/>
  <c r="T703" i="2"/>
  <c r="S703" i="2"/>
  <c r="R703" i="2"/>
  <c r="Q703" i="2"/>
  <c r="P703" i="2"/>
  <c r="O703" i="2"/>
  <c r="N703" i="2"/>
  <c r="M703" i="2"/>
  <c r="L703" i="2"/>
  <c r="W702" i="2"/>
  <c r="V702" i="2"/>
  <c r="U702" i="2"/>
  <c r="T702" i="2"/>
  <c r="S702" i="2"/>
  <c r="R702" i="2"/>
  <c r="Q702" i="2"/>
  <c r="P702" i="2"/>
  <c r="O702" i="2"/>
  <c r="N702" i="2"/>
  <c r="M702" i="2"/>
  <c r="AJ842" i="3" s="1"/>
  <c r="AM842" i="3" s="1"/>
  <c r="L702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W700" i="2"/>
  <c r="V700" i="2"/>
  <c r="U700" i="2"/>
  <c r="T700" i="2"/>
  <c r="S700" i="2"/>
  <c r="R700" i="2"/>
  <c r="Q700" i="2"/>
  <c r="P700" i="2"/>
  <c r="O700" i="2"/>
  <c r="N700" i="2"/>
  <c r="M700" i="2"/>
  <c r="AJ840" i="3" s="1"/>
  <c r="AM840" i="3" s="1"/>
  <c r="L700" i="2"/>
  <c r="W699" i="2"/>
  <c r="V699" i="2"/>
  <c r="U699" i="2"/>
  <c r="T699" i="2"/>
  <c r="S699" i="2"/>
  <c r="R699" i="2"/>
  <c r="Q699" i="2"/>
  <c r="P699" i="2"/>
  <c r="O699" i="2"/>
  <c r="N699" i="2"/>
  <c r="M699" i="2"/>
  <c r="L699" i="2"/>
  <c r="W698" i="2"/>
  <c r="V698" i="2"/>
  <c r="U698" i="2"/>
  <c r="T698" i="2"/>
  <c r="S698" i="2"/>
  <c r="R698" i="2"/>
  <c r="Q698" i="2"/>
  <c r="P698" i="2"/>
  <c r="O698" i="2"/>
  <c r="N698" i="2"/>
  <c r="M698" i="2"/>
  <c r="AJ838" i="3" s="1"/>
  <c r="AM838" i="3" s="1"/>
  <c r="L698" i="2"/>
  <c r="W697" i="2"/>
  <c r="V697" i="2"/>
  <c r="U697" i="2"/>
  <c r="T697" i="2"/>
  <c r="S697" i="2"/>
  <c r="R697" i="2"/>
  <c r="Q697" i="2"/>
  <c r="P697" i="2"/>
  <c r="O697" i="2"/>
  <c r="N697" i="2"/>
  <c r="M697" i="2"/>
  <c r="AJ837" i="3" s="1"/>
  <c r="AM837" i="3" s="1"/>
  <c r="L697" i="2"/>
  <c r="W696" i="2"/>
  <c r="V696" i="2"/>
  <c r="U696" i="2"/>
  <c r="T696" i="2"/>
  <c r="S696" i="2"/>
  <c r="R696" i="2"/>
  <c r="Q696" i="2"/>
  <c r="P696" i="2"/>
  <c r="O696" i="2"/>
  <c r="N696" i="2"/>
  <c r="M696" i="2"/>
  <c r="AJ836" i="3" s="1"/>
  <c r="AM836" i="3" s="1"/>
  <c r="L696" i="2"/>
  <c r="W695" i="2"/>
  <c r="V695" i="2"/>
  <c r="U695" i="2"/>
  <c r="T695" i="2"/>
  <c r="S695" i="2"/>
  <c r="R695" i="2"/>
  <c r="Q695" i="2"/>
  <c r="P695" i="2"/>
  <c r="O695" i="2"/>
  <c r="N695" i="2"/>
  <c r="M695" i="2"/>
  <c r="AJ835" i="3" s="1"/>
  <c r="AM835" i="3" s="1"/>
  <c r="L695" i="2"/>
  <c r="W694" i="2"/>
  <c r="V694" i="2"/>
  <c r="U694" i="2"/>
  <c r="T694" i="2"/>
  <c r="S694" i="2"/>
  <c r="R694" i="2"/>
  <c r="Q694" i="2"/>
  <c r="P694" i="2"/>
  <c r="O694" i="2"/>
  <c r="N694" i="2"/>
  <c r="M694" i="2"/>
  <c r="AJ834" i="3" s="1"/>
  <c r="AM834" i="3" s="1"/>
  <c r="L694" i="2"/>
  <c r="W693" i="2"/>
  <c r="V693" i="2"/>
  <c r="U693" i="2"/>
  <c r="T693" i="2"/>
  <c r="S693" i="2"/>
  <c r="R693" i="2"/>
  <c r="Q693" i="2"/>
  <c r="P693" i="2"/>
  <c r="O693" i="2"/>
  <c r="N693" i="2"/>
  <c r="M693" i="2"/>
  <c r="AJ833" i="3" s="1"/>
  <c r="AM833" i="3" s="1"/>
  <c r="L693" i="2"/>
  <c r="W692" i="2"/>
  <c r="V692" i="2"/>
  <c r="U692" i="2"/>
  <c r="T692" i="2"/>
  <c r="S692" i="2"/>
  <c r="R692" i="2"/>
  <c r="Q692" i="2"/>
  <c r="P692" i="2"/>
  <c r="O692" i="2"/>
  <c r="N692" i="2"/>
  <c r="M692" i="2"/>
  <c r="L692" i="2"/>
  <c r="W691" i="2"/>
  <c r="V691" i="2"/>
  <c r="U691" i="2"/>
  <c r="T691" i="2"/>
  <c r="S691" i="2"/>
  <c r="R691" i="2"/>
  <c r="Q691" i="2"/>
  <c r="P691" i="2"/>
  <c r="O691" i="2"/>
  <c r="N691" i="2"/>
  <c r="M691" i="2"/>
  <c r="L691" i="2"/>
  <c r="W690" i="2"/>
  <c r="V690" i="2"/>
  <c r="U690" i="2"/>
  <c r="T690" i="2"/>
  <c r="S690" i="2"/>
  <c r="R690" i="2"/>
  <c r="Q690" i="2"/>
  <c r="P690" i="2"/>
  <c r="O690" i="2"/>
  <c r="N690" i="2"/>
  <c r="M690" i="2"/>
  <c r="AJ830" i="3" s="1"/>
  <c r="AM830" i="3" s="1"/>
  <c r="L690" i="2"/>
  <c r="W689" i="2"/>
  <c r="V689" i="2"/>
  <c r="U689" i="2"/>
  <c r="T689" i="2"/>
  <c r="S689" i="2"/>
  <c r="R689" i="2"/>
  <c r="Q689" i="2"/>
  <c r="P689" i="2"/>
  <c r="O689" i="2"/>
  <c r="N689" i="2"/>
  <c r="M689" i="2"/>
  <c r="AJ829" i="3" s="1"/>
  <c r="AM829" i="3" s="1"/>
  <c r="L689" i="2"/>
  <c r="W688" i="2"/>
  <c r="V688" i="2"/>
  <c r="U688" i="2"/>
  <c r="T688" i="2"/>
  <c r="S688" i="2"/>
  <c r="R688" i="2"/>
  <c r="Q688" i="2"/>
  <c r="P688" i="2"/>
  <c r="O688" i="2"/>
  <c r="N688" i="2"/>
  <c r="M688" i="2"/>
  <c r="L688" i="2"/>
  <c r="W687" i="2"/>
  <c r="V687" i="2"/>
  <c r="U687" i="2"/>
  <c r="T687" i="2"/>
  <c r="S687" i="2"/>
  <c r="R687" i="2"/>
  <c r="Q687" i="2"/>
  <c r="P687" i="2"/>
  <c r="O687" i="2"/>
  <c r="N687" i="2"/>
  <c r="M687" i="2"/>
  <c r="L687" i="2"/>
  <c r="W686" i="2"/>
  <c r="V686" i="2"/>
  <c r="U686" i="2"/>
  <c r="T686" i="2"/>
  <c r="S686" i="2"/>
  <c r="R686" i="2"/>
  <c r="Q686" i="2"/>
  <c r="P686" i="2"/>
  <c r="O686" i="2"/>
  <c r="N686" i="2"/>
  <c r="M686" i="2"/>
  <c r="L686" i="2"/>
  <c r="W685" i="2"/>
  <c r="V685" i="2"/>
  <c r="U685" i="2"/>
  <c r="T685" i="2"/>
  <c r="S685" i="2"/>
  <c r="R685" i="2"/>
  <c r="Q685" i="2"/>
  <c r="P685" i="2"/>
  <c r="O685" i="2"/>
  <c r="N685" i="2"/>
  <c r="M685" i="2"/>
  <c r="L685" i="2"/>
  <c r="W684" i="2"/>
  <c r="V684" i="2"/>
  <c r="U684" i="2"/>
  <c r="T684" i="2"/>
  <c r="S684" i="2"/>
  <c r="R684" i="2"/>
  <c r="Q684" i="2"/>
  <c r="P684" i="2"/>
  <c r="O684" i="2"/>
  <c r="N684" i="2"/>
  <c r="M684" i="2"/>
  <c r="AJ824" i="3" s="1"/>
  <c r="AM824" i="3" s="1"/>
  <c r="L684" i="2"/>
  <c r="W683" i="2"/>
  <c r="V683" i="2"/>
  <c r="U683" i="2"/>
  <c r="T683" i="2"/>
  <c r="S683" i="2"/>
  <c r="R683" i="2"/>
  <c r="Q683" i="2"/>
  <c r="P683" i="2"/>
  <c r="O683" i="2"/>
  <c r="N683" i="2"/>
  <c r="M683" i="2"/>
  <c r="AJ823" i="3" s="1"/>
  <c r="AM823" i="3" s="1"/>
  <c r="L683" i="2"/>
  <c r="W682" i="2"/>
  <c r="V682" i="2"/>
  <c r="U682" i="2"/>
  <c r="T682" i="2"/>
  <c r="S682" i="2"/>
  <c r="R682" i="2"/>
  <c r="Q682" i="2"/>
  <c r="P682" i="2"/>
  <c r="O682" i="2"/>
  <c r="N682" i="2"/>
  <c r="M682" i="2"/>
  <c r="L682" i="2"/>
  <c r="W681" i="2"/>
  <c r="V681" i="2"/>
  <c r="U681" i="2"/>
  <c r="T681" i="2"/>
  <c r="S681" i="2"/>
  <c r="R681" i="2"/>
  <c r="Q681" i="2"/>
  <c r="P681" i="2"/>
  <c r="O681" i="2"/>
  <c r="N681" i="2"/>
  <c r="M681" i="2"/>
  <c r="AJ821" i="3" s="1"/>
  <c r="AM821" i="3" s="1"/>
  <c r="L681" i="2"/>
  <c r="W680" i="2"/>
  <c r="V680" i="2"/>
  <c r="U680" i="2"/>
  <c r="T680" i="2"/>
  <c r="S680" i="2"/>
  <c r="R680" i="2"/>
  <c r="Q680" i="2"/>
  <c r="P680" i="2"/>
  <c r="O680" i="2"/>
  <c r="N680" i="2"/>
  <c r="M680" i="2"/>
  <c r="AJ820" i="3" s="1"/>
  <c r="AM820" i="3" s="1"/>
  <c r="L680" i="2"/>
  <c r="W679" i="2"/>
  <c r="V679" i="2"/>
  <c r="U679" i="2"/>
  <c r="T679" i="2"/>
  <c r="S679" i="2"/>
  <c r="R679" i="2"/>
  <c r="Q679" i="2"/>
  <c r="P679" i="2"/>
  <c r="O679" i="2"/>
  <c r="N679" i="2"/>
  <c r="M679" i="2"/>
  <c r="L679" i="2"/>
  <c r="W678" i="2"/>
  <c r="V678" i="2"/>
  <c r="U678" i="2"/>
  <c r="T678" i="2"/>
  <c r="S678" i="2"/>
  <c r="R678" i="2"/>
  <c r="Q678" i="2"/>
  <c r="P678" i="2"/>
  <c r="O678" i="2"/>
  <c r="N678" i="2"/>
  <c r="M678" i="2"/>
  <c r="AJ818" i="3" s="1"/>
  <c r="AM818" i="3" s="1"/>
  <c r="L678" i="2"/>
  <c r="W677" i="2"/>
  <c r="V677" i="2"/>
  <c r="U677" i="2"/>
  <c r="T677" i="2"/>
  <c r="S677" i="2"/>
  <c r="R677" i="2"/>
  <c r="Q677" i="2"/>
  <c r="P677" i="2"/>
  <c r="O677" i="2"/>
  <c r="N677" i="2"/>
  <c r="M677" i="2"/>
  <c r="AJ817" i="3" s="1"/>
  <c r="AM817" i="3" s="1"/>
  <c r="L677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W675" i="2"/>
  <c r="V675" i="2"/>
  <c r="U675" i="2"/>
  <c r="T675" i="2"/>
  <c r="S675" i="2"/>
  <c r="R675" i="2"/>
  <c r="Q675" i="2"/>
  <c r="P675" i="2"/>
  <c r="O675" i="2"/>
  <c r="N675" i="2"/>
  <c r="M675" i="2"/>
  <c r="AJ815" i="3" s="1"/>
  <c r="AM815" i="3" s="1"/>
  <c r="L675" i="2"/>
  <c r="W674" i="2"/>
  <c r="V674" i="2"/>
  <c r="U674" i="2"/>
  <c r="T674" i="2"/>
  <c r="S674" i="2"/>
  <c r="R674" i="2"/>
  <c r="Q674" i="2"/>
  <c r="P674" i="2"/>
  <c r="O674" i="2"/>
  <c r="N674" i="2"/>
  <c r="M674" i="2"/>
  <c r="L674" i="2"/>
  <c r="W673" i="2"/>
  <c r="V673" i="2"/>
  <c r="U673" i="2"/>
  <c r="T673" i="2"/>
  <c r="S673" i="2"/>
  <c r="R673" i="2"/>
  <c r="Q673" i="2"/>
  <c r="P673" i="2"/>
  <c r="O673" i="2"/>
  <c r="N673" i="2"/>
  <c r="M673" i="2"/>
  <c r="L673" i="2"/>
  <c r="W672" i="2"/>
  <c r="V672" i="2"/>
  <c r="U672" i="2"/>
  <c r="T672" i="2"/>
  <c r="S672" i="2"/>
  <c r="R672" i="2"/>
  <c r="Q672" i="2"/>
  <c r="P672" i="2"/>
  <c r="O672" i="2"/>
  <c r="N672" i="2"/>
  <c r="M672" i="2"/>
  <c r="AJ812" i="3" s="1"/>
  <c r="AM812" i="3" s="1"/>
  <c r="L672" i="2"/>
  <c r="W671" i="2"/>
  <c r="V671" i="2"/>
  <c r="U671" i="2"/>
  <c r="T671" i="2"/>
  <c r="S671" i="2"/>
  <c r="R671" i="2"/>
  <c r="Q671" i="2"/>
  <c r="P671" i="2"/>
  <c r="O671" i="2"/>
  <c r="N671" i="2"/>
  <c r="M671" i="2"/>
  <c r="L671" i="2"/>
  <c r="W670" i="2"/>
  <c r="V670" i="2"/>
  <c r="U670" i="2"/>
  <c r="T670" i="2"/>
  <c r="S670" i="2"/>
  <c r="R670" i="2"/>
  <c r="Q670" i="2"/>
  <c r="P670" i="2"/>
  <c r="O670" i="2"/>
  <c r="N670" i="2"/>
  <c r="M670" i="2"/>
  <c r="L670" i="2"/>
  <c r="W669" i="2"/>
  <c r="V669" i="2"/>
  <c r="U669" i="2"/>
  <c r="T669" i="2"/>
  <c r="S669" i="2"/>
  <c r="R669" i="2"/>
  <c r="Q669" i="2"/>
  <c r="P669" i="2"/>
  <c r="O669" i="2"/>
  <c r="N669" i="2"/>
  <c r="M669" i="2"/>
  <c r="AJ809" i="3" s="1"/>
  <c r="AM809" i="3" s="1"/>
  <c r="L669" i="2"/>
  <c r="W668" i="2"/>
  <c r="V668" i="2"/>
  <c r="U668" i="2"/>
  <c r="T668" i="2"/>
  <c r="S668" i="2"/>
  <c r="R668" i="2"/>
  <c r="Q668" i="2"/>
  <c r="P668" i="2"/>
  <c r="O668" i="2"/>
  <c r="N668" i="2"/>
  <c r="M668" i="2"/>
  <c r="L668" i="2"/>
  <c r="W667" i="2"/>
  <c r="V667" i="2"/>
  <c r="U667" i="2"/>
  <c r="T667" i="2"/>
  <c r="S667" i="2"/>
  <c r="R667" i="2"/>
  <c r="Q667" i="2"/>
  <c r="P667" i="2"/>
  <c r="O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L666" i="2"/>
  <c r="W665" i="2"/>
  <c r="V665" i="2"/>
  <c r="U665" i="2"/>
  <c r="T665" i="2"/>
  <c r="S665" i="2"/>
  <c r="R665" i="2"/>
  <c r="Q665" i="2"/>
  <c r="P665" i="2"/>
  <c r="O665" i="2"/>
  <c r="N665" i="2"/>
  <c r="L665" i="2"/>
  <c r="W664" i="2"/>
  <c r="V664" i="2"/>
  <c r="U664" i="2"/>
  <c r="T664" i="2"/>
  <c r="S664" i="2"/>
  <c r="R664" i="2"/>
  <c r="Q664" i="2"/>
  <c r="P664" i="2"/>
  <c r="O664" i="2"/>
  <c r="N664" i="2"/>
  <c r="L664" i="2"/>
  <c r="W663" i="2"/>
  <c r="V663" i="2"/>
  <c r="U663" i="2"/>
  <c r="T663" i="2"/>
  <c r="S663" i="2"/>
  <c r="R663" i="2"/>
  <c r="Q663" i="2"/>
  <c r="P663" i="2"/>
  <c r="O663" i="2"/>
  <c r="N663" i="2"/>
  <c r="L663" i="2"/>
  <c r="W662" i="2"/>
  <c r="V662" i="2"/>
  <c r="U662" i="2"/>
  <c r="T662" i="2"/>
  <c r="S662" i="2"/>
  <c r="R662" i="2"/>
  <c r="Q662" i="2"/>
  <c r="P662" i="2"/>
  <c r="O662" i="2"/>
  <c r="N662" i="2"/>
  <c r="L662" i="2"/>
  <c r="W661" i="2"/>
  <c r="V661" i="2"/>
  <c r="U661" i="2"/>
  <c r="T661" i="2"/>
  <c r="S661" i="2"/>
  <c r="R661" i="2"/>
  <c r="Q661" i="2"/>
  <c r="P661" i="2"/>
  <c r="O661" i="2"/>
  <c r="N661" i="2"/>
  <c r="L661" i="2"/>
  <c r="W660" i="2"/>
  <c r="V660" i="2"/>
  <c r="U660" i="2"/>
  <c r="T660" i="2"/>
  <c r="S660" i="2"/>
  <c r="R660" i="2"/>
  <c r="Q660" i="2"/>
  <c r="P660" i="2"/>
  <c r="O660" i="2"/>
  <c r="N660" i="2"/>
  <c r="L660" i="2"/>
  <c r="W659" i="2"/>
  <c r="V659" i="2"/>
  <c r="U659" i="2"/>
  <c r="T659" i="2"/>
  <c r="S659" i="2"/>
  <c r="R659" i="2"/>
  <c r="Q659" i="2"/>
  <c r="P659" i="2"/>
  <c r="O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L658" i="2"/>
  <c r="W657" i="2"/>
  <c r="V657" i="2"/>
  <c r="U657" i="2"/>
  <c r="T657" i="2"/>
  <c r="S657" i="2"/>
  <c r="R657" i="2"/>
  <c r="Q657" i="2"/>
  <c r="P657" i="2"/>
  <c r="O657" i="2"/>
  <c r="N657" i="2"/>
  <c r="L657" i="2"/>
  <c r="W656" i="2"/>
  <c r="V656" i="2"/>
  <c r="U656" i="2"/>
  <c r="T656" i="2"/>
  <c r="S656" i="2"/>
  <c r="R656" i="2"/>
  <c r="Q656" i="2"/>
  <c r="P656" i="2"/>
  <c r="O656" i="2"/>
  <c r="N656" i="2"/>
  <c r="L656" i="2"/>
  <c r="W655" i="2"/>
  <c r="V655" i="2"/>
  <c r="U655" i="2"/>
  <c r="T655" i="2"/>
  <c r="S655" i="2"/>
  <c r="R655" i="2"/>
  <c r="Q655" i="2"/>
  <c r="P655" i="2"/>
  <c r="O655" i="2"/>
  <c r="N655" i="2"/>
  <c r="L655" i="2"/>
  <c r="W654" i="2"/>
  <c r="V654" i="2"/>
  <c r="U654" i="2"/>
  <c r="T654" i="2"/>
  <c r="S654" i="2"/>
  <c r="R654" i="2"/>
  <c r="Q654" i="2"/>
  <c r="P654" i="2"/>
  <c r="O654" i="2"/>
  <c r="N654" i="2"/>
  <c r="L654" i="2"/>
  <c r="W653" i="2"/>
  <c r="V653" i="2"/>
  <c r="U653" i="2"/>
  <c r="T653" i="2"/>
  <c r="S653" i="2"/>
  <c r="R653" i="2"/>
  <c r="Q653" i="2"/>
  <c r="P653" i="2"/>
  <c r="O653" i="2"/>
  <c r="N653" i="2"/>
  <c r="L653" i="2"/>
  <c r="W652" i="2"/>
  <c r="V652" i="2"/>
  <c r="U652" i="2"/>
  <c r="T652" i="2"/>
  <c r="S652" i="2"/>
  <c r="R652" i="2"/>
  <c r="Q652" i="2"/>
  <c r="P652" i="2"/>
  <c r="O652" i="2"/>
  <c r="N652" i="2"/>
  <c r="L652" i="2"/>
  <c r="W651" i="2"/>
  <c r="V651" i="2"/>
  <c r="U651" i="2"/>
  <c r="T651" i="2"/>
  <c r="S651" i="2"/>
  <c r="R651" i="2"/>
  <c r="Q651" i="2"/>
  <c r="P651" i="2"/>
  <c r="O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L650" i="2"/>
  <c r="W649" i="2"/>
  <c r="V649" i="2"/>
  <c r="U649" i="2"/>
  <c r="T649" i="2"/>
  <c r="S649" i="2"/>
  <c r="R649" i="2"/>
  <c r="Q649" i="2"/>
  <c r="P649" i="2"/>
  <c r="O649" i="2"/>
  <c r="N649" i="2"/>
  <c r="L649" i="2"/>
  <c r="W648" i="2"/>
  <c r="V648" i="2"/>
  <c r="U648" i="2"/>
  <c r="T648" i="2"/>
  <c r="S648" i="2"/>
  <c r="R648" i="2"/>
  <c r="Q648" i="2"/>
  <c r="P648" i="2"/>
  <c r="O648" i="2"/>
  <c r="N648" i="2"/>
  <c r="L648" i="2"/>
  <c r="W647" i="2"/>
  <c r="V647" i="2"/>
  <c r="U647" i="2"/>
  <c r="T647" i="2"/>
  <c r="S647" i="2"/>
  <c r="R647" i="2"/>
  <c r="Q647" i="2"/>
  <c r="P647" i="2"/>
  <c r="O647" i="2"/>
  <c r="N647" i="2"/>
  <c r="L647" i="2"/>
  <c r="W646" i="2"/>
  <c r="V646" i="2"/>
  <c r="U646" i="2"/>
  <c r="T646" i="2"/>
  <c r="S646" i="2"/>
  <c r="R646" i="2"/>
  <c r="Q646" i="2"/>
  <c r="P646" i="2"/>
  <c r="O646" i="2"/>
  <c r="N646" i="2"/>
  <c r="L646" i="2"/>
  <c r="W645" i="2"/>
  <c r="V645" i="2"/>
  <c r="U645" i="2"/>
  <c r="T645" i="2"/>
  <c r="S645" i="2"/>
  <c r="R645" i="2"/>
  <c r="Q645" i="2"/>
  <c r="P645" i="2"/>
  <c r="O645" i="2"/>
  <c r="N645" i="2"/>
  <c r="L645" i="2"/>
  <c r="W644" i="2"/>
  <c r="V644" i="2"/>
  <c r="U644" i="2"/>
  <c r="T644" i="2"/>
  <c r="S644" i="2"/>
  <c r="R644" i="2"/>
  <c r="Q644" i="2"/>
  <c r="P644" i="2"/>
  <c r="O644" i="2"/>
  <c r="N644" i="2"/>
  <c r="L644" i="2"/>
  <c r="W643" i="2"/>
  <c r="V643" i="2"/>
  <c r="U643" i="2"/>
  <c r="T643" i="2"/>
  <c r="S643" i="2"/>
  <c r="R643" i="2"/>
  <c r="Q643" i="2"/>
  <c r="P643" i="2"/>
  <c r="O643" i="2"/>
  <c r="N643" i="2"/>
  <c r="L643" i="2"/>
  <c r="W642" i="2"/>
  <c r="V642" i="2"/>
  <c r="U642" i="2"/>
  <c r="T642" i="2"/>
  <c r="S642" i="2"/>
  <c r="R642" i="2"/>
  <c r="Q642" i="2"/>
  <c r="P642" i="2"/>
  <c r="O642" i="2"/>
  <c r="N642" i="2"/>
  <c r="L642" i="2"/>
  <c r="W641" i="2"/>
  <c r="V641" i="2"/>
  <c r="U641" i="2"/>
  <c r="T641" i="2"/>
  <c r="S641" i="2"/>
  <c r="R641" i="2"/>
  <c r="Q641" i="2"/>
  <c r="P641" i="2"/>
  <c r="O641" i="2"/>
  <c r="N641" i="2"/>
  <c r="L641" i="2"/>
  <c r="W640" i="2"/>
  <c r="V640" i="2"/>
  <c r="U640" i="2"/>
  <c r="T640" i="2"/>
  <c r="S640" i="2"/>
  <c r="R640" i="2"/>
  <c r="Q640" i="2"/>
  <c r="P640" i="2"/>
  <c r="O640" i="2"/>
  <c r="N640" i="2"/>
  <c r="L640" i="2"/>
  <c r="W639" i="2"/>
  <c r="V639" i="2"/>
  <c r="U639" i="2"/>
  <c r="T639" i="2"/>
  <c r="S639" i="2"/>
  <c r="R639" i="2"/>
  <c r="Q639" i="2"/>
  <c r="P639" i="2"/>
  <c r="O639" i="2"/>
  <c r="N639" i="2"/>
  <c r="L639" i="2"/>
  <c r="W638" i="2"/>
  <c r="V638" i="2"/>
  <c r="U638" i="2"/>
  <c r="T638" i="2"/>
  <c r="S638" i="2"/>
  <c r="R638" i="2"/>
  <c r="Q638" i="2"/>
  <c r="P638" i="2"/>
  <c r="O638" i="2"/>
  <c r="N638" i="2"/>
  <c r="L638" i="2"/>
  <c r="W637" i="2"/>
  <c r="V637" i="2"/>
  <c r="U637" i="2"/>
  <c r="T637" i="2"/>
  <c r="S637" i="2"/>
  <c r="R637" i="2"/>
  <c r="Q637" i="2"/>
  <c r="P637" i="2"/>
  <c r="O637" i="2"/>
  <c r="N637" i="2"/>
  <c r="L637" i="2"/>
  <c r="W636" i="2"/>
  <c r="V636" i="2"/>
  <c r="U636" i="2"/>
  <c r="T636" i="2"/>
  <c r="S636" i="2"/>
  <c r="R636" i="2"/>
  <c r="Q636" i="2"/>
  <c r="P636" i="2"/>
  <c r="O636" i="2"/>
  <c r="N636" i="2"/>
  <c r="L636" i="2"/>
  <c r="W635" i="2"/>
  <c r="V635" i="2"/>
  <c r="U635" i="2"/>
  <c r="T635" i="2"/>
  <c r="S635" i="2"/>
  <c r="R635" i="2"/>
  <c r="Q635" i="2"/>
  <c r="P635" i="2"/>
  <c r="O635" i="2"/>
  <c r="N635" i="2"/>
  <c r="L635" i="2"/>
  <c r="W634" i="2"/>
  <c r="V634" i="2"/>
  <c r="U634" i="2"/>
  <c r="T634" i="2"/>
  <c r="S634" i="2"/>
  <c r="R634" i="2"/>
  <c r="Q634" i="2"/>
  <c r="P634" i="2"/>
  <c r="O634" i="2"/>
  <c r="N634" i="2"/>
  <c r="L634" i="2"/>
  <c r="W633" i="2"/>
  <c r="V633" i="2"/>
  <c r="U633" i="2"/>
  <c r="T633" i="2"/>
  <c r="S633" i="2"/>
  <c r="R633" i="2"/>
  <c r="Q633" i="2"/>
  <c r="P633" i="2"/>
  <c r="O633" i="2"/>
  <c r="N633" i="2"/>
  <c r="L633" i="2"/>
  <c r="W632" i="2"/>
  <c r="V632" i="2"/>
  <c r="U632" i="2"/>
  <c r="T632" i="2"/>
  <c r="S632" i="2"/>
  <c r="R632" i="2"/>
  <c r="Q632" i="2"/>
  <c r="P632" i="2"/>
  <c r="O632" i="2"/>
  <c r="N632" i="2"/>
  <c r="L632" i="2"/>
  <c r="W631" i="2"/>
  <c r="V631" i="2"/>
  <c r="U631" i="2"/>
  <c r="T631" i="2"/>
  <c r="S631" i="2"/>
  <c r="R631" i="2"/>
  <c r="Q631" i="2"/>
  <c r="P631" i="2"/>
  <c r="O631" i="2"/>
  <c r="N631" i="2"/>
  <c r="L631" i="2"/>
  <c r="W630" i="2"/>
  <c r="V630" i="2"/>
  <c r="U630" i="2"/>
  <c r="T630" i="2"/>
  <c r="S630" i="2"/>
  <c r="R630" i="2"/>
  <c r="Q630" i="2"/>
  <c r="P630" i="2"/>
  <c r="O630" i="2"/>
  <c r="N630" i="2"/>
  <c r="L630" i="2"/>
  <c r="W629" i="2"/>
  <c r="V629" i="2"/>
  <c r="U629" i="2"/>
  <c r="T629" i="2"/>
  <c r="S629" i="2"/>
  <c r="R629" i="2"/>
  <c r="Q629" i="2"/>
  <c r="P629" i="2"/>
  <c r="O629" i="2"/>
  <c r="N629" i="2"/>
  <c r="L629" i="2"/>
  <c r="W628" i="2"/>
  <c r="V628" i="2"/>
  <c r="U628" i="2"/>
  <c r="T628" i="2"/>
  <c r="S628" i="2"/>
  <c r="R628" i="2"/>
  <c r="Q628" i="2"/>
  <c r="P628" i="2"/>
  <c r="O628" i="2"/>
  <c r="N628" i="2"/>
  <c r="L628" i="2"/>
  <c r="W627" i="2"/>
  <c r="V627" i="2"/>
  <c r="U627" i="2"/>
  <c r="T627" i="2"/>
  <c r="S627" i="2"/>
  <c r="R627" i="2"/>
  <c r="Q627" i="2"/>
  <c r="P627" i="2"/>
  <c r="O627" i="2"/>
  <c r="N627" i="2"/>
  <c r="L627" i="2"/>
  <c r="W626" i="2"/>
  <c r="V626" i="2"/>
  <c r="U626" i="2"/>
  <c r="T626" i="2"/>
  <c r="S626" i="2"/>
  <c r="R626" i="2"/>
  <c r="Q626" i="2"/>
  <c r="P626" i="2"/>
  <c r="O626" i="2"/>
  <c r="N626" i="2"/>
  <c r="L626" i="2"/>
  <c r="W625" i="2"/>
  <c r="V625" i="2"/>
  <c r="U625" i="2"/>
  <c r="T625" i="2"/>
  <c r="S625" i="2"/>
  <c r="R625" i="2"/>
  <c r="Q625" i="2"/>
  <c r="P625" i="2"/>
  <c r="O625" i="2"/>
  <c r="N625" i="2"/>
  <c r="L625" i="2"/>
  <c r="W624" i="2"/>
  <c r="V624" i="2"/>
  <c r="U624" i="2"/>
  <c r="T624" i="2"/>
  <c r="S624" i="2"/>
  <c r="R624" i="2"/>
  <c r="Q624" i="2"/>
  <c r="P624" i="2"/>
  <c r="O624" i="2"/>
  <c r="N624" i="2"/>
  <c r="L624" i="2"/>
  <c r="W623" i="2"/>
  <c r="V623" i="2"/>
  <c r="U623" i="2"/>
  <c r="T623" i="2"/>
  <c r="S623" i="2"/>
  <c r="R623" i="2"/>
  <c r="Q623" i="2"/>
  <c r="P623" i="2"/>
  <c r="O623" i="2"/>
  <c r="N623" i="2"/>
  <c r="L623" i="2"/>
  <c r="W622" i="2"/>
  <c r="V622" i="2"/>
  <c r="U622" i="2"/>
  <c r="T622" i="2"/>
  <c r="S622" i="2"/>
  <c r="R622" i="2"/>
  <c r="Q622" i="2"/>
  <c r="P622" i="2"/>
  <c r="O622" i="2"/>
  <c r="N622" i="2"/>
  <c r="L622" i="2"/>
  <c r="W621" i="2"/>
  <c r="V621" i="2"/>
  <c r="U621" i="2"/>
  <c r="T621" i="2"/>
  <c r="S621" i="2"/>
  <c r="R621" i="2"/>
  <c r="Q621" i="2"/>
  <c r="P621" i="2"/>
  <c r="O621" i="2"/>
  <c r="N621" i="2"/>
  <c r="L621" i="2"/>
  <c r="W620" i="2"/>
  <c r="V620" i="2"/>
  <c r="U620" i="2"/>
  <c r="T620" i="2"/>
  <c r="S620" i="2"/>
  <c r="R620" i="2"/>
  <c r="Q620" i="2"/>
  <c r="P620" i="2"/>
  <c r="O620" i="2"/>
  <c r="N620" i="2"/>
  <c r="L620" i="2"/>
  <c r="W619" i="2"/>
  <c r="V619" i="2"/>
  <c r="U619" i="2"/>
  <c r="T619" i="2"/>
  <c r="S619" i="2"/>
  <c r="R619" i="2"/>
  <c r="Q619" i="2"/>
  <c r="P619" i="2"/>
  <c r="O619" i="2"/>
  <c r="N619" i="2"/>
  <c r="L619" i="2"/>
  <c r="W618" i="2"/>
  <c r="V618" i="2"/>
  <c r="U618" i="2"/>
  <c r="T618" i="2"/>
  <c r="S618" i="2"/>
  <c r="R618" i="2"/>
  <c r="Q618" i="2"/>
  <c r="P618" i="2"/>
  <c r="O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L617" i="2"/>
  <c r="W616" i="2"/>
  <c r="V616" i="2"/>
  <c r="U616" i="2"/>
  <c r="T616" i="2"/>
  <c r="S616" i="2"/>
  <c r="R616" i="2"/>
  <c r="Q616" i="2"/>
  <c r="P616" i="2"/>
  <c r="O616" i="2"/>
  <c r="N616" i="2"/>
  <c r="L616" i="2"/>
  <c r="W615" i="2"/>
  <c r="V615" i="2"/>
  <c r="U615" i="2"/>
  <c r="T615" i="2"/>
  <c r="S615" i="2"/>
  <c r="R615" i="2"/>
  <c r="Q615" i="2"/>
  <c r="P615" i="2"/>
  <c r="O615" i="2"/>
  <c r="N615" i="2"/>
  <c r="L615" i="2"/>
  <c r="W614" i="2"/>
  <c r="V614" i="2"/>
  <c r="U614" i="2"/>
  <c r="T614" i="2"/>
  <c r="S614" i="2"/>
  <c r="R614" i="2"/>
  <c r="Q614" i="2"/>
  <c r="P614" i="2"/>
  <c r="O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L613" i="2"/>
  <c r="W612" i="2"/>
  <c r="V612" i="2"/>
  <c r="U612" i="2"/>
  <c r="T612" i="2"/>
  <c r="S612" i="2"/>
  <c r="R612" i="2"/>
  <c r="Q612" i="2"/>
  <c r="P612" i="2"/>
  <c r="O612" i="2"/>
  <c r="N612" i="2"/>
  <c r="L612" i="2"/>
  <c r="W611" i="2"/>
  <c r="V611" i="2"/>
  <c r="U611" i="2"/>
  <c r="T611" i="2"/>
  <c r="S611" i="2"/>
  <c r="R611" i="2"/>
  <c r="Q611" i="2"/>
  <c r="P611" i="2"/>
  <c r="O611" i="2"/>
  <c r="N611" i="2"/>
  <c r="L611" i="2"/>
  <c r="W610" i="2"/>
  <c r="V610" i="2"/>
  <c r="U610" i="2"/>
  <c r="T610" i="2"/>
  <c r="S610" i="2"/>
  <c r="R610" i="2"/>
  <c r="Q610" i="2"/>
  <c r="P610" i="2"/>
  <c r="O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L609" i="2"/>
  <c r="W608" i="2"/>
  <c r="V608" i="2"/>
  <c r="U608" i="2"/>
  <c r="T608" i="2"/>
  <c r="S608" i="2"/>
  <c r="R608" i="2"/>
  <c r="Q608" i="2"/>
  <c r="P608" i="2"/>
  <c r="O608" i="2"/>
  <c r="N608" i="2"/>
  <c r="L608" i="2"/>
  <c r="W607" i="2"/>
  <c r="V607" i="2"/>
  <c r="U607" i="2"/>
  <c r="T607" i="2"/>
  <c r="S607" i="2"/>
  <c r="R607" i="2"/>
  <c r="Q607" i="2"/>
  <c r="P607" i="2"/>
  <c r="O607" i="2"/>
  <c r="N607" i="2"/>
  <c r="L607" i="2"/>
  <c r="W606" i="2"/>
  <c r="V606" i="2"/>
  <c r="U606" i="2"/>
  <c r="T606" i="2"/>
  <c r="S606" i="2"/>
  <c r="R606" i="2"/>
  <c r="Q606" i="2"/>
  <c r="P606" i="2"/>
  <c r="O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L605" i="2"/>
  <c r="W604" i="2"/>
  <c r="V604" i="2"/>
  <c r="U604" i="2"/>
  <c r="T604" i="2"/>
  <c r="S604" i="2"/>
  <c r="R604" i="2"/>
  <c r="Q604" i="2"/>
  <c r="P604" i="2"/>
  <c r="O604" i="2"/>
  <c r="N604" i="2"/>
  <c r="L604" i="2"/>
  <c r="W603" i="2"/>
  <c r="V603" i="2"/>
  <c r="U603" i="2"/>
  <c r="T603" i="2"/>
  <c r="S603" i="2"/>
  <c r="R603" i="2"/>
  <c r="Q603" i="2"/>
  <c r="P603" i="2"/>
  <c r="O603" i="2"/>
  <c r="N603" i="2"/>
  <c r="L603" i="2"/>
  <c r="W602" i="2"/>
  <c r="V602" i="2"/>
  <c r="U602" i="2"/>
  <c r="T602" i="2"/>
  <c r="S602" i="2"/>
  <c r="R602" i="2"/>
  <c r="Q602" i="2"/>
  <c r="P602" i="2"/>
  <c r="O602" i="2"/>
  <c r="N602" i="2"/>
  <c r="L602" i="2"/>
  <c r="W601" i="2"/>
  <c r="V601" i="2"/>
  <c r="U601" i="2"/>
  <c r="T601" i="2"/>
  <c r="S601" i="2"/>
  <c r="R601" i="2"/>
  <c r="Q601" i="2"/>
  <c r="P601" i="2"/>
  <c r="O601" i="2"/>
  <c r="N601" i="2"/>
  <c r="L601" i="2"/>
  <c r="W600" i="2"/>
  <c r="V600" i="2"/>
  <c r="U600" i="2"/>
  <c r="T600" i="2"/>
  <c r="S600" i="2"/>
  <c r="R600" i="2"/>
  <c r="Q600" i="2"/>
  <c r="P600" i="2"/>
  <c r="O600" i="2"/>
  <c r="N600" i="2"/>
  <c r="L600" i="2"/>
  <c r="W599" i="2"/>
  <c r="V599" i="2"/>
  <c r="U599" i="2"/>
  <c r="T599" i="2"/>
  <c r="S599" i="2"/>
  <c r="R599" i="2"/>
  <c r="Q599" i="2"/>
  <c r="P599" i="2"/>
  <c r="O599" i="2"/>
  <c r="N599" i="2"/>
  <c r="L599" i="2"/>
  <c r="W598" i="2"/>
  <c r="V598" i="2"/>
  <c r="U598" i="2"/>
  <c r="T598" i="2"/>
  <c r="S598" i="2"/>
  <c r="R598" i="2"/>
  <c r="Q598" i="2"/>
  <c r="P598" i="2"/>
  <c r="O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L597" i="2"/>
  <c r="W596" i="2"/>
  <c r="V596" i="2"/>
  <c r="U596" i="2"/>
  <c r="T596" i="2"/>
  <c r="S596" i="2"/>
  <c r="R596" i="2"/>
  <c r="Q596" i="2"/>
  <c r="P596" i="2"/>
  <c r="O596" i="2"/>
  <c r="N596" i="2"/>
  <c r="L596" i="2"/>
  <c r="W595" i="2"/>
  <c r="V595" i="2"/>
  <c r="U595" i="2"/>
  <c r="T595" i="2"/>
  <c r="S595" i="2"/>
  <c r="R595" i="2"/>
  <c r="Q595" i="2"/>
  <c r="P595" i="2"/>
  <c r="O595" i="2"/>
  <c r="N595" i="2"/>
  <c r="L595" i="2"/>
  <c r="W594" i="2"/>
  <c r="V594" i="2"/>
  <c r="U594" i="2"/>
  <c r="T594" i="2"/>
  <c r="S594" i="2"/>
  <c r="R594" i="2"/>
  <c r="Q594" i="2"/>
  <c r="P594" i="2"/>
  <c r="O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L593" i="2"/>
  <c r="W592" i="2"/>
  <c r="V592" i="2"/>
  <c r="U592" i="2"/>
  <c r="T592" i="2"/>
  <c r="S592" i="2"/>
  <c r="R592" i="2"/>
  <c r="Q592" i="2"/>
  <c r="P592" i="2"/>
  <c r="O592" i="2"/>
  <c r="N592" i="2"/>
  <c r="L592" i="2"/>
  <c r="W591" i="2"/>
  <c r="V591" i="2"/>
  <c r="U591" i="2"/>
  <c r="T591" i="2"/>
  <c r="S591" i="2"/>
  <c r="R591" i="2"/>
  <c r="Q591" i="2"/>
  <c r="P591" i="2"/>
  <c r="O591" i="2"/>
  <c r="N591" i="2"/>
  <c r="L591" i="2"/>
  <c r="W590" i="2"/>
  <c r="V590" i="2"/>
  <c r="U590" i="2"/>
  <c r="T590" i="2"/>
  <c r="S590" i="2"/>
  <c r="R590" i="2"/>
  <c r="Q590" i="2"/>
  <c r="P590" i="2"/>
  <c r="O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L589" i="2"/>
  <c r="W588" i="2"/>
  <c r="V588" i="2"/>
  <c r="U588" i="2"/>
  <c r="T588" i="2"/>
  <c r="S588" i="2"/>
  <c r="R588" i="2"/>
  <c r="Q588" i="2"/>
  <c r="P588" i="2"/>
  <c r="O588" i="2"/>
  <c r="N588" i="2"/>
  <c r="L588" i="2"/>
  <c r="M588" i="2" s="1"/>
  <c r="W587" i="2"/>
  <c r="V587" i="2"/>
  <c r="U587" i="2"/>
  <c r="T587" i="2"/>
  <c r="S587" i="2"/>
  <c r="R587" i="2"/>
  <c r="Q587" i="2"/>
  <c r="P587" i="2"/>
  <c r="O587" i="2"/>
  <c r="N587" i="2"/>
  <c r="L587" i="2"/>
  <c r="W586" i="2"/>
  <c r="V586" i="2"/>
  <c r="U586" i="2"/>
  <c r="T586" i="2"/>
  <c r="S586" i="2"/>
  <c r="R586" i="2"/>
  <c r="Q586" i="2"/>
  <c r="P586" i="2"/>
  <c r="O586" i="2"/>
  <c r="N586" i="2"/>
  <c r="L586" i="2"/>
  <c r="W585" i="2"/>
  <c r="V585" i="2"/>
  <c r="U585" i="2"/>
  <c r="T585" i="2"/>
  <c r="S585" i="2"/>
  <c r="R585" i="2"/>
  <c r="Q585" i="2"/>
  <c r="P585" i="2"/>
  <c r="O585" i="2"/>
  <c r="N585" i="2"/>
  <c r="L585" i="2"/>
  <c r="W584" i="2"/>
  <c r="V584" i="2"/>
  <c r="U584" i="2"/>
  <c r="T584" i="2"/>
  <c r="S584" i="2"/>
  <c r="R584" i="2"/>
  <c r="Q584" i="2"/>
  <c r="P584" i="2"/>
  <c r="O584" i="2"/>
  <c r="N584" i="2"/>
  <c r="L584" i="2"/>
  <c r="W583" i="2"/>
  <c r="V583" i="2"/>
  <c r="U583" i="2"/>
  <c r="T583" i="2"/>
  <c r="S583" i="2"/>
  <c r="R583" i="2"/>
  <c r="Q583" i="2"/>
  <c r="P583" i="2"/>
  <c r="O583" i="2"/>
  <c r="N583" i="2"/>
  <c r="L583" i="2"/>
  <c r="W582" i="2"/>
  <c r="V582" i="2"/>
  <c r="U582" i="2"/>
  <c r="T582" i="2"/>
  <c r="S582" i="2"/>
  <c r="R582" i="2"/>
  <c r="Q582" i="2"/>
  <c r="P582" i="2"/>
  <c r="O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L581" i="2"/>
  <c r="W580" i="2"/>
  <c r="V580" i="2"/>
  <c r="U580" i="2"/>
  <c r="T580" i="2"/>
  <c r="S580" i="2"/>
  <c r="R580" i="2"/>
  <c r="Q580" i="2"/>
  <c r="P580" i="2"/>
  <c r="O580" i="2"/>
  <c r="N580" i="2"/>
  <c r="L580" i="2"/>
  <c r="W579" i="2"/>
  <c r="V579" i="2"/>
  <c r="U579" i="2"/>
  <c r="T579" i="2"/>
  <c r="S579" i="2"/>
  <c r="R579" i="2"/>
  <c r="Q579" i="2"/>
  <c r="P579" i="2"/>
  <c r="O579" i="2"/>
  <c r="N579" i="2"/>
  <c r="L579" i="2"/>
  <c r="W578" i="2"/>
  <c r="V578" i="2"/>
  <c r="U578" i="2"/>
  <c r="T578" i="2"/>
  <c r="S578" i="2"/>
  <c r="R578" i="2"/>
  <c r="Q578" i="2"/>
  <c r="P578" i="2"/>
  <c r="O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L577" i="2"/>
  <c r="W576" i="2"/>
  <c r="V576" i="2"/>
  <c r="U576" i="2"/>
  <c r="T576" i="2"/>
  <c r="S576" i="2"/>
  <c r="R576" i="2"/>
  <c r="Q576" i="2"/>
  <c r="P576" i="2"/>
  <c r="O576" i="2"/>
  <c r="N576" i="2"/>
  <c r="L576" i="2"/>
  <c r="W575" i="2"/>
  <c r="V575" i="2"/>
  <c r="U575" i="2"/>
  <c r="T575" i="2"/>
  <c r="S575" i="2"/>
  <c r="R575" i="2"/>
  <c r="Q575" i="2"/>
  <c r="P575" i="2"/>
  <c r="O575" i="2"/>
  <c r="N575" i="2"/>
  <c r="L575" i="2"/>
  <c r="W574" i="2"/>
  <c r="V574" i="2"/>
  <c r="U574" i="2"/>
  <c r="T574" i="2"/>
  <c r="S574" i="2"/>
  <c r="R574" i="2"/>
  <c r="Q574" i="2"/>
  <c r="P574" i="2"/>
  <c r="O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L573" i="2"/>
  <c r="W572" i="2"/>
  <c r="V572" i="2"/>
  <c r="U572" i="2"/>
  <c r="T572" i="2"/>
  <c r="S572" i="2"/>
  <c r="R572" i="2"/>
  <c r="Q572" i="2"/>
  <c r="P572" i="2"/>
  <c r="O572" i="2"/>
  <c r="N572" i="2"/>
  <c r="L572" i="2"/>
  <c r="W571" i="2"/>
  <c r="V571" i="2"/>
  <c r="U571" i="2"/>
  <c r="T571" i="2"/>
  <c r="S571" i="2"/>
  <c r="R571" i="2"/>
  <c r="Q571" i="2"/>
  <c r="P571" i="2"/>
  <c r="O571" i="2"/>
  <c r="N571" i="2"/>
  <c r="L571" i="2"/>
  <c r="W570" i="2"/>
  <c r="V570" i="2"/>
  <c r="U570" i="2"/>
  <c r="T570" i="2"/>
  <c r="S570" i="2"/>
  <c r="R570" i="2"/>
  <c r="Q570" i="2"/>
  <c r="P570" i="2"/>
  <c r="O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L569" i="2"/>
  <c r="W568" i="2"/>
  <c r="V568" i="2"/>
  <c r="U568" i="2"/>
  <c r="T568" i="2"/>
  <c r="S568" i="2"/>
  <c r="R568" i="2"/>
  <c r="Q568" i="2"/>
  <c r="P568" i="2"/>
  <c r="O568" i="2"/>
  <c r="N568" i="2"/>
  <c r="L568" i="2"/>
  <c r="W567" i="2"/>
  <c r="V567" i="2"/>
  <c r="U567" i="2"/>
  <c r="T567" i="2"/>
  <c r="S567" i="2"/>
  <c r="R567" i="2"/>
  <c r="Q567" i="2"/>
  <c r="P567" i="2"/>
  <c r="O567" i="2"/>
  <c r="N567" i="2"/>
  <c r="L567" i="2"/>
  <c r="W566" i="2"/>
  <c r="V566" i="2"/>
  <c r="U566" i="2"/>
  <c r="T566" i="2"/>
  <c r="S566" i="2"/>
  <c r="R566" i="2"/>
  <c r="Q566" i="2"/>
  <c r="P566" i="2"/>
  <c r="O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L565" i="2"/>
  <c r="W564" i="2"/>
  <c r="V564" i="2"/>
  <c r="U564" i="2"/>
  <c r="T564" i="2"/>
  <c r="S564" i="2"/>
  <c r="R564" i="2"/>
  <c r="Q564" i="2"/>
  <c r="P564" i="2"/>
  <c r="O564" i="2"/>
  <c r="N564" i="2"/>
  <c r="L564" i="2"/>
  <c r="W563" i="2"/>
  <c r="V563" i="2"/>
  <c r="U563" i="2"/>
  <c r="T563" i="2"/>
  <c r="S563" i="2"/>
  <c r="R563" i="2"/>
  <c r="Q563" i="2"/>
  <c r="P563" i="2"/>
  <c r="O563" i="2"/>
  <c r="N563" i="2"/>
  <c r="L563" i="2"/>
  <c r="W562" i="2"/>
  <c r="V562" i="2"/>
  <c r="U562" i="2"/>
  <c r="T562" i="2"/>
  <c r="S562" i="2"/>
  <c r="R562" i="2"/>
  <c r="Q562" i="2"/>
  <c r="P562" i="2"/>
  <c r="O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L561" i="2"/>
  <c r="W560" i="2"/>
  <c r="V560" i="2"/>
  <c r="U560" i="2"/>
  <c r="T560" i="2"/>
  <c r="S560" i="2"/>
  <c r="R560" i="2"/>
  <c r="Q560" i="2"/>
  <c r="P560" i="2"/>
  <c r="O560" i="2"/>
  <c r="N560" i="2"/>
  <c r="L560" i="2"/>
  <c r="W559" i="2"/>
  <c r="V559" i="2"/>
  <c r="U559" i="2"/>
  <c r="T559" i="2"/>
  <c r="S559" i="2"/>
  <c r="R559" i="2"/>
  <c r="Q559" i="2"/>
  <c r="P559" i="2"/>
  <c r="O559" i="2"/>
  <c r="N559" i="2"/>
  <c r="L559" i="2"/>
  <c r="W558" i="2"/>
  <c r="V558" i="2"/>
  <c r="U558" i="2"/>
  <c r="T558" i="2"/>
  <c r="S558" i="2"/>
  <c r="R558" i="2"/>
  <c r="Q558" i="2"/>
  <c r="P558" i="2"/>
  <c r="O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L557" i="2"/>
  <c r="W556" i="2"/>
  <c r="V556" i="2"/>
  <c r="U556" i="2"/>
  <c r="T556" i="2"/>
  <c r="S556" i="2"/>
  <c r="R556" i="2"/>
  <c r="Q556" i="2"/>
  <c r="P556" i="2"/>
  <c r="O556" i="2"/>
  <c r="N556" i="2"/>
  <c r="L556" i="2"/>
  <c r="W555" i="2"/>
  <c r="V555" i="2"/>
  <c r="U555" i="2"/>
  <c r="T555" i="2"/>
  <c r="S555" i="2"/>
  <c r="R555" i="2"/>
  <c r="Q555" i="2"/>
  <c r="P555" i="2"/>
  <c r="O555" i="2"/>
  <c r="N555" i="2"/>
  <c r="L555" i="2"/>
  <c r="W554" i="2"/>
  <c r="V554" i="2"/>
  <c r="U554" i="2"/>
  <c r="T554" i="2"/>
  <c r="S554" i="2"/>
  <c r="R554" i="2"/>
  <c r="Q554" i="2"/>
  <c r="P554" i="2"/>
  <c r="O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L553" i="2"/>
  <c r="W552" i="2"/>
  <c r="V552" i="2"/>
  <c r="U552" i="2"/>
  <c r="T552" i="2"/>
  <c r="S552" i="2"/>
  <c r="R552" i="2"/>
  <c r="Q552" i="2"/>
  <c r="P552" i="2"/>
  <c r="O552" i="2"/>
  <c r="N552" i="2"/>
  <c r="L552" i="2"/>
  <c r="W551" i="2"/>
  <c r="V551" i="2"/>
  <c r="U551" i="2"/>
  <c r="T551" i="2"/>
  <c r="S551" i="2"/>
  <c r="R551" i="2"/>
  <c r="Q551" i="2"/>
  <c r="P551" i="2"/>
  <c r="O551" i="2"/>
  <c r="N551" i="2"/>
  <c r="L551" i="2"/>
  <c r="W550" i="2"/>
  <c r="V550" i="2"/>
  <c r="U550" i="2"/>
  <c r="T550" i="2"/>
  <c r="S550" i="2"/>
  <c r="R550" i="2"/>
  <c r="Q550" i="2"/>
  <c r="P550" i="2"/>
  <c r="O550" i="2"/>
  <c r="N550" i="2"/>
  <c r="L550" i="2"/>
  <c r="M550" i="2" s="1"/>
  <c r="W549" i="2"/>
  <c r="V549" i="2"/>
  <c r="U549" i="2"/>
  <c r="T549" i="2"/>
  <c r="S549" i="2"/>
  <c r="R549" i="2"/>
  <c r="Q549" i="2"/>
  <c r="P549" i="2"/>
  <c r="O549" i="2"/>
  <c r="N549" i="2"/>
  <c r="L549" i="2"/>
  <c r="W548" i="2"/>
  <c r="V548" i="2"/>
  <c r="U548" i="2"/>
  <c r="T548" i="2"/>
  <c r="S548" i="2"/>
  <c r="R548" i="2"/>
  <c r="Q548" i="2"/>
  <c r="P548" i="2"/>
  <c r="O548" i="2"/>
  <c r="N548" i="2"/>
  <c r="L548" i="2"/>
  <c r="W547" i="2"/>
  <c r="V547" i="2"/>
  <c r="U547" i="2"/>
  <c r="T547" i="2"/>
  <c r="S547" i="2"/>
  <c r="R547" i="2"/>
  <c r="Q547" i="2"/>
  <c r="P547" i="2"/>
  <c r="O547" i="2"/>
  <c r="N547" i="2"/>
  <c r="L547" i="2"/>
  <c r="W546" i="2"/>
  <c r="V546" i="2"/>
  <c r="U546" i="2"/>
  <c r="T546" i="2"/>
  <c r="S546" i="2"/>
  <c r="R546" i="2"/>
  <c r="Q546" i="2"/>
  <c r="P546" i="2"/>
  <c r="O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L544" i="2"/>
  <c r="W543" i="2"/>
  <c r="V543" i="2"/>
  <c r="U543" i="2"/>
  <c r="T543" i="2"/>
  <c r="S543" i="2"/>
  <c r="R543" i="2"/>
  <c r="Q543" i="2"/>
  <c r="P543" i="2"/>
  <c r="O543" i="2"/>
  <c r="N543" i="2"/>
  <c r="L543" i="2"/>
  <c r="W542" i="2"/>
  <c r="V542" i="2"/>
  <c r="U542" i="2"/>
  <c r="T542" i="2"/>
  <c r="S542" i="2"/>
  <c r="R542" i="2"/>
  <c r="Q542" i="2"/>
  <c r="P542" i="2"/>
  <c r="O542" i="2"/>
  <c r="N542" i="2"/>
  <c r="L542" i="2"/>
  <c r="M542" i="2" s="1"/>
  <c r="W541" i="2"/>
  <c r="V541" i="2"/>
  <c r="U541" i="2"/>
  <c r="T541" i="2"/>
  <c r="S541" i="2"/>
  <c r="R541" i="2"/>
  <c r="Q541" i="2"/>
  <c r="P541" i="2"/>
  <c r="O541" i="2"/>
  <c r="N541" i="2"/>
  <c r="L541" i="2"/>
  <c r="W540" i="2"/>
  <c r="V540" i="2"/>
  <c r="U540" i="2"/>
  <c r="T540" i="2"/>
  <c r="S540" i="2"/>
  <c r="R540" i="2"/>
  <c r="Q540" i="2"/>
  <c r="P540" i="2"/>
  <c r="O540" i="2"/>
  <c r="N540" i="2"/>
  <c r="L540" i="2"/>
  <c r="W539" i="2"/>
  <c r="V539" i="2"/>
  <c r="U539" i="2"/>
  <c r="T539" i="2"/>
  <c r="S539" i="2"/>
  <c r="R539" i="2"/>
  <c r="Q539" i="2"/>
  <c r="P539" i="2"/>
  <c r="O539" i="2"/>
  <c r="N539" i="2"/>
  <c r="L539" i="2"/>
  <c r="W538" i="2"/>
  <c r="V538" i="2"/>
  <c r="U538" i="2"/>
  <c r="T538" i="2"/>
  <c r="S538" i="2"/>
  <c r="R538" i="2"/>
  <c r="Q538" i="2"/>
  <c r="P538" i="2"/>
  <c r="O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L537" i="2"/>
  <c r="W536" i="2"/>
  <c r="V536" i="2"/>
  <c r="U536" i="2"/>
  <c r="T536" i="2"/>
  <c r="S536" i="2"/>
  <c r="R536" i="2"/>
  <c r="Q536" i="2"/>
  <c r="P536" i="2"/>
  <c r="O536" i="2"/>
  <c r="N536" i="2"/>
  <c r="L536" i="2"/>
  <c r="W535" i="2"/>
  <c r="V535" i="2"/>
  <c r="U535" i="2"/>
  <c r="T535" i="2"/>
  <c r="S535" i="2"/>
  <c r="R535" i="2"/>
  <c r="Q535" i="2"/>
  <c r="P535" i="2"/>
  <c r="O535" i="2"/>
  <c r="N535" i="2"/>
  <c r="L535" i="2"/>
  <c r="W534" i="2"/>
  <c r="V534" i="2"/>
  <c r="U534" i="2"/>
  <c r="T534" i="2"/>
  <c r="S534" i="2"/>
  <c r="R534" i="2"/>
  <c r="Q534" i="2"/>
  <c r="P534" i="2"/>
  <c r="O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L533" i="2"/>
  <c r="W532" i="2"/>
  <c r="V532" i="2"/>
  <c r="U532" i="2"/>
  <c r="T532" i="2"/>
  <c r="S532" i="2"/>
  <c r="R532" i="2"/>
  <c r="Q532" i="2"/>
  <c r="P532" i="2"/>
  <c r="O532" i="2"/>
  <c r="N532" i="2"/>
  <c r="L532" i="2"/>
  <c r="W531" i="2"/>
  <c r="V531" i="2"/>
  <c r="U531" i="2"/>
  <c r="T531" i="2"/>
  <c r="S531" i="2"/>
  <c r="R531" i="2"/>
  <c r="Q531" i="2"/>
  <c r="P531" i="2"/>
  <c r="O531" i="2"/>
  <c r="N531" i="2"/>
  <c r="L531" i="2"/>
  <c r="W530" i="2"/>
  <c r="V530" i="2"/>
  <c r="U530" i="2"/>
  <c r="T530" i="2"/>
  <c r="S530" i="2"/>
  <c r="R530" i="2"/>
  <c r="Q530" i="2"/>
  <c r="P530" i="2"/>
  <c r="O530" i="2"/>
  <c r="N530" i="2"/>
  <c r="L530" i="2"/>
  <c r="W529" i="2"/>
  <c r="V529" i="2"/>
  <c r="U529" i="2"/>
  <c r="T529" i="2"/>
  <c r="S529" i="2"/>
  <c r="R529" i="2"/>
  <c r="Q529" i="2"/>
  <c r="P529" i="2"/>
  <c r="O529" i="2"/>
  <c r="N529" i="2"/>
  <c r="L529" i="2"/>
  <c r="W528" i="2"/>
  <c r="V528" i="2"/>
  <c r="U528" i="2"/>
  <c r="T528" i="2"/>
  <c r="S528" i="2"/>
  <c r="R528" i="2"/>
  <c r="Q528" i="2"/>
  <c r="P528" i="2"/>
  <c r="O528" i="2"/>
  <c r="N528" i="2"/>
  <c r="L528" i="2"/>
  <c r="W527" i="2"/>
  <c r="V527" i="2"/>
  <c r="U527" i="2"/>
  <c r="T527" i="2"/>
  <c r="S527" i="2"/>
  <c r="R527" i="2"/>
  <c r="Q527" i="2"/>
  <c r="P527" i="2"/>
  <c r="O527" i="2"/>
  <c r="N527" i="2"/>
  <c r="L527" i="2"/>
  <c r="W526" i="2"/>
  <c r="V526" i="2"/>
  <c r="U526" i="2"/>
  <c r="T526" i="2"/>
  <c r="S526" i="2"/>
  <c r="R526" i="2"/>
  <c r="Q526" i="2"/>
  <c r="P526" i="2"/>
  <c r="O526" i="2"/>
  <c r="N526" i="2"/>
  <c r="L526" i="2"/>
  <c r="W525" i="2"/>
  <c r="V525" i="2"/>
  <c r="U525" i="2"/>
  <c r="T525" i="2"/>
  <c r="S525" i="2"/>
  <c r="R525" i="2"/>
  <c r="Q525" i="2"/>
  <c r="P525" i="2"/>
  <c r="O525" i="2"/>
  <c r="N525" i="2"/>
  <c r="L525" i="2"/>
  <c r="W524" i="2"/>
  <c r="V524" i="2"/>
  <c r="U524" i="2"/>
  <c r="T524" i="2"/>
  <c r="S524" i="2"/>
  <c r="R524" i="2"/>
  <c r="Q524" i="2"/>
  <c r="P524" i="2"/>
  <c r="O524" i="2"/>
  <c r="N524" i="2"/>
  <c r="L524" i="2"/>
  <c r="W523" i="2"/>
  <c r="V523" i="2"/>
  <c r="U523" i="2"/>
  <c r="T523" i="2"/>
  <c r="S523" i="2"/>
  <c r="R523" i="2"/>
  <c r="Q523" i="2"/>
  <c r="P523" i="2"/>
  <c r="O523" i="2"/>
  <c r="N523" i="2"/>
  <c r="L523" i="2"/>
  <c r="W522" i="2"/>
  <c r="V522" i="2"/>
  <c r="U522" i="2"/>
  <c r="T522" i="2"/>
  <c r="S522" i="2"/>
  <c r="R522" i="2"/>
  <c r="Q522" i="2"/>
  <c r="P522" i="2"/>
  <c r="O522" i="2"/>
  <c r="N522" i="2"/>
  <c r="L522" i="2"/>
  <c r="W521" i="2"/>
  <c r="V521" i="2"/>
  <c r="U521" i="2"/>
  <c r="T521" i="2"/>
  <c r="S521" i="2"/>
  <c r="R521" i="2"/>
  <c r="Q521" i="2"/>
  <c r="P521" i="2"/>
  <c r="O521" i="2"/>
  <c r="N521" i="2"/>
  <c r="L521" i="2"/>
  <c r="W520" i="2"/>
  <c r="V520" i="2"/>
  <c r="U520" i="2"/>
  <c r="T520" i="2"/>
  <c r="S520" i="2"/>
  <c r="R520" i="2"/>
  <c r="Q520" i="2"/>
  <c r="P520" i="2"/>
  <c r="O520" i="2"/>
  <c r="N520" i="2"/>
  <c r="L520" i="2"/>
  <c r="W519" i="2"/>
  <c r="V519" i="2"/>
  <c r="U519" i="2"/>
  <c r="T519" i="2"/>
  <c r="S519" i="2"/>
  <c r="R519" i="2"/>
  <c r="Q519" i="2"/>
  <c r="P519" i="2"/>
  <c r="O519" i="2"/>
  <c r="N519" i="2"/>
  <c r="L519" i="2"/>
  <c r="W518" i="2"/>
  <c r="V518" i="2"/>
  <c r="U518" i="2"/>
  <c r="T518" i="2"/>
  <c r="S518" i="2"/>
  <c r="R518" i="2"/>
  <c r="Q518" i="2"/>
  <c r="P518" i="2"/>
  <c r="O518" i="2"/>
  <c r="N518" i="2"/>
  <c r="L518" i="2"/>
  <c r="W517" i="2"/>
  <c r="V517" i="2"/>
  <c r="U517" i="2"/>
  <c r="T517" i="2"/>
  <c r="S517" i="2"/>
  <c r="R517" i="2"/>
  <c r="Q517" i="2"/>
  <c r="P517" i="2"/>
  <c r="O517" i="2"/>
  <c r="N517" i="2"/>
  <c r="L517" i="2"/>
  <c r="M517" i="2" s="1"/>
  <c r="W516" i="2"/>
  <c r="V516" i="2"/>
  <c r="U516" i="2"/>
  <c r="T516" i="2"/>
  <c r="S516" i="2"/>
  <c r="R516" i="2"/>
  <c r="Q516" i="2"/>
  <c r="P516" i="2"/>
  <c r="O516" i="2"/>
  <c r="N516" i="2"/>
  <c r="L516" i="2"/>
  <c r="W515" i="2"/>
  <c r="V515" i="2"/>
  <c r="U515" i="2"/>
  <c r="T515" i="2"/>
  <c r="S515" i="2"/>
  <c r="R515" i="2"/>
  <c r="Q515" i="2"/>
  <c r="P515" i="2"/>
  <c r="O515" i="2"/>
  <c r="N515" i="2"/>
  <c r="L515" i="2"/>
  <c r="W514" i="2"/>
  <c r="V514" i="2"/>
  <c r="U514" i="2"/>
  <c r="T514" i="2"/>
  <c r="S514" i="2"/>
  <c r="R514" i="2"/>
  <c r="Q514" i="2"/>
  <c r="P514" i="2"/>
  <c r="O514" i="2"/>
  <c r="N514" i="2"/>
  <c r="L514" i="2"/>
  <c r="W513" i="2"/>
  <c r="V513" i="2"/>
  <c r="U513" i="2"/>
  <c r="T513" i="2"/>
  <c r="S513" i="2"/>
  <c r="R513" i="2"/>
  <c r="Q513" i="2"/>
  <c r="P513" i="2"/>
  <c r="O513" i="2"/>
  <c r="N513" i="2"/>
  <c r="L513" i="2"/>
  <c r="W512" i="2"/>
  <c r="V512" i="2"/>
  <c r="U512" i="2"/>
  <c r="T512" i="2"/>
  <c r="S512" i="2"/>
  <c r="R512" i="2"/>
  <c r="Q512" i="2"/>
  <c r="P512" i="2"/>
  <c r="O512" i="2"/>
  <c r="N512" i="2"/>
  <c r="L512" i="2"/>
  <c r="W511" i="2"/>
  <c r="V511" i="2"/>
  <c r="U511" i="2"/>
  <c r="T511" i="2"/>
  <c r="S511" i="2"/>
  <c r="R511" i="2"/>
  <c r="Q511" i="2"/>
  <c r="P511" i="2"/>
  <c r="O511" i="2"/>
  <c r="N511" i="2"/>
  <c r="L511" i="2"/>
  <c r="M511" i="2" s="1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L510" i="2"/>
  <c r="W509" i="2"/>
  <c r="V509" i="2"/>
  <c r="U509" i="2"/>
  <c r="T509" i="2"/>
  <c r="S509" i="2"/>
  <c r="R509" i="2"/>
  <c r="Q509" i="2"/>
  <c r="P509" i="2"/>
  <c r="O509" i="2"/>
  <c r="N509" i="2"/>
  <c r="L509" i="2"/>
  <c r="W508" i="2"/>
  <c r="V508" i="2"/>
  <c r="U508" i="2"/>
  <c r="T508" i="2"/>
  <c r="S508" i="2"/>
  <c r="R508" i="2"/>
  <c r="Q508" i="2"/>
  <c r="P508" i="2"/>
  <c r="O508" i="2"/>
  <c r="N508" i="2"/>
  <c r="L508" i="2"/>
  <c r="W507" i="2"/>
  <c r="V507" i="2"/>
  <c r="U507" i="2"/>
  <c r="T507" i="2"/>
  <c r="S507" i="2"/>
  <c r="R507" i="2"/>
  <c r="Q507" i="2"/>
  <c r="P507" i="2"/>
  <c r="O507" i="2"/>
  <c r="N507" i="2"/>
  <c r="L507" i="2"/>
  <c r="W506" i="2"/>
  <c r="V506" i="2"/>
  <c r="U506" i="2"/>
  <c r="T506" i="2"/>
  <c r="S506" i="2"/>
  <c r="R506" i="2"/>
  <c r="Q506" i="2"/>
  <c r="P506" i="2"/>
  <c r="O506" i="2"/>
  <c r="N506" i="2"/>
  <c r="L506" i="2"/>
  <c r="W505" i="2"/>
  <c r="V505" i="2"/>
  <c r="U505" i="2"/>
  <c r="T505" i="2"/>
  <c r="S505" i="2"/>
  <c r="R505" i="2"/>
  <c r="Q505" i="2"/>
  <c r="P505" i="2"/>
  <c r="O505" i="2"/>
  <c r="N505" i="2"/>
  <c r="L505" i="2"/>
  <c r="W504" i="2"/>
  <c r="V504" i="2"/>
  <c r="U504" i="2"/>
  <c r="T504" i="2"/>
  <c r="S504" i="2"/>
  <c r="R504" i="2"/>
  <c r="Q504" i="2"/>
  <c r="P504" i="2"/>
  <c r="O504" i="2"/>
  <c r="N504" i="2"/>
  <c r="L504" i="2"/>
  <c r="W503" i="2"/>
  <c r="V503" i="2"/>
  <c r="U503" i="2"/>
  <c r="T503" i="2"/>
  <c r="S503" i="2"/>
  <c r="R503" i="2"/>
  <c r="Q503" i="2"/>
  <c r="P503" i="2"/>
  <c r="O503" i="2"/>
  <c r="N503" i="2"/>
  <c r="L503" i="2"/>
  <c r="W502" i="2"/>
  <c r="V502" i="2"/>
  <c r="U502" i="2"/>
  <c r="T502" i="2"/>
  <c r="S502" i="2"/>
  <c r="R502" i="2"/>
  <c r="Q502" i="2"/>
  <c r="P502" i="2"/>
  <c r="O502" i="2"/>
  <c r="N502" i="2"/>
  <c r="L502" i="2"/>
  <c r="W501" i="2"/>
  <c r="V501" i="2"/>
  <c r="U501" i="2"/>
  <c r="T501" i="2"/>
  <c r="S501" i="2"/>
  <c r="R501" i="2"/>
  <c r="Q501" i="2"/>
  <c r="P501" i="2"/>
  <c r="O501" i="2"/>
  <c r="N501" i="2"/>
  <c r="L501" i="2"/>
  <c r="W500" i="2"/>
  <c r="V500" i="2"/>
  <c r="U500" i="2"/>
  <c r="T500" i="2"/>
  <c r="S500" i="2"/>
  <c r="R500" i="2"/>
  <c r="Q500" i="2"/>
  <c r="P500" i="2"/>
  <c r="O500" i="2"/>
  <c r="N500" i="2"/>
  <c r="L500" i="2"/>
  <c r="W499" i="2"/>
  <c r="V499" i="2"/>
  <c r="U499" i="2"/>
  <c r="T499" i="2"/>
  <c r="S499" i="2"/>
  <c r="R499" i="2"/>
  <c r="Q499" i="2"/>
  <c r="P499" i="2"/>
  <c r="O499" i="2"/>
  <c r="N499" i="2"/>
  <c r="L499" i="2"/>
  <c r="W498" i="2"/>
  <c r="V498" i="2"/>
  <c r="U498" i="2"/>
  <c r="T498" i="2"/>
  <c r="S498" i="2"/>
  <c r="R498" i="2"/>
  <c r="Q498" i="2"/>
  <c r="P498" i="2"/>
  <c r="O498" i="2"/>
  <c r="N498" i="2"/>
  <c r="L498" i="2"/>
  <c r="W497" i="2"/>
  <c r="V497" i="2"/>
  <c r="U497" i="2"/>
  <c r="T497" i="2"/>
  <c r="S497" i="2"/>
  <c r="R497" i="2"/>
  <c r="Q497" i="2"/>
  <c r="P497" i="2"/>
  <c r="O497" i="2"/>
  <c r="N497" i="2"/>
  <c r="L497" i="2"/>
  <c r="W496" i="2"/>
  <c r="V496" i="2"/>
  <c r="U496" i="2"/>
  <c r="T496" i="2"/>
  <c r="S496" i="2"/>
  <c r="R496" i="2"/>
  <c r="Q496" i="2"/>
  <c r="P496" i="2"/>
  <c r="O496" i="2"/>
  <c r="N496" i="2"/>
  <c r="L496" i="2"/>
  <c r="W495" i="2"/>
  <c r="V495" i="2"/>
  <c r="U495" i="2"/>
  <c r="T495" i="2"/>
  <c r="S495" i="2"/>
  <c r="R495" i="2"/>
  <c r="Q495" i="2"/>
  <c r="P495" i="2"/>
  <c r="O495" i="2"/>
  <c r="N495" i="2"/>
  <c r="L495" i="2"/>
  <c r="W494" i="2"/>
  <c r="V494" i="2"/>
  <c r="U494" i="2"/>
  <c r="T494" i="2"/>
  <c r="S494" i="2"/>
  <c r="R494" i="2"/>
  <c r="Q494" i="2"/>
  <c r="P494" i="2"/>
  <c r="O494" i="2"/>
  <c r="N494" i="2"/>
  <c r="L494" i="2"/>
  <c r="W493" i="2"/>
  <c r="V493" i="2"/>
  <c r="U493" i="2"/>
  <c r="T493" i="2"/>
  <c r="S493" i="2"/>
  <c r="R493" i="2"/>
  <c r="Q493" i="2"/>
  <c r="P493" i="2"/>
  <c r="O493" i="2"/>
  <c r="N493" i="2"/>
  <c r="L493" i="2"/>
  <c r="W492" i="2"/>
  <c r="V492" i="2"/>
  <c r="U492" i="2"/>
  <c r="T492" i="2"/>
  <c r="S492" i="2"/>
  <c r="R492" i="2"/>
  <c r="Q492" i="2"/>
  <c r="P492" i="2"/>
  <c r="O492" i="2"/>
  <c r="N492" i="2"/>
  <c r="L492" i="2"/>
  <c r="W491" i="2"/>
  <c r="V491" i="2"/>
  <c r="U491" i="2"/>
  <c r="T491" i="2"/>
  <c r="S491" i="2"/>
  <c r="R491" i="2"/>
  <c r="Q491" i="2"/>
  <c r="P491" i="2"/>
  <c r="O491" i="2"/>
  <c r="N491" i="2"/>
  <c r="L491" i="2"/>
  <c r="W490" i="2"/>
  <c r="V490" i="2"/>
  <c r="U490" i="2"/>
  <c r="T490" i="2"/>
  <c r="S490" i="2"/>
  <c r="R490" i="2"/>
  <c r="Q490" i="2"/>
  <c r="P490" i="2"/>
  <c r="O490" i="2"/>
  <c r="N490" i="2"/>
  <c r="L490" i="2"/>
  <c r="W489" i="2"/>
  <c r="V489" i="2"/>
  <c r="U489" i="2"/>
  <c r="T489" i="2"/>
  <c r="S489" i="2"/>
  <c r="R489" i="2"/>
  <c r="Q489" i="2"/>
  <c r="P489" i="2"/>
  <c r="O489" i="2"/>
  <c r="N489" i="2"/>
  <c r="L489" i="2"/>
  <c r="W488" i="2"/>
  <c r="V488" i="2"/>
  <c r="U488" i="2"/>
  <c r="T488" i="2"/>
  <c r="S488" i="2"/>
  <c r="R488" i="2"/>
  <c r="Q488" i="2"/>
  <c r="P488" i="2"/>
  <c r="O488" i="2"/>
  <c r="N488" i="2"/>
  <c r="L488" i="2"/>
  <c r="W487" i="2"/>
  <c r="V487" i="2"/>
  <c r="U487" i="2"/>
  <c r="T487" i="2"/>
  <c r="S487" i="2"/>
  <c r="R487" i="2"/>
  <c r="Q487" i="2"/>
  <c r="P487" i="2"/>
  <c r="O487" i="2"/>
  <c r="N487" i="2"/>
  <c r="L487" i="2"/>
  <c r="W486" i="2"/>
  <c r="V486" i="2"/>
  <c r="U486" i="2"/>
  <c r="T486" i="2"/>
  <c r="S486" i="2"/>
  <c r="R486" i="2"/>
  <c r="Q486" i="2"/>
  <c r="P486" i="2"/>
  <c r="O486" i="2"/>
  <c r="N486" i="2"/>
  <c r="L486" i="2"/>
  <c r="M486" i="2" s="1"/>
  <c r="W485" i="2"/>
  <c r="V485" i="2"/>
  <c r="U485" i="2"/>
  <c r="T485" i="2"/>
  <c r="S485" i="2"/>
  <c r="R485" i="2"/>
  <c r="Q485" i="2"/>
  <c r="P485" i="2"/>
  <c r="O485" i="2"/>
  <c r="N485" i="2"/>
  <c r="L485" i="2"/>
  <c r="M485" i="2" s="1"/>
  <c r="W484" i="2"/>
  <c r="V484" i="2"/>
  <c r="U484" i="2"/>
  <c r="T484" i="2"/>
  <c r="S484" i="2"/>
  <c r="R484" i="2"/>
  <c r="Q484" i="2"/>
  <c r="P484" i="2"/>
  <c r="O484" i="2"/>
  <c r="N484" i="2"/>
  <c r="L484" i="2"/>
  <c r="W483" i="2"/>
  <c r="V483" i="2"/>
  <c r="U483" i="2"/>
  <c r="T483" i="2"/>
  <c r="S483" i="2"/>
  <c r="R483" i="2"/>
  <c r="Q483" i="2"/>
  <c r="P483" i="2"/>
  <c r="O483" i="2"/>
  <c r="N483" i="2"/>
  <c r="L483" i="2"/>
  <c r="W482" i="2"/>
  <c r="V482" i="2"/>
  <c r="U482" i="2"/>
  <c r="T482" i="2"/>
  <c r="S482" i="2"/>
  <c r="R482" i="2"/>
  <c r="Q482" i="2"/>
  <c r="P482" i="2"/>
  <c r="O482" i="2"/>
  <c r="N482" i="2"/>
  <c r="L482" i="2"/>
  <c r="W481" i="2"/>
  <c r="V481" i="2"/>
  <c r="U481" i="2"/>
  <c r="T481" i="2"/>
  <c r="S481" i="2"/>
  <c r="R481" i="2"/>
  <c r="Q481" i="2"/>
  <c r="P481" i="2"/>
  <c r="O481" i="2"/>
  <c r="N481" i="2"/>
  <c r="L481" i="2"/>
  <c r="W480" i="2"/>
  <c r="V480" i="2"/>
  <c r="U480" i="2"/>
  <c r="T480" i="2"/>
  <c r="S480" i="2"/>
  <c r="R480" i="2"/>
  <c r="Q480" i="2"/>
  <c r="P480" i="2"/>
  <c r="O480" i="2"/>
  <c r="N480" i="2"/>
  <c r="L480" i="2"/>
  <c r="W479" i="2"/>
  <c r="V479" i="2"/>
  <c r="U479" i="2"/>
  <c r="T479" i="2"/>
  <c r="S479" i="2"/>
  <c r="R479" i="2"/>
  <c r="Q479" i="2"/>
  <c r="P479" i="2"/>
  <c r="O479" i="2"/>
  <c r="N479" i="2"/>
  <c r="L479" i="2"/>
  <c r="W478" i="2"/>
  <c r="V478" i="2"/>
  <c r="U478" i="2"/>
  <c r="T478" i="2"/>
  <c r="S478" i="2"/>
  <c r="R478" i="2"/>
  <c r="Q478" i="2"/>
  <c r="P478" i="2"/>
  <c r="O478" i="2"/>
  <c r="N478" i="2"/>
  <c r="L478" i="2"/>
  <c r="W477" i="2"/>
  <c r="V477" i="2"/>
  <c r="U477" i="2"/>
  <c r="T477" i="2"/>
  <c r="S477" i="2"/>
  <c r="R477" i="2"/>
  <c r="Q477" i="2"/>
  <c r="P477" i="2"/>
  <c r="O477" i="2"/>
  <c r="N477" i="2"/>
  <c r="L477" i="2"/>
  <c r="W476" i="2"/>
  <c r="V476" i="2"/>
  <c r="U476" i="2"/>
  <c r="T476" i="2"/>
  <c r="S476" i="2"/>
  <c r="R476" i="2"/>
  <c r="Q476" i="2"/>
  <c r="P476" i="2"/>
  <c r="O476" i="2"/>
  <c r="N476" i="2"/>
  <c r="L476" i="2"/>
  <c r="W475" i="2"/>
  <c r="V475" i="2"/>
  <c r="U475" i="2"/>
  <c r="T475" i="2"/>
  <c r="S475" i="2"/>
  <c r="R475" i="2"/>
  <c r="Q475" i="2"/>
  <c r="P475" i="2"/>
  <c r="O475" i="2"/>
  <c r="N475" i="2"/>
  <c r="L475" i="2"/>
  <c r="W474" i="2"/>
  <c r="V474" i="2"/>
  <c r="U474" i="2"/>
  <c r="T474" i="2"/>
  <c r="S474" i="2"/>
  <c r="R474" i="2"/>
  <c r="Q474" i="2"/>
  <c r="P474" i="2"/>
  <c r="O474" i="2"/>
  <c r="N474" i="2"/>
  <c r="L474" i="2"/>
  <c r="W473" i="2"/>
  <c r="V473" i="2"/>
  <c r="U473" i="2"/>
  <c r="T473" i="2"/>
  <c r="S473" i="2"/>
  <c r="R473" i="2"/>
  <c r="Q473" i="2"/>
  <c r="P473" i="2"/>
  <c r="O473" i="2"/>
  <c r="N473" i="2"/>
  <c r="L473" i="2"/>
  <c r="W472" i="2"/>
  <c r="V472" i="2"/>
  <c r="U472" i="2"/>
  <c r="T472" i="2"/>
  <c r="S472" i="2"/>
  <c r="R472" i="2"/>
  <c r="Q472" i="2"/>
  <c r="P472" i="2"/>
  <c r="O472" i="2"/>
  <c r="N472" i="2"/>
  <c r="L472" i="2"/>
  <c r="W471" i="2"/>
  <c r="V471" i="2"/>
  <c r="U471" i="2"/>
  <c r="T471" i="2"/>
  <c r="S471" i="2"/>
  <c r="R471" i="2"/>
  <c r="Q471" i="2"/>
  <c r="P471" i="2"/>
  <c r="O471" i="2"/>
  <c r="N471" i="2"/>
  <c r="L471" i="2"/>
  <c r="W470" i="2"/>
  <c r="V470" i="2"/>
  <c r="U470" i="2"/>
  <c r="T470" i="2"/>
  <c r="S470" i="2"/>
  <c r="R470" i="2"/>
  <c r="Q470" i="2"/>
  <c r="P470" i="2"/>
  <c r="O470" i="2"/>
  <c r="N470" i="2"/>
  <c r="L470" i="2"/>
  <c r="W469" i="2"/>
  <c r="V469" i="2"/>
  <c r="U469" i="2"/>
  <c r="T469" i="2"/>
  <c r="S469" i="2"/>
  <c r="R469" i="2"/>
  <c r="Q469" i="2"/>
  <c r="P469" i="2"/>
  <c r="O469" i="2"/>
  <c r="N469" i="2"/>
  <c r="L469" i="2"/>
  <c r="W468" i="2"/>
  <c r="V468" i="2"/>
  <c r="U468" i="2"/>
  <c r="T468" i="2"/>
  <c r="S468" i="2"/>
  <c r="R468" i="2"/>
  <c r="Q468" i="2"/>
  <c r="P468" i="2"/>
  <c r="O468" i="2"/>
  <c r="N468" i="2"/>
  <c r="L468" i="2"/>
  <c r="W467" i="2"/>
  <c r="V467" i="2"/>
  <c r="U467" i="2"/>
  <c r="T467" i="2"/>
  <c r="S467" i="2"/>
  <c r="R467" i="2"/>
  <c r="Q467" i="2"/>
  <c r="P467" i="2"/>
  <c r="O467" i="2"/>
  <c r="N467" i="2"/>
  <c r="L467" i="2"/>
  <c r="W466" i="2"/>
  <c r="V466" i="2"/>
  <c r="U466" i="2"/>
  <c r="T466" i="2"/>
  <c r="S466" i="2"/>
  <c r="R466" i="2"/>
  <c r="Q466" i="2"/>
  <c r="P466" i="2"/>
  <c r="O466" i="2"/>
  <c r="N466" i="2"/>
  <c r="L466" i="2"/>
  <c r="W465" i="2"/>
  <c r="V465" i="2"/>
  <c r="U465" i="2"/>
  <c r="T465" i="2"/>
  <c r="S465" i="2"/>
  <c r="R465" i="2"/>
  <c r="Q465" i="2"/>
  <c r="P465" i="2"/>
  <c r="O465" i="2"/>
  <c r="N465" i="2"/>
  <c r="L465" i="2"/>
  <c r="M465" i="2" s="1"/>
  <c r="W464" i="2"/>
  <c r="V464" i="2"/>
  <c r="U464" i="2"/>
  <c r="T464" i="2"/>
  <c r="S464" i="2"/>
  <c r="R464" i="2"/>
  <c r="Q464" i="2"/>
  <c r="P464" i="2"/>
  <c r="O464" i="2"/>
  <c r="N464" i="2"/>
  <c r="L464" i="2"/>
  <c r="W463" i="2"/>
  <c r="V463" i="2"/>
  <c r="U463" i="2"/>
  <c r="T463" i="2"/>
  <c r="S463" i="2"/>
  <c r="R463" i="2"/>
  <c r="Q463" i="2"/>
  <c r="P463" i="2"/>
  <c r="O463" i="2"/>
  <c r="N463" i="2"/>
  <c r="L463" i="2"/>
  <c r="W462" i="2"/>
  <c r="V462" i="2"/>
  <c r="U462" i="2"/>
  <c r="T462" i="2"/>
  <c r="S462" i="2"/>
  <c r="R462" i="2"/>
  <c r="Q462" i="2"/>
  <c r="P462" i="2"/>
  <c r="O462" i="2"/>
  <c r="N462" i="2"/>
  <c r="L462" i="2"/>
  <c r="W461" i="2"/>
  <c r="V461" i="2"/>
  <c r="U461" i="2"/>
  <c r="T461" i="2"/>
  <c r="S461" i="2"/>
  <c r="R461" i="2"/>
  <c r="Q461" i="2"/>
  <c r="P461" i="2"/>
  <c r="O461" i="2"/>
  <c r="N461" i="2"/>
  <c r="L461" i="2"/>
  <c r="W460" i="2"/>
  <c r="V460" i="2"/>
  <c r="U460" i="2"/>
  <c r="T460" i="2"/>
  <c r="S460" i="2"/>
  <c r="R460" i="2"/>
  <c r="Q460" i="2"/>
  <c r="P460" i="2"/>
  <c r="O460" i="2"/>
  <c r="N460" i="2"/>
  <c r="L460" i="2"/>
  <c r="W459" i="2"/>
  <c r="V459" i="2"/>
  <c r="U459" i="2"/>
  <c r="T459" i="2"/>
  <c r="S459" i="2"/>
  <c r="R459" i="2"/>
  <c r="Q459" i="2"/>
  <c r="P459" i="2"/>
  <c r="O459" i="2"/>
  <c r="N459" i="2"/>
  <c r="L459" i="2"/>
  <c r="W458" i="2"/>
  <c r="V458" i="2"/>
  <c r="U458" i="2"/>
  <c r="T458" i="2"/>
  <c r="S458" i="2"/>
  <c r="R458" i="2"/>
  <c r="Q458" i="2"/>
  <c r="P458" i="2"/>
  <c r="O458" i="2"/>
  <c r="N458" i="2"/>
  <c r="L458" i="2"/>
  <c r="W457" i="2"/>
  <c r="V457" i="2"/>
  <c r="U457" i="2"/>
  <c r="T457" i="2"/>
  <c r="S457" i="2"/>
  <c r="R457" i="2"/>
  <c r="Q457" i="2"/>
  <c r="P457" i="2"/>
  <c r="O457" i="2"/>
  <c r="N457" i="2"/>
  <c r="L457" i="2"/>
  <c r="W456" i="2"/>
  <c r="V456" i="2"/>
  <c r="U456" i="2"/>
  <c r="T456" i="2"/>
  <c r="S456" i="2"/>
  <c r="R456" i="2"/>
  <c r="Q456" i="2"/>
  <c r="P456" i="2"/>
  <c r="O456" i="2"/>
  <c r="N456" i="2"/>
  <c r="L456" i="2"/>
  <c r="W455" i="2"/>
  <c r="V455" i="2"/>
  <c r="U455" i="2"/>
  <c r="T455" i="2"/>
  <c r="S455" i="2"/>
  <c r="R455" i="2"/>
  <c r="Q455" i="2"/>
  <c r="P455" i="2"/>
  <c r="O455" i="2"/>
  <c r="N455" i="2"/>
  <c r="L455" i="2"/>
  <c r="W454" i="2"/>
  <c r="V454" i="2"/>
  <c r="U454" i="2"/>
  <c r="T454" i="2"/>
  <c r="S454" i="2"/>
  <c r="R454" i="2"/>
  <c r="Q454" i="2"/>
  <c r="P454" i="2"/>
  <c r="O454" i="2"/>
  <c r="N454" i="2"/>
  <c r="L454" i="2"/>
  <c r="W453" i="2"/>
  <c r="V453" i="2"/>
  <c r="U453" i="2"/>
  <c r="T453" i="2"/>
  <c r="S453" i="2"/>
  <c r="R453" i="2"/>
  <c r="Q453" i="2"/>
  <c r="P453" i="2"/>
  <c r="O453" i="2"/>
  <c r="N453" i="2"/>
  <c r="L453" i="2"/>
  <c r="W452" i="2"/>
  <c r="V452" i="2"/>
  <c r="U452" i="2"/>
  <c r="T452" i="2"/>
  <c r="S452" i="2"/>
  <c r="R452" i="2"/>
  <c r="Q452" i="2"/>
  <c r="P452" i="2"/>
  <c r="O452" i="2"/>
  <c r="N452" i="2"/>
  <c r="L452" i="2"/>
  <c r="W451" i="2"/>
  <c r="V451" i="2"/>
  <c r="U451" i="2"/>
  <c r="T451" i="2"/>
  <c r="S451" i="2"/>
  <c r="R451" i="2"/>
  <c r="Q451" i="2"/>
  <c r="P451" i="2"/>
  <c r="O451" i="2"/>
  <c r="N451" i="2"/>
  <c r="L451" i="2"/>
  <c r="W450" i="2"/>
  <c r="V450" i="2"/>
  <c r="U450" i="2"/>
  <c r="T450" i="2"/>
  <c r="S450" i="2"/>
  <c r="R450" i="2"/>
  <c r="Q450" i="2"/>
  <c r="P450" i="2"/>
  <c r="O450" i="2"/>
  <c r="N450" i="2"/>
  <c r="L450" i="2"/>
  <c r="W449" i="2"/>
  <c r="V449" i="2"/>
  <c r="U449" i="2"/>
  <c r="T449" i="2"/>
  <c r="S449" i="2"/>
  <c r="R449" i="2"/>
  <c r="Q449" i="2"/>
  <c r="P449" i="2"/>
  <c r="O449" i="2"/>
  <c r="N449" i="2"/>
  <c r="L449" i="2"/>
  <c r="W448" i="2"/>
  <c r="V448" i="2"/>
  <c r="U448" i="2"/>
  <c r="T448" i="2"/>
  <c r="S448" i="2"/>
  <c r="R448" i="2"/>
  <c r="Q448" i="2"/>
  <c r="P448" i="2"/>
  <c r="O448" i="2"/>
  <c r="N448" i="2"/>
  <c r="L448" i="2"/>
  <c r="W447" i="2"/>
  <c r="V447" i="2"/>
  <c r="U447" i="2"/>
  <c r="T447" i="2"/>
  <c r="S447" i="2"/>
  <c r="R447" i="2"/>
  <c r="Q447" i="2"/>
  <c r="P447" i="2"/>
  <c r="O447" i="2"/>
  <c r="N447" i="2"/>
  <c r="L447" i="2"/>
  <c r="W446" i="2"/>
  <c r="V446" i="2"/>
  <c r="U446" i="2"/>
  <c r="T446" i="2"/>
  <c r="S446" i="2"/>
  <c r="R446" i="2"/>
  <c r="Q446" i="2"/>
  <c r="P446" i="2"/>
  <c r="O446" i="2"/>
  <c r="N446" i="2"/>
  <c r="L446" i="2"/>
  <c r="W445" i="2"/>
  <c r="V445" i="2"/>
  <c r="U445" i="2"/>
  <c r="T445" i="2"/>
  <c r="S445" i="2"/>
  <c r="R445" i="2"/>
  <c r="Q445" i="2"/>
  <c r="P445" i="2"/>
  <c r="O445" i="2"/>
  <c r="N445" i="2"/>
  <c r="L445" i="2"/>
  <c r="W444" i="2"/>
  <c r="V444" i="2"/>
  <c r="U444" i="2"/>
  <c r="T444" i="2"/>
  <c r="S444" i="2"/>
  <c r="R444" i="2"/>
  <c r="Q444" i="2"/>
  <c r="P444" i="2"/>
  <c r="O444" i="2"/>
  <c r="N444" i="2"/>
  <c r="L444" i="2"/>
  <c r="W443" i="2"/>
  <c r="V443" i="2"/>
  <c r="U443" i="2"/>
  <c r="T443" i="2"/>
  <c r="S443" i="2"/>
  <c r="R443" i="2"/>
  <c r="Q443" i="2"/>
  <c r="P443" i="2"/>
  <c r="O443" i="2"/>
  <c r="N443" i="2"/>
  <c r="L443" i="2"/>
  <c r="W442" i="2"/>
  <c r="V442" i="2"/>
  <c r="U442" i="2"/>
  <c r="T442" i="2"/>
  <c r="S442" i="2"/>
  <c r="R442" i="2"/>
  <c r="Q442" i="2"/>
  <c r="P442" i="2"/>
  <c r="O442" i="2"/>
  <c r="N442" i="2"/>
  <c r="L442" i="2"/>
  <c r="M442" i="2" s="1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L441" i="2"/>
  <c r="W440" i="2"/>
  <c r="V440" i="2"/>
  <c r="U440" i="2"/>
  <c r="T440" i="2"/>
  <c r="S440" i="2"/>
  <c r="R440" i="2"/>
  <c r="Q440" i="2"/>
  <c r="P440" i="2"/>
  <c r="O440" i="2"/>
  <c r="N440" i="2"/>
  <c r="L440" i="2"/>
  <c r="W439" i="2"/>
  <c r="V439" i="2"/>
  <c r="U439" i="2"/>
  <c r="T439" i="2"/>
  <c r="S439" i="2"/>
  <c r="R439" i="2"/>
  <c r="Q439" i="2"/>
  <c r="P439" i="2"/>
  <c r="O439" i="2"/>
  <c r="N439" i="2"/>
  <c r="L439" i="2"/>
  <c r="W438" i="2"/>
  <c r="V438" i="2"/>
  <c r="U438" i="2"/>
  <c r="T438" i="2"/>
  <c r="S438" i="2"/>
  <c r="R438" i="2"/>
  <c r="Q438" i="2"/>
  <c r="P438" i="2"/>
  <c r="O438" i="2"/>
  <c r="N438" i="2"/>
  <c r="L438" i="2"/>
  <c r="W437" i="2"/>
  <c r="V437" i="2"/>
  <c r="U437" i="2"/>
  <c r="T437" i="2"/>
  <c r="S437" i="2"/>
  <c r="R437" i="2"/>
  <c r="Q437" i="2"/>
  <c r="P437" i="2"/>
  <c r="O437" i="2"/>
  <c r="N437" i="2"/>
  <c r="L437" i="2"/>
  <c r="W436" i="2"/>
  <c r="V436" i="2"/>
  <c r="U436" i="2"/>
  <c r="T436" i="2"/>
  <c r="S436" i="2"/>
  <c r="R436" i="2"/>
  <c r="Q436" i="2"/>
  <c r="P436" i="2"/>
  <c r="O436" i="2"/>
  <c r="N436" i="2"/>
  <c r="L436" i="2"/>
  <c r="W435" i="2"/>
  <c r="V435" i="2"/>
  <c r="U435" i="2"/>
  <c r="T435" i="2"/>
  <c r="S435" i="2"/>
  <c r="R435" i="2"/>
  <c r="Q435" i="2"/>
  <c r="P435" i="2"/>
  <c r="O435" i="2"/>
  <c r="N435" i="2"/>
  <c r="L435" i="2"/>
  <c r="W434" i="2"/>
  <c r="V434" i="2"/>
  <c r="U434" i="2"/>
  <c r="T434" i="2"/>
  <c r="S434" i="2"/>
  <c r="R434" i="2"/>
  <c r="Q434" i="2"/>
  <c r="P434" i="2"/>
  <c r="O434" i="2"/>
  <c r="N434" i="2"/>
  <c r="L434" i="2"/>
  <c r="W433" i="2"/>
  <c r="V433" i="2"/>
  <c r="U433" i="2"/>
  <c r="T433" i="2"/>
  <c r="S433" i="2"/>
  <c r="R433" i="2"/>
  <c r="Q433" i="2"/>
  <c r="P433" i="2"/>
  <c r="O433" i="2"/>
  <c r="N433" i="2"/>
  <c r="L433" i="2"/>
  <c r="M433" i="2" s="1"/>
  <c r="W432" i="2"/>
  <c r="V432" i="2"/>
  <c r="U432" i="2"/>
  <c r="T432" i="2"/>
  <c r="S432" i="2"/>
  <c r="R432" i="2"/>
  <c r="Q432" i="2"/>
  <c r="P432" i="2"/>
  <c r="O432" i="2"/>
  <c r="N432" i="2"/>
  <c r="L432" i="2"/>
  <c r="W431" i="2"/>
  <c r="V431" i="2"/>
  <c r="U431" i="2"/>
  <c r="T431" i="2"/>
  <c r="S431" i="2"/>
  <c r="R431" i="2"/>
  <c r="Q431" i="2"/>
  <c r="P431" i="2"/>
  <c r="O431" i="2"/>
  <c r="N431" i="2"/>
  <c r="L431" i="2"/>
  <c r="W430" i="2"/>
  <c r="V430" i="2"/>
  <c r="U430" i="2"/>
  <c r="T430" i="2"/>
  <c r="S430" i="2"/>
  <c r="R430" i="2"/>
  <c r="Q430" i="2"/>
  <c r="P430" i="2"/>
  <c r="O430" i="2"/>
  <c r="N430" i="2"/>
  <c r="L430" i="2"/>
  <c r="W429" i="2"/>
  <c r="V429" i="2"/>
  <c r="U429" i="2"/>
  <c r="T429" i="2"/>
  <c r="S429" i="2"/>
  <c r="R429" i="2"/>
  <c r="Q429" i="2"/>
  <c r="P429" i="2"/>
  <c r="O429" i="2"/>
  <c r="N429" i="2"/>
  <c r="L429" i="2"/>
  <c r="W428" i="2"/>
  <c r="V428" i="2"/>
  <c r="U428" i="2"/>
  <c r="T428" i="2"/>
  <c r="S428" i="2"/>
  <c r="R428" i="2"/>
  <c r="Q428" i="2"/>
  <c r="P428" i="2"/>
  <c r="O428" i="2"/>
  <c r="N428" i="2"/>
  <c r="L428" i="2"/>
  <c r="W427" i="2"/>
  <c r="V427" i="2"/>
  <c r="U427" i="2"/>
  <c r="T427" i="2"/>
  <c r="S427" i="2"/>
  <c r="R427" i="2"/>
  <c r="Q427" i="2"/>
  <c r="P427" i="2"/>
  <c r="O427" i="2"/>
  <c r="N427" i="2"/>
  <c r="L427" i="2"/>
  <c r="W426" i="2"/>
  <c r="V426" i="2"/>
  <c r="U426" i="2"/>
  <c r="T426" i="2"/>
  <c r="S426" i="2"/>
  <c r="R426" i="2"/>
  <c r="Q426" i="2"/>
  <c r="P426" i="2"/>
  <c r="O426" i="2"/>
  <c r="N426" i="2"/>
  <c r="L426" i="2"/>
  <c r="W425" i="2"/>
  <c r="V425" i="2"/>
  <c r="U425" i="2"/>
  <c r="T425" i="2"/>
  <c r="S425" i="2"/>
  <c r="R425" i="2"/>
  <c r="Q425" i="2"/>
  <c r="P425" i="2"/>
  <c r="O425" i="2"/>
  <c r="N425" i="2"/>
  <c r="L425" i="2"/>
  <c r="W424" i="2"/>
  <c r="V424" i="2"/>
  <c r="U424" i="2"/>
  <c r="T424" i="2"/>
  <c r="S424" i="2"/>
  <c r="R424" i="2"/>
  <c r="Q424" i="2"/>
  <c r="P424" i="2"/>
  <c r="O424" i="2"/>
  <c r="N424" i="2"/>
  <c r="L424" i="2"/>
  <c r="W423" i="2"/>
  <c r="V423" i="2"/>
  <c r="U423" i="2"/>
  <c r="T423" i="2"/>
  <c r="S423" i="2"/>
  <c r="R423" i="2"/>
  <c r="Q423" i="2"/>
  <c r="P423" i="2"/>
  <c r="O423" i="2"/>
  <c r="N423" i="2"/>
  <c r="L423" i="2"/>
  <c r="W422" i="2"/>
  <c r="V422" i="2"/>
  <c r="U422" i="2"/>
  <c r="T422" i="2"/>
  <c r="S422" i="2"/>
  <c r="R422" i="2"/>
  <c r="Q422" i="2"/>
  <c r="P422" i="2"/>
  <c r="O422" i="2"/>
  <c r="N422" i="2"/>
  <c r="L422" i="2"/>
  <c r="W421" i="2"/>
  <c r="V421" i="2"/>
  <c r="U421" i="2"/>
  <c r="T421" i="2"/>
  <c r="S421" i="2"/>
  <c r="R421" i="2"/>
  <c r="Q421" i="2"/>
  <c r="P421" i="2"/>
  <c r="O421" i="2"/>
  <c r="N421" i="2"/>
  <c r="L421" i="2"/>
  <c r="W420" i="2"/>
  <c r="V420" i="2"/>
  <c r="U420" i="2"/>
  <c r="T420" i="2"/>
  <c r="S420" i="2"/>
  <c r="R420" i="2"/>
  <c r="Q420" i="2"/>
  <c r="P420" i="2"/>
  <c r="O420" i="2"/>
  <c r="N420" i="2"/>
  <c r="L420" i="2"/>
  <c r="W419" i="2"/>
  <c r="V419" i="2"/>
  <c r="U419" i="2"/>
  <c r="T419" i="2"/>
  <c r="S419" i="2"/>
  <c r="R419" i="2"/>
  <c r="Q419" i="2"/>
  <c r="P419" i="2"/>
  <c r="O419" i="2"/>
  <c r="N419" i="2"/>
  <c r="L419" i="2"/>
  <c r="W418" i="2"/>
  <c r="V418" i="2"/>
  <c r="U418" i="2"/>
  <c r="T418" i="2"/>
  <c r="S418" i="2"/>
  <c r="R418" i="2"/>
  <c r="Q418" i="2"/>
  <c r="P418" i="2"/>
  <c r="O418" i="2"/>
  <c r="N418" i="2"/>
  <c r="L418" i="2"/>
  <c r="W417" i="2"/>
  <c r="V417" i="2"/>
  <c r="U417" i="2"/>
  <c r="T417" i="2"/>
  <c r="S417" i="2"/>
  <c r="R417" i="2"/>
  <c r="Q417" i="2"/>
  <c r="P417" i="2"/>
  <c r="O417" i="2"/>
  <c r="N417" i="2"/>
  <c r="L417" i="2"/>
  <c r="W416" i="2"/>
  <c r="V416" i="2"/>
  <c r="U416" i="2"/>
  <c r="T416" i="2"/>
  <c r="S416" i="2"/>
  <c r="R416" i="2"/>
  <c r="Q416" i="2"/>
  <c r="P416" i="2"/>
  <c r="O416" i="2"/>
  <c r="N416" i="2"/>
  <c r="L416" i="2"/>
  <c r="W415" i="2"/>
  <c r="V415" i="2"/>
  <c r="U415" i="2"/>
  <c r="T415" i="2"/>
  <c r="S415" i="2"/>
  <c r="R415" i="2"/>
  <c r="Q415" i="2"/>
  <c r="P415" i="2"/>
  <c r="O415" i="2"/>
  <c r="N415" i="2"/>
  <c r="L415" i="2"/>
  <c r="W414" i="2"/>
  <c r="V414" i="2"/>
  <c r="U414" i="2"/>
  <c r="T414" i="2"/>
  <c r="S414" i="2"/>
  <c r="R414" i="2"/>
  <c r="Q414" i="2"/>
  <c r="P414" i="2"/>
  <c r="O414" i="2"/>
  <c r="N414" i="2"/>
  <c r="L414" i="2"/>
  <c r="W413" i="2"/>
  <c r="V413" i="2"/>
  <c r="U413" i="2"/>
  <c r="T413" i="2"/>
  <c r="S413" i="2"/>
  <c r="R413" i="2"/>
  <c r="Q413" i="2"/>
  <c r="P413" i="2"/>
  <c r="O413" i="2"/>
  <c r="N413" i="2"/>
  <c r="L413" i="2"/>
  <c r="M413" i="2" s="1"/>
  <c r="W412" i="2"/>
  <c r="V412" i="2"/>
  <c r="U412" i="2"/>
  <c r="T412" i="2"/>
  <c r="S412" i="2"/>
  <c r="R412" i="2"/>
  <c r="Q412" i="2"/>
  <c r="P412" i="2"/>
  <c r="O412" i="2"/>
  <c r="N412" i="2"/>
  <c r="L412" i="2"/>
  <c r="W411" i="2"/>
  <c r="V411" i="2"/>
  <c r="U411" i="2"/>
  <c r="T411" i="2"/>
  <c r="S411" i="2"/>
  <c r="R411" i="2"/>
  <c r="Q411" i="2"/>
  <c r="P411" i="2"/>
  <c r="O411" i="2"/>
  <c r="N411" i="2"/>
  <c r="L411" i="2"/>
  <c r="W410" i="2"/>
  <c r="V410" i="2"/>
  <c r="U410" i="2"/>
  <c r="T410" i="2"/>
  <c r="S410" i="2"/>
  <c r="R410" i="2"/>
  <c r="Q410" i="2"/>
  <c r="P410" i="2"/>
  <c r="O410" i="2"/>
  <c r="N410" i="2"/>
  <c r="L410" i="2"/>
  <c r="M410" i="2" s="1"/>
  <c r="W409" i="2"/>
  <c r="V409" i="2"/>
  <c r="U409" i="2"/>
  <c r="T409" i="2"/>
  <c r="S409" i="2"/>
  <c r="R409" i="2"/>
  <c r="Q409" i="2"/>
  <c r="P409" i="2"/>
  <c r="O409" i="2"/>
  <c r="N409" i="2"/>
  <c r="L409" i="2"/>
  <c r="W408" i="2"/>
  <c r="V408" i="2"/>
  <c r="U408" i="2"/>
  <c r="T408" i="2"/>
  <c r="S408" i="2"/>
  <c r="R408" i="2"/>
  <c r="Q408" i="2"/>
  <c r="P408" i="2"/>
  <c r="O408" i="2"/>
  <c r="N408" i="2"/>
  <c r="L408" i="2"/>
  <c r="W407" i="2"/>
  <c r="V407" i="2"/>
  <c r="U407" i="2"/>
  <c r="T407" i="2"/>
  <c r="S407" i="2"/>
  <c r="R407" i="2"/>
  <c r="Q407" i="2"/>
  <c r="P407" i="2"/>
  <c r="O407" i="2"/>
  <c r="N407" i="2"/>
  <c r="L407" i="2"/>
  <c r="W406" i="2"/>
  <c r="V406" i="2"/>
  <c r="U406" i="2"/>
  <c r="T406" i="2"/>
  <c r="S406" i="2"/>
  <c r="R406" i="2"/>
  <c r="Q406" i="2"/>
  <c r="P406" i="2"/>
  <c r="O406" i="2"/>
  <c r="N406" i="2"/>
  <c r="L406" i="2"/>
  <c r="W405" i="2"/>
  <c r="V405" i="2"/>
  <c r="U405" i="2"/>
  <c r="T405" i="2"/>
  <c r="S405" i="2"/>
  <c r="R405" i="2"/>
  <c r="Q405" i="2"/>
  <c r="P405" i="2"/>
  <c r="O405" i="2"/>
  <c r="N405" i="2"/>
  <c r="L405" i="2"/>
  <c r="W404" i="2"/>
  <c r="V404" i="2"/>
  <c r="U404" i="2"/>
  <c r="T404" i="2"/>
  <c r="S404" i="2"/>
  <c r="R404" i="2"/>
  <c r="Q404" i="2"/>
  <c r="P404" i="2"/>
  <c r="O404" i="2"/>
  <c r="N404" i="2"/>
  <c r="L404" i="2"/>
  <c r="W403" i="2"/>
  <c r="V403" i="2"/>
  <c r="U403" i="2"/>
  <c r="T403" i="2"/>
  <c r="S403" i="2"/>
  <c r="R403" i="2"/>
  <c r="Q403" i="2"/>
  <c r="P403" i="2"/>
  <c r="O403" i="2"/>
  <c r="N403" i="2"/>
  <c r="L403" i="2"/>
  <c r="W402" i="2"/>
  <c r="V402" i="2"/>
  <c r="U402" i="2"/>
  <c r="T402" i="2"/>
  <c r="S402" i="2"/>
  <c r="R402" i="2"/>
  <c r="Q402" i="2"/>
  <c r="P402" i="2"/>
  <c r="O402" i="2"/>
  <c r="N402" i="2"/>
  <c r="L402" i="2"/>
  <c r="W401" i="2"/>
  <c r="V401" i="2"/>
  <c r="U401" i="2"/>
  <c r="T401" i="2"/>
  <c r="S401" i="2"/>
  <c r="R401" i="2"/>
  <c r="Q401" i="2"/>
  <c r="P401" i="2"/>
  <c r="O401" i="2"/>
  <c r="N401" i="2"/>
  <c r="L401" i="2"/>
  <c r="W400" i="2"/>
  <c r="V400" i="2"/>
  <c r="U400" i="2"/>
  <c r="T400" i="2"/>
  <c r="S400" i="2"/>
  <c r="R400" i="2"/>
  <c r="Q400" i="2"/>
  <c r="P400" i="2"/>
  <c r="O400" i="2"/>
  <c r="N400" i="2"/>
  <c r="L400" i="2"/>
  <c r="W399" i="2"/>
  <c r="V399" i="2"/>
  <c r="U399" i="2"/>
  <c r="T399" i="2"/>
  <c r="S399" i="2"/>
  <c r="R399" i="2"/>
  <c r="Q399" i="2"/>
  <c r="P399" i="2"/>
  <c r="O399" i="2"/>
  <c r="N399" i="2"/>
  <c r="L399" i="2"/>
  <c r="W398" i="2"/>
  <c r="V398" i="2"/>
  <c r="U398" i="2"/>
  <c r="T398" i="2"/>
  <c r="S398" i="2"/>
  <c r="R398" i="2"/>
  <c r="Q398" i="2"/>
  <c r="P398" i="2"/>
  <c r="O398" i="2"/>
  <c r="N398" i="2"/>
  <c r="L398" i="2"/>
  <c r="W397" i="2"/>
  <c r="V397" i="2"/>
  <c r="U397" i="2"/>
  <c r="T397" i="2"/>
  <c r="S397" i="2"/>
  <c r="R397" i="2"/>
  <c r="Q397" i="2"/>
  <c r="P397" i="2"/>
  <c r="O397" i="2"/>
  <c r="N397" i="2"/>
  <c r="L397" i="2"/>
  <c r="W396" i="2"/>
  <c r="V396" i="2"/>
  <c r="U396" i="2"/>
  <c r="T396" i="2"/>
  <c r="S396" i="2"/>
  <c r="R396" i="2"/>
  <c r="Q396" i="2"/>
  <c r="P396" i="2"/>
  <c r="O396" i="2"/>
  <c r="N396" i="2"/>
  <c r="L396" i="2"/>
  <c r="W395" i="2"/>
  <c r="V395" i="2"/>
  <c r="U395" i="2"/>
  <c r="T395" i="2"/>
  <c r="S395" i="2"/>
  <c r="R395" i="2"/>
  <c r="Q395" i="2"/>
  <c r="P395" i="2"/>
  <c r="O395" i="2"/>
  <c r="N395" i="2"/>
  <c r="L395" i="2"/>
  <c r="W394" i="2"/>
  <c r="V394" i="2"/>
  <c r="U394" i="2"/>
  <c r="T394" i="2"/>
  <c r="S394" i="2"/>
  <c r="R394" i="2"/>
  <c r="Q394" i="2"/>
  <c r="P394" i="2"/>
  <c r="O394" i="2"/>
  <c r="N394" i="2"/>
  <c r="L394" i="2"/>
  <c r="W393" i="2"/>
  <c r="V393" i="2"/>
  <c r="U393" i="2"/>
  <c r="T393" i="2"/>
  <c r="S393" i="2"/>
  <c r="R393" i="2"/>
  <c r="Q393" i="2"/>
  <c r="P393" i="2"/>
  <c r="O393" i="2"/>
  <c r="N393" i="2"/>
  <c r="L393" i="2"/>
  <c r="W392" i="2"/>
  <c r="V392" i="2"/>
  <c r="U392" i="2"/>
  <c r="T392" i="2"/>
  <c r="S392" i="2"/>
  <c r="R392" i="2"/>
  <c r="Q392" i="2"/>
  <c r="P392" i="2"/>
  <c r="O392" i="2"/>
  <c r="N392" i="2"/>
  <c r="L392" i="2"/>
  <c r="W391" i="2"/>
  <c r="V391" i="2"/>
  <c r="U391" i="2"/>
  <c r="T391" i="2"/>
  <c r="S391" i="2"/>
  <c r="R391" i="2"/>
  <c r="Q391" i="2"/>
  <c r="P391" i="2"/>
  <c r="O391" i="2"/>
  <c r="N391" i="2"/>
  <c r="L391" i="2"/>
  <c r="W390" i="2"/>
  <c r="V390" i="2"/>
  <c r="U390" i="2"/>
  <c r="T390" i="2"/>
  <c r="S390" i="2"/>
  <c r="R390" i="2"/>
  <c r="Q390" i="2"/>
  <c r="P390" i="2"/>
  <c r="O390" i="2"/>
  <c r="N390" i="2"/>
  <c r="L390" i="2"/>
  <c r="W389" i="2"/>
  <c r="V389" i="2"/>
  <c r="U389" i="2"/>
  <c r="T389" i="2"/>
  <c r="S389" i="2"/>
  <c r="R389" i="2"/>
  <c r="Q389" i="2"/>
  <c r="P389" i="2"/>
  <c r="O389" i="2"/>
  <c r="N389" i="2"/>
  <c r="L389" i="2"/>
  <c r="W388" i="2"/>
  <c r="V388" i="2"/>
  <c r="U388" i="2"/>
  <c r="T388" i="2"/>
  <c r="S388" i="2"/>
  <c r="R388" i="2"/>
  <c r="Q388" i="2"/>
  <c r="P388" i="2"/>
  <c r="O388" i="2"/>
  <c r="N388" i="2"/>
  <c r="L388" i="2"/>
  <c r="W387" i="2"/>
  <c r="V387" i="2"/>
  <c r="U387" i="2"/>
  <c r="T387" i="2"/>
  <c r="S387" i="2"/>
  <c r="R387" i="2"/>
  <c r="Q387" i="2"/>
  <c r="P387" i="2"/>
  <c r="O387" i="2"/>
  <c r="N387" i="2"/>
  <c r="L387" i="2"/>
  <c r="W386" i="2"/>
  <c r="V386" i="2"/>
  <c r="U386" i="2"/>
  <c r="T386" i="2"/>
  <c r="S386" i="2"/>
  <c r="R386" i="2"/>
  <c r="Q386" i="2"/>
  <c r="P386" i="2"/>
  <c r="O386" i="2"/>
  <c r="N386" i="2"/>
  <c r="L386" i="2"/>
  <c r="W385" i="2"/>
  <c r="V385" i="2"/>
  <c r="U385" i="2"/>
  <c r="T385" i="2"/>
  <c r="S385" i="2"/>
  <c r="R385" i="2"/>
  <c r="Q385" i="2"/>
  <c r="P385" i="2"/>
  <c r="O385" i="2"/>
  <c r="N385" i="2"/>
  <c r="L385" i="2"/>
  <c r="W384" i="2"/>
  <c r="V384" i="2"/>
  <c r="U384" i="2"/>
  <c r="T384" i="2"/>
  <c r="S384" i="2"/>
  <c r="R384" i="2"/>
  <c r="Q384" i="2"/>
  <c r="P384" i="2"/>
  <c r="O384" i="2"/>
  <c r="N384" i="2"/>
  <c r="L384" i="2"/>
  <c r="W383" i="2"/>
  <c r="V383" i="2"/>
  <c r="U383" i="2"/>
  <c r="T383" i="2"/>
  <c r="S383" i="2"/>
  <c r="R383" i="2"/>
  <c r="Q383" i="2"/>
  <c r="P383" i="2"/>
  <c r="O383" i="2"/>
  <c r="N383" i="2"/>
  <c r="L383" i="2"/>
  <c r="W382" i="2"/>
  <c r="V382" i="2"/>
  <c r="U382" i="2"/>
  <c r="T382" i="2"/>
  <c r="S382" i="2"/>
  <c r="R382" i="2"/>
  <c r="Q382" i="2"/>
  <c r="P382" i="2"/>
  <c r="O382" i="2"/>
  <c r="N382" i="2"/>
  <c r="L382" i="2"/>
  <c r="W381" i="2"/>
  <c r="V381" i="2"/>
  <c r="U381" i="2"/>
  <c r="T381" i="2"/>
  <c r="S381" i="2"/>
  <c r="R381" i="2"/>
  <c r="Q381" i="2"/>
  <c r="P381" i="2"/>
  <c r="O381" i="2"/>
  <c r="N381" i="2"/>
  <c r="L381" i="2"/>
  <c r="M381" i="2" s="1"/>
  <c r="W380" i="2"/>
  <c r="V380" i="2"/>
  <c r="U380" i="2"/>
  <c r="T380" i="2"/>
  <c r="S380" i="2"/>
  <c r="R380" i="2"/>
  <c r="Q380" i="2"/>
  <c r="P380" i="2"/>
  <c r="O380" i="2"/>
  <c r="N380" i="2"/>
  <c r="L380" i="2"/>
  <c r="W379" i="2"/>
  <c r="V379" i="2"/>
  <c r="U379" i="2"/>
  <c r="T379" i="2"/>
  <c r="S379" i="2"/>
  <c r="R379" i="2"/>
  <c r="Q379" i="2"/>
  <c r="P379" i="2"/>
  <c r="O379" i="2"/>
  <c r="N379" i="2"/>
  <c r="L379" i="2"/>
  <c r="W378" i="2"/>
  <c r="V378" i="2"/>
  <c r="U378" i="2"/>
  <c r="T378" i="2"/>
  <c r="S378" i="2"/>
  <c r="R378" i="2"/>
  <c r="Q378" i="2"/>
  <c r="P378" i="2"/>
  <c r="O378" i="2"/>
  <c r="N378" i="2"/>
  <c r="L378" i="2"/>
  <c r="W377" i="2"/>
  <c r="V377" i="2"/>
  <c r="U377" i="2"/>
  <c r="T377" i="2"/>
  <c r="S377" i="2"/>
  <c r="R377" i="2"/>
  <c r="Q377" i="2"/>
  <c r="P377" i="2"/>
  <c r="O377" i="2"/>
  <c r="N377" i="2"/>
  <c r="L377" i="2"/>
  <c r="W376" i="2"/>
  <c r="V376" i="2"/>
  <c r="U376" i="2"/>
  <c r="T376" i="2"/>
  <c r="S376" i="2"/>
  <c r="R376" i="2"/>
  <c r="Q376" i="2"/>
  <c r="P376" i="2"/>
  <c r="O376" i="2"/>
  <c r="N376" i="2"/>
  <c r="L376" i="2"/>
  <c r="W375" i="2"/>
  <c r="V375" i="2"/>
  <c r="U375" i="2"/>
  <c r="T375" i="2"/>
  <c r="S375" i="2"/>
  <c r="R375" i="2"/>
  <c r="Q375" i="2"/>
  <c r="P375" i="2"/>
  <c r="O375" i="2"/>
  <c r="N375" i="2"/>
  <c r="L375" i="2"/>
  <c r="W374" i="2"/>
  <c r="V374" i="2"/>
  <c r="U374" i="2"/>
  <c r="T374" i="2"/>
  <c r="S374" i="2"/>
  <c r="R374" i="2"/>
  <c r="Q374" i="2"/>
  <c r="P374" i="2"/>
  <c r="O374" i="2"/>
  <c r="N374" i="2"/>
  <c r="L374" i="2"/>
  <c r="W373" i="2"/>
  <c r="V373" i="2"/>
  <c r="U373" i="2"/>
  <c r="T373" i="2"/>
  <c r="S373" i="2"/>
  <c r="R373" i="2"/>
  <c r="Q373" i="2"/>
  <c r="P373" i="2"/>
  <c r="O373" i="2"/>
  <c r="N373" i="2"/>
  <c r="L373" i="2"/>
  <c r="W372" i="2"/>
  <c r="V372" i="2"/>
  <c r="U372" i="2"/>
  <c r="T372" i="2"/>
  <c r="S372" i="2"/>
  <c r="R372" i="2"/>
  <c r="Q372" i="2"/>
  <c r="P372" i="2"/>
  <c r="O372" i="2"/>
  <c r="N372" i="2"/>
  <c r="L372" i="2"/>
  <c r="W371" i="2"/>
  <c r="V371" i="2"/>
  <c r="U371" i="2"/>
  <c r="T371" i="2"/>
  <c r="S371" i="2"/>
  <c r="R371" i="2"/>
  <c r="Q371" i="2"/>
  <c r="P371" i="2"/>
  <c r="O371" i="2"/>
  <c r="N371" i="2"/>
  <c r="L371" i="2"/>
  <c r="W370" i="2"/>
  <c r="V370" i="2"/>
  <c r="U370" i="2"/>
  <c r="T370" i="2"/>
  <c r="S370" i="2"/>
  <c r="R370" i="2"/>
  <c r="Q370" i="2"/>
  <c r="P370" i="2"/>
  <c r="O370" i="2"/>
  <c r="N370" i="2"/>
  <c r="L370" i="2"/>
  <c r="W369" i="2"/>
  <c r="V369" i="2"/>
  <c r="U369" i="2"/>
  <c r="T369" i="2"/>
  <c r="S369" i="2"/>
  <c r="R369" i="2"/>
  <c r="Q369" i="2"/>
  <c r="P369" i="2"/>
  <c r="O369" i="2"/>
  <c r="N369" i="2"/>
  <c r="L369" i="2"/>
  <c r="W368" i="2"/>
  <c r="V368" i="2"/>
  <c r="U368" i="2"/>
  <c r="T368" i="2"/>
  <c r="S368" i="2"/>
  <c r="R368" i="2"/>
  <c r="Q368" i="2"/>
  <c r="P368" i="2"/>
  <c r="O368" i="2"/>
  <c r="N368" i="2"/>
  <c r="L368" i="2"/>
  <c r="W367" i="2"/>
  <c r="V367" i="2"/>
  <c r="U367" i="2"/>
  <c r="T367" i="2"/>
  <c r="S367" i="2"/>
  <c r="R367" i="2"/>
  <c r="Q367" i="2"/>
  <c r="P367" i="2"/>
  <c r="O367" i="2"/>
  <c r="N367" i="2"/>
  <c r="L367" i="2"/>
  <c r="W366" i="2"/>
  <c r="V366" i="2"/>
  <c r="U366" i="2"/>
  <c r="T366" i="2"/>
  <c r="S366" i="2"/>
  <c r="R366" i="2"/>
  <c r="Q366" i="2"/>
  <c r="P366" i="2"/>
  <c r="O366" i="2"/>
  <c r="N366" i="2"/>
  <c r="L366" i="2"/>
  <c r="W365" i="2"/>
  <c r="V365" i="2"/>
  <c r="U365" i="2"/>
  <c r="T365" i="2"/>
  <c r="S365" i="2"/>
  <c r="R365" i="2"/>
  <c r="Q365" i="2"/>
  <c r="P365" i="2"/>
  <c r="O365" i="2"/>
  <c r="N365" i="2"/>
  <c r="L365" i="2"/>
  <c r="W364" i="2"/>
  <c r="V364" i="2"/>
  <c r="U364" i="2"/>
  <c r="T364" i="2"/>
  <c r="S364" i="2"/>
  <c r="R364" i="2"/>
  <c r="Q364" i="2"/>
  <c r="P364" i="2"/>
  <c r="O364" i="2"/>
  <c r="N364" i="2"/>
  <c r="L364" i="2"/>
  <c r="W363" i="2"/>
  <c r="V363" i="2"/>
  <c r="U363" i="2"/>
  <c r="T363" i="2"/>
  <c r="S363" i="2"/>
  <c r="R363" i="2"/>
  <c r="Q363" i="2"/>
  <c r="P363" i="2"/>
  <c r="O363" i="2"/>
  <c r="N363" i="2"/>
  <c r="L363" i="2"/>
  <c r="W362" i="2"/>
  <c r="V362" i="2"/>
  <c r="U362" i="2"/>
  <c r="T362" i="2"/>
  <c r="S362" i="2"/>
  <c r="R362" i="2"/>
  <c r="Q362" i="2"/>
  <c r="P362" i="2"/>
  <c r="O362" i="2"/>
  <c r="N362" i="2"/>
  <c r="L362" i="2"/>
  <c r="W361" i="2"/>
  <c r="V361" i="2"/>
  <c r="U361" i="2"/>
  <c r="T361" i="2"/>
  <c r="S361" i="2"/>
  <c r="R361" i="2"/>
  <c r="Q361" i="2"/>
  <c r="P361" i="2"/>
  <c r="O361" i="2"/>
  <c r="N361" i="2"/>
  <c r="L361" i="2"/>
  <c r="W360" i="2"/>
  <c r="V360" i="2"/>
  <c r="U360" i="2"/>
  <c r="T360" i="2"/>
  <c r="S360" i="2"/>
  <c r="R360" i="2"/>
  <c r="Q360" i="2"/>
  <c r="P360" i="2"/>
  <c r="O360" i="2"/>
  <c r="N360" i="2"/>
  <c r="L360" i="2"/>
  <c r="W359" i="2"/>
  <c r="V359" i="2"/>
  <c r="U359" i="2"/>
  <c r="T359" i="2"/>
  <c r="S359" i="2"/>
  <c r="R359" i="2"/>
  <c r="Q359" i="2"/>
  <c r="P359" i="2"/>
  <c r="O359" i="2"/>
  <c r="N359" i="2"/>
  <c r="L359" i="2"/>
  <c r="W358" i="2"/>
  <c r="V358" i="2"/>
  <c r="U358" i="2"/>
  <c r="T358" i="2"/>
  <c r="S358" i="2"/>
  <c r="R358" i="2"/>
  <c r="Q358" i="2"/>
  <c r="P358" i="2"/>
  <c r="O358" i="2"/>
  <c r="N358" i="2"/>
  <c r="L358" i="2"/>
  <c r="W357" i="2"/>
  <c r="V357" i="2"/>
  <c r="U357" i="2"/>
  <c r="T357" i="2"/>
  <c r="S357" i="2"/>
  <c r="R357" i="2"/>
  <c r="Q357" i="2"/>
  <c r="P357" i="2"/>
  <c r="O357" i="2"/>
  <c r="N357" i="2"/>
  <c r="L357" i="2"/>
  <c r="W356" i="2"/>
  <c r="V356" i="2"/>
  <c r="U356" i="2"/>
  <c r="T356" i="2"/>
  <c r="S356" i="2"/>
  <c r="R356" i="2"/>
  <c r="Q356" i="2"/>
  <c r="P356" i="2"/>
  <c r="O356" i="2"/>
  <c r="N356" i="2"/>
  <c r="L356" i="2"/>
  <c r="W355" i="2"/>
  <c r="V355" i="2"/>
  <c r="U355" i="2"/>
  <c r="T355" i="2"/>
  <c r="S355" i="2"/>
  <c r="R355" i="2"/>
  <c r="Q355" i="2"/>
  <c r="P355" i="2"/>
  <c r="O355" i="2"/>
  <c r="N355" i="2"/>
  <c r="L355" i="2"/>
  <c r="W354" i="2"/>
  <c r="V354" i="2"/>
  <c r="U354" i="2"/>
  <c r="T354" i="2"/>
  <c r="S354" i="2"/>
  <c r="R354" i="2"/>
  <c r="Q354" i="2"/>
  <c r="P354" i="2"/>
  <c r="O354" i="2"/>
  <c r="N354" i="2"/>
  <c r="L354" i="2"/>
  <c r="W353" i="2"/>
  <c r="V353" i="2"/>
  <c r="U353" i="2"/>
  <c r="T353" i="2"/>
  <c r="S353" i="2"/>
  <c r="R353" i="2"/>
  <c r="Q353" i="2"/>
  <c r="P353" i="2"/>
  <c r="O353" i="2"/>
  <c r="N353" i="2"/>
  <c r="L353" i="2"/>
  <c r="W352" i="2"/>
  <c r="V352" i="2"/>
  <c r="U352" i="2"/>
  <c r="T352" i="2"/>
  <c r="S352" i="2"/>
  <c r="R352" i="2"/>
  <c r="Q352" i="2"/>
  <c r="P352" i="2"/>
  <c r="O352" i="2"/>
  <c r="N352" i="2"/>
  <c r="L352" i="2"/>
  <c r="W351" i="2"/>
  <c r="V351" i="2"/>
  <c r="U351" i="2"/>
  <c r="T351" i="2"/>
  <c r="S351" i="2"/>
  <c r="R351" i="2"/>
  <c r="Q351" i="2"/>
  <c r="P351" i="2"/>
  <c r="O351" i="2"/>
  <c r="N351" i="2"/>
  <c r="L351" i="2"/>
  <c r="W350" i="2"/>
  <c r="V350" i="2"/>
  <c r="U350" i="2"/>
  <c r="T350" i="2"/>
  <c r="S350" i="2"/>
  <c r="R350" i="2"/>
  <c r="Q350" i="2"/>
  <c r="P350" i="2"/>
  <c r="O350" i="2"/>
  <c r="N350" i="2"/>
  <c r="L350" i="2"/>
  <c r="W349" i="2"/>
  <c r="V349" i="2"/>
  <c r="U349" i="2"/>
  <c r="T349" i="2"/>
  <c r="S349" i="2"/>
  <c r="R349" i="2"/>
  <c r="Q349" i="2"/>
  <c r="P349" i="2"/>
  <c r="O349" i="2"/>
  <c r="N349" i="2"/>
  <c r="L349" i="2"/>
  <c r="W348" i="2"/>
  <c r="V348" i="2"/>
  <c r="U348" i="2"/>
  <c r="T348" i="2"/>
  <c r="S348" i="2"/>
  <c r="R348" i="2"/>
  <c r="Q348" i="2"/>
  <c r="P348" i="2"/>
  <c r="O348" i="2"/>
  <c r="N348" i="2"/>
  <c r="L348" i="2"/>
  <c r="W347" i="2"/>
  <c r="V347" i="2"/>
  <c r="U347" i="2"/>
  <c r="T347" i="2"/>
  <c r="S347" i="2"/>
  <c r="R347" i="2"/>
  <c r="Q347" i="2"/>
  <c r="P347" i="2"/>
  <c r="O347" i="2"/>
  <c r="N347" i="2"/>
  <c r="L347" i="2"/>
  <c r="W346" i="2"/>
  <c r="V346" i="2"/>
  <c r="U346" i="2"/>
  <c r="T346" i="2"/>
  <c r="S346" i="2"/>
  <c r="R346" i="2"/>
  <c r="Q346" i="2"/>
  <c r="P346" i="2"/>
  <c r="O346" i="2"/>
  <c r="N346" i="2"/>
  <c r="L346" i="2"/>
  <c r="W345" i="2"/>
  <c r="V345" i="2"/>
  <c r="U345" i="2"/>
  <c r="T345" i="2"/>
  <c r="S345" i="2"/>
  <c r="R345" i="2"/>
  <c r="Q345" i="2"/>
  <c r="P345" i="2"/>
  <c r="O345" i="2"/>
  <c r="N345" i="2"/>
  <c r="L345" i="2"/>
  <c r="W344" i="2"/>
  <c r="V344" i="2"/>
  <c r="U344" i="2"/>
  <c r="T344" i="2"/>
  <c r="S344" i="2"/>
  <c r="R344" i="2"/>
  <c r="Q344" i="2"/>
  <c r="P344" i="2"/>
  <c r="O344" i="2"/>
  <c r="N344" i="2"/>
  <c r="L344" i="2"/>
  <c r="W343" i="2"/>
  <c r="V343" i="2"/>
  <c r="U343" i="2"/>
  <c r="T343" i="2"/>
  <c r="S343" i="2"/>
  <c r="R343" i="2"/>
  <c r="Q343" i="2"/>
  <c r="P343" i="2"/>
  <c r="O343" i="2"/>
  <c r="N343" i="2"/>
  <c r="L343" i="2"/>
  <c r="W342" i="2"/>
  <c r="V342" i="2"/>
  <c r="U342" i="2"/>
  <c r="T342" i="2"/>
  <c r="S342" i="2"/>
  <c r="R342" i="2"/>
  <c r="Q342" i="2"/>
  <c r="P342" i="2"/>
  <c r="O342" i="2"/>
  <c r="N342" i="2"/>
  <c r="L342" i="2"/>
  <c r="W341" i="2"/>
  <c r="V341" i="2"/>
  <c r="U341" i="2"/>
  <c r="T341" i="2"/>
  <c r="S341" i="2"/>
  <c r="R341" i="2"/>
  <c r="Q341" i="2"/>
  <c r="P341" i="2"/>
  <c r="O341" i="2"/>
  <c r="N341" i="2"/>
  <c r="L341" i="2"/>
  <c r="W340" i="2"/>
  <c r="V340" i="2"/>
  <c r="U340" i="2"/>
  <c r="T340" i="2"/>
  <c r="S340" i="2"/>
  <c r="R340" i="2"/>
  <c r="Q340" i="2"/>
  <c r="P340" i="2"/>
  <c r="O340" i="2"/>
  <c r="N340" i="2"/>
  <c r="L340" i="2"/>
  <c r="W339" i="2"/>
  <c r="V339" i="2"/>
  <c r="U339" i="2"/>
  <c r="T339" i="2"/>
  <c r="S339" i="2"/>
  <c r="R339" i="2"/>
  <c r="Q339" i="2"/>
  <c r="P339" i="2"/>
  <c r="O339" i="2"/>
  <c r="N339" i="2"/>
  <c r="L339" i="2"/>
  <c r="W338" i="2"/>
  <c r="V338" i="2"/>
  <c r="U338" i="2"/>
  <c r="T338" i="2"/>
  <c r="S338" i="2"/>
  <c r="R338" i="2"/>
  <c r="Q338" i="2"/>
  <c r="P338" i="2"/>
  <c r="O338" i="2"/>
  <c r="N338" i="2"/>
  <c r="L338" i="2"/>
  <c r="W337" i="2"/>
  <c r="V337" i="2"/>
  <c r="U337" i="2"/>
  <c r="T337" i="2"/>
  <c r="S337" i="2"/>
  <c r="R337" i="2"/>
  <c r="Q337" i="2"/>
  <c r="P337" i="2"/>
  <c r="O337" i="2"/>
  <c r="N337" i="2"/>
  <c r="L337" i="2"/>
  <c r="M337" i="2" s="1"/>
  <c r="W336" i="2"/>
  <c r="V336" i="2"/>
  <c r="U336" i="2"/>
  <c r="T336" i="2"/>
  <c r="S336" i="2"/>
  <c r="R336" i="2"/>
  <c r="Q336" i="2"/>
  <c r="P336" i="2"/>
  <c r="O336" i="2"/>
  <c r="N336" i="2"/>
  <c r="L336" i="2"/>
  <c r="W335" i="2"/>
  <c r="V335" i="2"/>
  <c r="U335" i="2"/>
  <c r="T335" i="2"/>
  <c r="S335" i="2"/>
  <c r="R335" i="2"/>
  <c r="Q335" i="2"/>
  <c r="P335" i="2"/>
  <c r="O335" i="2"/>
  <c r="N335" i="2"/>
  <c r="L335" i="2"/>
  <c r="W334" i="2"/>
  <c r="V334" i="2"/>
  <c r="U334" i="2"/>
  <c r="T334" i="2"/>
  <c r="S334" i="2"/>
  <c r="R334" i="2"/>
  <c r="Q334" i="2"/>
  <c r="P334" i="2"/>
  <c r="O334" i="2"/>
  <c r="N334" i="2"/>
  <c r="L334" i="2"/>
  <c r="W333" i="2"/>
  <c r="V333" i="2"/>
  <c r="U333" i="2"/>
  <c r="T333" i="2"/>
  <c r="S333" i="2"/>
  <c r="R333" i="2"/>
  <c r="Q333" i="2"/>
  <c r="P333" i="2"/>
  <c r="O333" i="2"/>
  <c r="N333" i="2"/>
  <c r="L333" i="2"/>
  <c r="W332" i="2"/>
  <c r="V332" i="2"/>
  <c r="U332" i="2"/>
  <c r="T332" i="2"/>
  <c r="S332" i="2"/>
  <c r="R332" i="2"/>
  <c r="Q332" i="2"/>
  <c r="P332" i="2"/>
  <c r="O332" i="2"/>
  <c r="N332" i="2"/>
  <c r="L332" i="2"/>
  <c r="W331" i="2"/>
  <c r="V331" i="2"/>
  <c r="U331" i="2"/>
  <c r="T331" i="2"/>
  <c r="S331" i="2"/>
  <c r="R331" i="2"/>
  <c r="Q331" i="2"/>
  <c r="P331" i="2"/>
  <c r="O331" i="2"/>
  <c r="N331" i="2"/>
  <c r="L331" i="2"/>
  <c r="W330" i="2"/>
  <c r="V330" i="2"/>
  <c r="U330" i="2"/>
  <c r="T330" i="2"/>
  <c r="S330" i="2"/>
  <c r="R330" i="2"/>
  <c r="Q330" i="2"/>
  <c r="P330" i="2"/>
  <c r="O330" i="2"/>
  <c r="N330" i="2"/>
  <c r="L330" i="2"/>
  <c r="W329" i="2"/>
  <c r="V329" i="2"/>
  <c r="U329" i="2"/>
  <c r="T329" i="2"/>
  <c r="S329" i="2"/>
  <c r="R329" i="2"/>
  <c r="Q329" i="2"/>
  <c r="P329" i="2"/>
  <c r="O329" i="2"/>
  <c r="N329" i="2"/>
  <c r="L329" i="2"/>
  <c r="W328" i="2"/>
  <c r="V328" i="2"/>
  <c r="U328" i="2"/>
  <c r="T328" i="2"/>
  <c r="S328" i="2"/>
  <c r="R328" i="2"/>
  <c r="Q328" i="2"/>
  <c r="P328" i="2"/>
  <c r="O328" i="2"/>
  <c r="N328" i="2"/>
  <c r="L328" i="2"/>
  <c r="W327" i="2"/>
  <c r="V327" i="2"/>
  <c r="U327" i="2"/>
  <c r="T327" i="2"/>
  <c r="S327" i="2"/>
  <c r="R327" i="2"/>
  <c r="Q327" i="2"/>
  <c r="P327" i="2"/>
  <c r="O327" i="2"/>
  <c r="N327" i="2"/>
  <c r="L327" i="2"/>
  <c r="W326" i="2"/>
  <c r="V326" i="2"/>
  <c r="U326" i="2"/>
  <c r="T326" i="2"/>
  <c r="S326" i="2"/>
  <c r="R326" i="2"/>
  <c r="Q326" i="2"/>
  <c r="P326" i="2"/>
  <c r="O326" i="2"/>
  <c r="N326" i="2"/>
  <c r="L326" i="2"/>
  <c r="W325" i="2"/>
  <c r="V325" i="2"/>
  <c r="U325" i="2"/>
  <c r="T325" i="2"/>
  <c r="S325" i="2"/>
  <c r="R325" i="2"/>
  <c r="Q325" i="2"/>
  <c r="P325" i="2"/>
  <c r="O325" i="2"/>
  <c r="N325" i="2"/>
  <c r="L325" i="2"/>
  <c r="W324" i="2"/>
  <c r="V324" i="2"/>
  <c r="U324" i="2"/>
  <c r="T324" i="2"/>
  <c r="S324" i="2"/>
  <c r="R324" i="2"/>
  <c r="Q324" i="2"/>
  <c r="P324" i="2"/>
  <c r="O324" i="2"/>
  <c r="N324" i="2"/>
  <c r="L324" i="2"/>
  <c r="W323" i="2"/>
  <c r="V323" i="2"/>
  <c r="U323" i="2"/>
  <c r="T323" i="2"/>
  <c r="S323" i="2"/>
  <c r="R323" i="2"/>
  <c r="Q323" i="2"/>
  <c r="P323" i="2"/>
  <c r="O323" i="2"/>
  <c r="N323" i="2"/>
  <c r="L323" i="2"/>
  <c r="W322" i="2"/>
  <c r="V322" i="2"/>
  <c r="U322" i="2"/>
  <c r="T322" i="2"/>
  <c r="S322" i="2"/>
  <c r="R322" i="2"/>
  <c r="Q322" i="2"/>
  <c r="P322" i="2"/>
  <c r="O322" i="2"/>
  <c r="N322" i="2"/>
  <c r="L322" i="2"/>
  <c r="W321" i="2"/>
  <c r="V321" i="2"/>
  <c r="U321" i="2"/>
  <c r="T321" i="2"/>
  <c r="S321" i="2"/>
  <c r="R321" i="2"/>
  <c r="Q321" i="2"/>
  <c r="P321" i="2"/>
  <c r="O321" i="2"/>
  <c r="N321" i="2"/>
  <c r="L321" i="2"/>
  <c r="W320" i="2"/>
  <c r="V320" i="2"/>
  <c r="U320" i="2"/>
  <c r="T320" i="2"/>
  <c r="S320" i="2"/>
  <c r="R320" i="2"/>
  <c r="Q320" i="2"/>
  <c r="P320" i="2"/>
  <c r="O320" i="2"/>
  <c r="N320" i="2"/>
  <c r="L320" i="2"/>
  <c r="W319" i="2"/>
  <c r="V319" i="2"/>
  <c r="U319" i="2"/>
  <c r="T319" i="2"/>
  <c r="S319" i="2"/>
  <c r="R319" i="2"/>
  <c r="Q319" i="2"/>
  <c r="P319" i="2"/>
  <c r="O319" i="2"/>
  <c r="N319" i="2"/>
  <c r="L319" i="2"/>
  <c r="W318" i="2"/>
  <c r="V318" i="2"/>
  <c r="U318" i="2"/>
  <c r="T318" i="2"/>
  <c r="S318" i="2"/>
  <c r="R318" i="2"/>
  <c r="Q318" i="2"/>
  <c r="P318" i="2"/>
  <c r="O318" i="2"/>
  <c r="N318" i="2"/>
  <c r="L318" i="2"/>
  <c r="W317" i="2"/>
  <c r="V317" i="2"/>
  <c r="U317" i="2"/>
  <c r="T317" i="2"/>
  <c r="S317" i="2"/>
  <c r="R317" i="2"/>
  <c r="Q317" i="2"/>
  <c r="P317" i="2"/>
  <c r="O317" i="2"/>
  <c r="N317" i="2"/>
  <c r="L317" i="2"/>
  <c r="W316" i="2"/>
  <c r="V316" i="2"/>
  <c r="U316" i="2"/>
  <c r="T316" i="2"/>
  <c r="S316" i="2"/>
  <c r="R316" i="2"/>
  <c r="Q316" i="2"/>
  <c r="P316" i="2"/>
  <c r="O316" i="2"/>
  <c r="N316" i="2"/>
  <c r="L316" i="2"/>
  <c r="W315" i="2"/>
  <c r="V315" i="2"/>
  <c r="U315" i="2"/>
  <c r="T315" i="2"/>
  <c r="S315" i="2"/>
  <c r="R315" i="2"/>
  <c r="Q315" i="2"/>
  <c r="P315" i="2"/>
  <c r="O315" i="2"/>
  <c r="N315" i="2"/>
  <c r="L315" i="2"/>
  <c r="W314" i="2"/>
  <c r="V314" i="2"/>
  <c r="U314" i="2"/>
  <c r="T314" i="2"/>
  <c r="S314" i="2"/>
  <c r="R314" i="2"/>
  <c r="Q314" i="2"/>
  <c r="P314" i="2"/>
  <c r="O314" i="2"/>
  <c r="N314" i="2"/>
  <c r="L314" i="2"/>
  <c r="M314" i="2" s="1"/>
  <c r="W313" i="2"/>
  <c r="V313" i="2"/>
  <c r="U313" i="2"/>
  <c r="T313" i="2"/>
  <c r="S313" i="2"/>
  <c r="R313" i="2"/>
  <c r="Q313" i="2"/>
  <c r="P313" i="2"/>
  <c r="O313" i="2"/>
  <c r="N313" i="2"/>
  <c r="L313" i="2"/>
  <c r="W312" i="2"/>
  <c r="V312" i="2"/>
  <c r="U312" i="2"/>
  <c r="T312" i="2"/>
  <c r="S312" i="2"/>
  <c r="R312" i="2"/>
  <c r="Q312" i="2"/>
  <c r="P312" i="2"/>
  <c r="O312" i="2"/>
  <c r="N312" i="2"/>
  <c r="L312" i="2"/>
  <c r="W311" i="2"/>
  <c r="V311" i="2"/>
  <c r="U311" i="2"/>
  <c r="T311" i="2"/>
  <c r="S311" i="2"/>
  <c r="R311" i="2"/>
  <c r="Q311" i="2"/>
  <c r="P311" i="2"/>
  <c r="O311" i="2"/>
  <c r="N311" i="2"/>
  <c r="L311" i="2"/>
  <c r="W310" i="2"/>
  <c r="V310" i="2"/>
  <c r="U310" i="2"/>
  <c r="T310" i="2"/>
  <c r="S310" i="2"/>
  <c r="R310" i="2"/>
  <c r="Q310" i="2"/>
  <c r="P310" i="2"/>
  <c r="O310" i="2"/>
  <c r="N310" i="2"/>
  <c r="L310" i="2"/>
  <c r="W309" i="2"/>
  <c r="V309" i="2"/>
  <c r="U309" i="2"/>
  <c r="T309" i="2"/>
  <c r="S309" i="2"/>
  <c r="R309" i="2"/>
  <c r="Q309" i="2"/>
  <c r="P309" i="2"/>
  <c r="O309" i="2"/>
  <c r="N309" i="2"/>
  <c r="L309" i="2"/>
  <c r="W308" i="2"/>
  <c r="V308" i="2"/>
  <c r="U308" i="2"/>
  <c r="T308" i="2"/>
  <c r="S308" i="2"/>
  <c r="R308" i="2"/>
  <c r="Q308" i="2"/>
  <c r="P308" i="2"/>
  <c r="O308" i="2"/>
  <c r="N308" i="2"/>
  <c r="L308" i="2"/>
  <c r="W307" i="2"/>
  <c r="V307" i="2"/>
  <c r="U307" i="2"/>
  <c r="T307" i="2"/>
  <c r="S307" i="2"/>
  <c r="R307" i="2"/>
  <c r="Q307" i="2"/>
  <c r="P307" i="2"/>
  <c r="O307" i="2"/>
  <c r="N307" i="2"/>
  <c r="L307" i="2"/>
  <c r="W306" i="2"/>
  <c r="V306" i="2"/>
  <c r="U306" i="2"/>
  <c r="T306" i="2"/>
  <c r="S306" i="2"/>
  <c r="R306" i="2"/>
  <c r="Q306" i="2"/>
  <c r="P306" i="2"/>
  <c r="O306" i="2"/>
  <c r="N306" i="2"/>
  <c r="L306" i="2"/>
  <c r="W305" i="2"/>
  <c r="V305" i="2"/>
  <c r="U305" i="2"/>
  <c r="T305" i="2"/>
  <c r="S305" i="2"/>
  <c r="R305" i="2"/>
  <c r="Q305" i="2"/>
  <c r="P305" i="2"/>
  <c r="O305" i="2"/>
  <c r="N305" i="2"/>
  <c r="L305" i="2"/>
  <c r="M305" i="2" s="1"/>
  <c r="W304" i="2"/>
  <c r="V304" i="2"/>
  <c r="U304" i="2"/>
  <c r="T304" i="2"/>
  <c r="S304" i="2"/>
  <c r="R304" i="2"/>
  <c r="Q304" i="2"/>
  <c r="P304" i="2"/>
  <c r="O304" i="2"/>
  <c r="N304" i="2"/>
  <c r="L304" i="2"/>
  <c r="W303" i="2"/>
  <c r="V303" i="2"/>
  <c r="U303" i="2"/>
  <c r="T303" i="2"/>
  <c r="S303" i="2"/>
  <c r="R303" i="2"/>
  <c r="Q303" i="2"/>
  <c r="P303" i="2"/>
  <c r="O303" i="2"/>
  <c r="N303" i="2"/>
  <c r="L303" i="2"/>
  <c r="W302" i="2"/>
  <c r="V302" i="2"/>
  <c r="U302" i="2"/>
  <c r="T302" i="2"/>
  <c r="S302" i="2"/>
  <c r="R302" i="2"/>
  <c r="Q302" i="2"/>
  <c r="P302" i="2"/>
  <c r="O302" i="2"/>
  <c r="N302" i="2"/>
  <c r="L302" i="2"/>
  <c r="W301" i="2"/>
  <c r="V301" i="2"/>
  <c r="U301" i="2"/>
  <c r="T301" i="2"/>
  <c r="S301" i="2"/>
  <c r="R301" i="2"/>
  <c r="Q301" i="2"/>
  <c r="P301" i="2"/>
  <c r="O301" i="2"/>
  <c r="N301" i="2"/>
  <c r="L301" i="2"/>
  <c r="W300" i="2"/>
  <c r="V300" i="2"/>
  <c r="U300" i="2"/>
  <c r="T300" i="2"/>
  <c r="S300" i="2"/>
  <c r="R300" i="2"/>
  <c r="Q300" i="2"/>
  <c r="P300" i="2"/>
  <c r="O300" i="2"/>
  <c r="N300" i="2"/>
  <c r="L300" i="2"/>
  <c r="W299" i="2"/>
  <c r="V299" i="2"/>
  <c r="U299" i="2"/>
  <c r="T299" i="2"/>
  <c r="S299" i="2"/>
  <c r="R299" i="2"/>
  <c r="Q299" i="2"/>
  <c r="P299" i="2"/>
  <c r="O299" i="2"/>
  <c r="N299" i="2"/>
  <c r="L299" i="2"/>
  <c r="W298" i="2"/>
  <c r="V298" i="2"/>
  <c r="U298" i="2"/>
  <c r="T298" i="2"/>
  <c r="S298" i="2"/>
  <c r="R298" i="2"/>
  <c r="Q298" i="2"/>
  <c r="P298" i="2"/>
  <c r="O298" i="2"/>
  <c r="N298" i="2"/>
  <c r="L298" i="2"/>
  <c r="W297" i="2"/>
  <c r="V297" i="2"/>
  <c r="U297" i="2"/>
  <c r="T297" i="2"/>
  <c r="S297" i="2"/>
  <c r="R297" i="2"/>
  <c r="Q297" i="2"/>
  <c r="P297" i="2"/>
  <c r="O297" i="2"/>
  <c r="N297" i="2"/>
  <c r="L297" i="2"/>
  <c r="W296" i="2"/>
  <c r="V296" i="2"/>
  <c r="U296" i="2"/>
  <c r="T296" i="2"/>
  <c r="S296" i="2"/>
  <c r="R296" i="2"/>
  <c r="Q296" i="2"/>
  <c r="P296" i="2"/>
  <c r="O296" i="2"/>
  <c r="N296" i="2"/>
  <c r="L296" i="2"/>
  <c r="W295" i="2"/>
  <c r="V295" i="2"/>
  <c r="U295" i="2"/>
  <c r="T295" i="2"/>
  <c r="S295" i="2"/>
  <c r="R295" i="2"/>
  <c r="Q295" i="2"/>
  <c r="P295" i="2"/>
  <c r="O295" i="2"/>
  <c r="N295" i="2"/>
  <c r="L295" i="2"/>
  <c r="W294" i="2"/>
  <c r="V294" i="2"/>
  <c r="U294" i="2"/>
  <c r="T294" i="2"/>
  <c r="S294" i="2"/>
  <c r="R294" i="2"/>
  <c r="Q294" i="2"/>
  <c r="P294" i="2"/>
  <c r="O294" i="2"/>
  <c r="N294" i="2"/>
  <c r="L294" i="2"/>
  <c r="W293" i="2"/>
  <c r="V293" i="2"/>
  <c r="U293" i="2"/>
  <c r="T293" i="2"/>
  <c r="S293" i="2"/>
  <c r="R293" i="2"/>
  <c r="Q293" i="2"/>
  <c r="P293" i="2"/>
  <c r="O293" i="2"/>
  <c r="N293" i="2"/>
  <c r="L293" i="2"/>
  <c r="W292" i="2"/>
  <c r="V292" i="2"/>
  <c r="U292" i="2"/>
  <c r="T292" i="2"/>
  <c r="S292" i="2"/>
  <c r="R292" i="2"/>
  <c r="Q292" i="2"/>
  <c r="P292" i="2"/>
  <c r="O292" i="2"/>
  <c r="N292" i="2"/>
  <c r="L292" i="2"/>
  <c r="W291" i="2"/>
  <c r="V291" i="2"/>
  <c r="U291" i="2"/>
  <c r="T291" i="2"/>
  <c r="S291" i="2"/>
  <c r="R291" i="2"/>
  <c r="Q291" i="2"/>
  <c r="P291" i="2"/>
  <c r="O291" i="2"/>
  <c r="N291" i="2"/>
  <c r="L291" i="2"/>
  <c r="W290" i="2"/>
  <c r="V290" i="2"/>
  <c r="U290" i="2"/>
  <c r="T290" i="2"/>
  <c r="S290" i="2"/>
  <c r="R290" i="2"/>
  <c r="Q290" i="2"/>
  <c r="P290" i="2"/>
  <c r="O290" i="2"/>
  <c r="N290" i="2"/>
  <c r="L290" i="2"/>
  <c r="W289" i="2"/>
  <c r="V289" i="2"/>
  <c r="U289" i="2"/>
  <c r="T289" i="2"/>
  <c r="S289" i="2"/>
  <c r="R289" i="2"/>
  <c r="Q289" i="2"/>
  <c r="P289" i="2"/>
  <c r="O289" i="2"/>
  <c r="N289" i="2"/>
  <c r="L289" i="2"/>
  <c r="W288" i="2"/>
  <c r="V288" i="2"/>
  <c r="U288" i="2"/>
  <c r="T288" i="2"/>
  <c r="S288" i="2"/>
  <c r="R288" i="2"/>
  <c r="Q288" i="2"/>
  <c r="P288" i="2"/>
  <c r="O288" i="2"/>
  <c r="N288" i="2"/>
  <c r="L288" i="2"/>
  <c r="W287" i="2"/>
  <c r="V287" i="2"/>
  <c r="U287" i="2"/>
  <c r="T287" i="2"/>
  <c r="S287" i="2"/>
  <c r="R287" i="2"/>
  <c r="Q287" i="2"/>
  <c r="P287" i="2"/>
  <c r="O287" i="2"/>
  <c r="N287" i="2"/>
  <c r="L287" i="2"/>
  <c r="W286" i="2"/>
  <c r="V286" i="2"/>
  <c r="U286" i="2"/>
  <c r="T286" i="2"/>
  <c r="S286" i="2"/>
  <c r="R286" i="2"/>
  <c r="Q286" i="2"/>
  <c r="P286" i="2"/>
  <c r="O286" i="2"/>
  <c r="N286" i="2"/>
  <c r="L286" i="2"/>
  <c r="W285" i="2"/>
  <c r="V285" i="2"/>
  <c r="U285" i="2"/>
  <c r="T285" i="2"/>
  <c r="S285" i="2"/>
  <c r="R285" i="2"/>
  <c r="Q285" i="2"/>
  <c r="P285" i="2"/>
  <c r="O285" i="2"/>
  <c r="N285" i="2"/>
  <c r="L285" i="2"/>
  <c r="M285" i="2" s="1"/>
  <c r="W284" i="2"/>
  <c r="V284" i="2"/>
  <c r="U284" i="2"/>
  <c r="T284" i="2"/>
  <c r="S284" i="2"/>
  <c r="R284" i="2"/>
  <c r="Q284" i="2"/>
  <c r="P284" i="2"/>
  <c r="O284" i="2"/>
  <c r="N284" i="2"/>
  <c r="L284" i="2"/>
  <c r="W283" i="2"/>
  <c r="V283" i="2"/>
  <c r="U283" i="2"/>
  <c r="T283" i="2"/>
  <c r="S283" i="2"/>
  <c r="R283" i="2"/>
  <c r="Q283" i="2"/>
  <c r="P283" i="2"/>
  <c r="O283" i="2"/>
  <c r="N283" i="2"/>
  <c r="L283" i="2"/>
  <c r="W282" i="2"/>
  <c r="V282" i="2"/>
  <c r="U282" i="2"/>
  <c r="T282" i="2"/>
  <c r="S282" i="2"/>
  <c r="R282" i="2"/>
  <c r="Q282" i="2"/>
  <c r="P282" i="2"/>
  <c r="O282" i="2"/>
  <c r="N282" i="2"/>
  <c r="L282" i="2"/>
  <c r="M282" i="2" s="1"/>
  <c r="W281" i="2"/>
  <c r="V281" i="2"/>
  <c r="U281" i="2"/>
  <c r="T281" i="2"/>
  <c r="S281" i="2"/>
  <c r="R281" i="2"/>
  <c r="Q281" i="2"/>
  <c r="P281" i="2"/>
  <c r="O281" i="2"/>
  <c r="N281" i="2"/>
  <c r="L281" i="2"/>
  <c r="W280" i="2"/>
  <c r="V280" i="2"/>
  <c r="U280" i="2"/>
  <c r="T280" i="2"/>
  <c r="S280" i="2"/>
  <c r="R280" i="2"/>
  <c r="Q280" i="2"/>
  <c r="P280" i="2"/>
  <c r="O280" i="2"/>
  <c r="N280" i="2"/>
  <c r="L280" i="2"/>
  <c r="W279" i="2"/>
  <c r="V279" i="2"/>
  <c r="U279" i="2"/>
  <c r="T279" i="2"/>
  <c r="S279" i="2"/>
  <c r="R279" i="2"/>
  <c r="Q279" i="2"/>
  <c r="P279" i="2"/>
  <c r="O279" i="2"/>
  <c r="N279" i="2"/>
  <c r="L279" i="2"/>
  <c r="W278" i="2"/>
  <c r="V278" i="2"/>
  <c r="U278" i="2"/>
  <c r="T278" i="2"/>
  <c r="S278" i="2"/>
  <c r="R278" i="2"/>
  <c r="Q278" i="2"/>
  <c r="P278" i="2"/>
  <c r="O278" i="2"/>
  <c r="N278" i="2"/>
  <c r="L278" i="2"/>
  <c r="W277" i="2"/>
  <c r="V277" i="2"/>
  <c r="U277" i="2"/>
  <c r="T277" i="2"/>
  <c r="S277" i="2"/>
  <c r="R277" i="2"/>
  <c r="Q277" i="2"/>
  <c r="P277" i="2"/>
  <c r="O277" i="2"/>
  <c r="N277" i="2"/>
  <c r="L277" i="2"/>
  <c r="W276" i="2"/>
  <c r="V276" i="2"/>
  <c r="U276" i="2"/>
  <c r="T276" i="2"/>
  <c r="S276" i="2"/>
  <c r="R276" i="2"/>
  <c r="Q276" i="2"/>
  <c r="P276" i="2"/>
  <c r="O276" i="2"/>
  <c r="N276" i="2"/>
  <c r="L276" i="2"/>
  <c r="W275" i="2"/>
  <c r="V275" i="2"/>
  <c r="U275" i="2"/>
  <c r="T275" i="2"/>
  <c r="S275" i="2"/>
  <c r="R275" i="2"/>
  <c r="Q275" i="2"/>
  <c r="P275" i="2"/>
  <c r="O275" i="2"/>
  <c r="N275" i="2"/>
  <c r="L275" i="2"/>
  <c r="W274" i="2"/>
  <c r="V274" i="2"/>
  <c r="U274" i="2"/>
  <c r="T274" i="2"/>
  <c r="S274" i="2"/>
  <c r="R274" i="2"/>
  <c r="Q274" i="2"/>
  <c r="P274" i="2"/>
  <c r="O274" i="2"/>
  <c r="N274" i="2"/>
  <c r="L274" i="2"/>
  <c r="W273" i="2"/>
  <c r="V273" i="2"/>
  <c r="U273" i="2"/>
  <c r="T273" i="2"/>
  <c r="S273" i="2"/>
  <c r="R273" i="2"/>
  <c r="Q273" i="2"/>
  <c r="P273" i="2"/>
  <c r="O273" i="2"/>
  <c r="N273" i="2"/>
  <c r="L273" i="2"/>
  <c r="W272" i="2"/>
  <c r="V272" i="2"/>
  <c r="U272" i="2"/>
  <c r="T272" i="2"/>
  <c r="S272" i="2"/>
  <c r="R272" i="2"/>
  <c r="Q272" i="2"/>
  <c r="P272" i="2"/>
  <c r="O272" i="2"/>
  <c r="N272" i="2"/>
  <c r="L272" i="2"/>
  <c r="W271" i="2"/>
  <c r="V271" i="2"/>
  <c r="U271" i="2"/>
  <c r="T271" i="2"/>
  <c r="S271" i="2"/>
  <c r="R271" i="2"/>
  <c r="Q271" i="2"/>
  <c r="P271" i="2"/>
  <c r="O271" i="2"/>
  <c r="N271" i="2"/>
  <c r="L271" i="2"/>
  <c r="W270" i="2"/>
  <c r="V270" i="2"/>
  <c r="U270" i="2"/>
  <c r="T270" i="2"/>
  <c r="S270" i="2"/>
  <c r="R270" i="2"/>
  <c r="Q270" i="2"/>
  <c r="P270" i="2"/>
  <c r="O270" i="2"/>
  <c r="N270" i="2"/>
  <c r="L270" i="2"/>
  <c r="W269" i="2"/>
  <c r="V269" i="2"/>
  <c r="U269" i="2"/>
  <c r="T269" i="2"/>
  <c r="S269" i="2"/>
  <c r="R269" i="2"/>
  <c r="Q269" i="2"/>
  <c r="P269" i="2"/>
  <c r="O269" i="2"/>
  <c r="N269" i="2"/>
  <c r="L269" i="2"/>
  <c r="W268" i="2"/>
  <c r="V268" i="2"/>
  <c r="U268" i="2"/>
  <c r="T268" i="2"/>
  <c r="S268" i="2"/>
  <c r="R268" i="2"/>
  <c r="Q268" i="2"/>
  <c r="P268" i="2"/>
  <c r="O268" i="2"/>
  <c r="N268" i="2"/>
  <c r="L268" i="2"/>
  <c r="W267" i="2"/>
  <c r="V267" i="2"/>
  <c r="U267" i="2"/>
  <c r="T267" i="2"/>
  <c r="S267" i="2"/>
  <c r="R267" i="2"/>
  <c r="Q267" i="2"/>
  <c r="P267" i="2"/>
  <c r="O267" i="2"/>
  <c r="N267" i="2"/>
  <c r="L267" i="2"/>
  <c r="W266" i="2"/>
  <c r="V266" i="2"/>
  <c r="U266" i="2"/>
  <c r="T266" i="2"/>
  <c r="S266" i="2"/>
  <c r="R266" i="2"/>
  <c r="Q266" i="2"/>
  <c r="P266" i="2"/>
  <c r="O266" i="2"/>
  <c r="N266" i="2"/>
  <c r="L266" i="2"/>
  <c r="W265" i="2"/>
  <c r="V265" i="2"/>
  <c r="U265" i="2"/>
  <c r="T265" i="2"/>
  <c r="S265" i="2"/>
  <c r="R265" i="2"/>
  <c r="Q265" i="2"/>
  <c r="P265" i="2"/>
  <c r="O265" i="2"/>
  <c r="N265" i="2"/>
  <c r="L265" i="2"/>
  <c r="W264" i="2"/>
  <c r="V264" i="2"/>
  <c r="U264" i="2"/>
  <c r="T264" i="2"/>
  <c r="S264" i="2"/>
  <c r="R264" i="2"/>
  <c r="Q264" i="2"/>
  <c r="P264" i="2"/>
  <c r="O264" i="2"/>
  <c r="N264" i="2"/>
  <c r="L264" i="2"/>
  <c r="W263" i="2"/>
  <c r="V263" i="2"/>
  <c r="U263" i="2"/>
  <c r="T263" i="2"/>
  <c r="S263" i="2"/>
  <c r="R263" i="2"/>
  <c r="Q263" i="2"/>
  <c r="P263" i="2"/>
  <c r="O263" i="2"/>
  <c r="N263" i="2"/>
  <c r="L263" i="2"/>
  <c r="W262" i="2"/>
  <c r="V262" i="2"/>
  <c r="U262" i="2"/>
  <c r="T262" i="2"/>
  <c r="S262" i="2"/>
  <c r="R262" i="2"/>
  <c r="Q262" i="2"/>
  <c r="P262" i="2"/>
  <c r="O262" i="2"/>
  <c r="N262" i="2"/>
  <c r="L262" i="2"/>
  <c r="W261" i="2"/>
  <c r="V261" i="2"/>
  <c r="U261" i="2"/>
  <c r="T261" i="2"/>
  <c r="S261" i="2"/>
  <c r="R261" i="2"/>
  <c r="Q261" i="2"/>
  <c r="P261" i="2"/>
  <c r="O261" i="2"/>
  <c r="N261" i="2"/>
  <c r="L261" i="2"/>
  <c r="W260" i="2"/>
  <c r="V260" i="2"/>
  <c r="U260" i="2"/>
  <c r="T260" i="2"/>
  <c r="S260" i="2"/>
  <c r="R260" i="2"/>
  <c r="Q260" i="2"/>
  <c r="P260" i="2"/>
  <c r="O260" i="2"/>
  <c r="N260" i="2"/>
  <c r="L260" i="2"/>
  <c r="W259" i="2"/>
  <c r="V259" i="2"/>
  <c r="U259" i="2"/>
  <c r="T259" i="2"/>
  <c r="S259" i="2"/>
  <c r="R259" i="2"/>
  <c r="Q259" i="2"/>
  <c r="P259" i="2"/>
  <c r="O259" i="2"/>
  <c r="N259" i="2"/>
  <c r="L259" i="2"/>
  <c r="W258" i="2"/>
  <c r="V258" i="2"/>
  <c r="U258" i="2"/>
  <c r="T258" i="2"/>
  <c r="S258" i="2"/>
  <c r="R258" i="2"/>
  <c r="Q258" i="2"/>
  <c r="P258" i="2"/>
  <c r="O258" i="2"/>
  <c r="N258" i="2"/>
  <c r="L258" i="2"/>
  <c r="W257" i="2"/>
  <c r="V257" i="2"/>
  <c r="U257" i="2"/>
  <c r="T257" i="2"/>
  <c r="S257" i="2"/>
  <c r="R257" i="2"/>
  <c r="Q257" i="2"/>
  <c r="P257" i="2"/>
  <c r="O257" i="2"/>
  <c r="N257" i="2"/>
  <c r="L257" i="2"/>
  <c r="W256" i="2"/>
  <c r="V256" i="2"/>
  <c r="U256" i="2"/>
  <c r="T256" i="2"/>
  <c r="S256" i="2"/>
  <c r="R256" i="2"/>
  <c r="Q256" i="2"/>
  <c r="P256" i="2"/>
  <c r="O256" i="2"/>
  <c r="N256" i="2"/>
  <c r="L256" i="2"/>
  <c r="W255" i="2"/>
  <c r="V255" i="2"/>
  <c r="U255" i="2"/>
  <c r="T255" i="2"/>
  <c r="S255" i="2"/>
  <c r="R255" i="2"/>
  <c r="Q255" i="2"/>
  <c r="P255" i="2"/>
  <c r="O255" i="2"/>
  <c r="N255" i="2"/>
  <c r="L255" i="2"/>
  <c r="W254" i="2"/>
  <c r="V254" i="2"/>
  <c r="U254" i="2"/>
  <c r="T254" i="2"/>
  <c r="S254" i="2"/>
  <c r="R254" i="2"/>
  <c r="Q254" i="2"/>
  <c r="P254" i="2"/>
  <c r="O254" i="2"/>
  <c r="N254" i="2"/>
  <c r="L254" i="2"/>
  <c r="W253" i="2"/>
  <c r="V253" i="2"/>
  <c r="U253" i="2"/>
  <c r="T253" i="2"/>
  <c r="S253" i="2"/>
  <c r="R253" i="2"/>
  <c r="Q253" i="2"/>
  <c r="P253" i="2"/>
  <c r="O253" i="2"/>
  <c r="N253" i="2"/>
  <c r="L253" i="2"/>
  <c r="M253" i="2" s="1"/>
  <c r="W252" i="2"/>
  <c r="V252" i="2"/>
  <c r="U252" i="2"/>
  <c r="T252" i="2"/>
  <c r="S252" i="2"/>
  <c r="R252" i="2"/>
  <c r="Q252" i="2"/>
  <c r="P252" i="2"/>
  <c r="O252" i="2"/>
  <c r="N252" i="2"/>
  <c r="L252" i="2"/>
  <c r="W251" i="2"/>
  <c r="V251" i="2"/>
  <c r="U251" i="2"/>
  <c r="T251" i="2"/>
  <c r="S251" i="2"/>
  <c r="R251" i="2"/>
  <c r="Q251" i="2"/>
  <c r="P251" i="2"/>
  <c r="O251" i="2"/>
  <c r="N251" i="2"/>
  <c r="L251" i="2"/>
  <c r="W250" i="2"/>
  <c r="V250" i="2"/>
  <c r="U250" i="2"/>
  <c r="T250" i="2"/>
  <c r="S250" i="2"/>
  <c r="R250" i="2"/>
  <c r="Q250" i="2"/>
  <c r="P250" i="2"/>
  <c r="O250" i="2"/>
  <c r="N250" i="2"/>
  <c r="L250" i="2"/>
  <c r="W249" i="2"/>
  <c r="V249" i="2"/>
  <c r="U249" i="2"/>
  <c r="T249" i="2"/>
  <c r="S249" i="2"/>
  <c r="R249" i="2"/>
  <c r="Q249" i="2"/>
  <c r="P249" i="2"/>
  <c r="O249" i="2"/>
  <c r="N249" i="2"/>
  <c r="L249" i="2"/>
  <c r="W248" i="2"/>
  <c r="V248" i="2"/>
  <c r="U248" i="2"/>
  <c r="T248" i="2"/>
  <c r="S248" i="2"/>
  <c r="R248" i="2"/>
  <c r="Q248" i="2"/>
  <c r="P248" i="2"/>
  <c r="O248" i="2"/>
  <c r="N248" i="2"/>
  <c r="L248" i="2"/>
  <c r="W247" i="2"/>
  <c r="V247" i="2"/>
  <c r="U247" i="2"/>
  <c r="T247" i="2"/>
  <c r="S247" i="2"/>
  <c r="R247" i="2"/>
  <c r="Q247" i="2"/>
  <c r="P247" i="2"/>
  <c r="O247" i="2"/>
  <c r="N247" i="2"/>
  <c r="L247" i="2"/>
  <c r="W246" i="2"/>
  <c r="V246" i="2"/>
  <c r="U246" i="2"/>
  <c r="T246" i="2"/>
  <c r="S246" i="2"/>
  <c r="R246" i="2"/>
  <c r="Q246" i="2"/>
  <c r="P246" i="2"/>
  <c r="O246" i="2"/>
  <c r="N246" i="2"/>
  <c r="L246" i="2"/>
  <c r="W245" i="2"/>
  <c r="V245" i="2"/>
  <c r="U245" i="2"/>
  <c r="T245" i="2"/>
  <c r="S245" i="2"/>
  <c r="R245" i="2"/>
  <c r="Q245" i="2"/>
  <c r="P245" i="2"/>
  <c r="O245" i="2"/>
  <c r="N245" i="2"/>
  <c r="L245" i="2"/>
  <c r="W244" i="2"/>
  <c r="V244" i="2"/>
  <c r="U244" i="2"/>
  <c r="T244" i="2"/>
  <c r="S244" i="2"/>
  <c r="R244" i="2"/>
  <c r="Q244" i="2"/>
  <c r="P244" i="2"/>
  <c r="O244" i="2"/>
  <c r="N244" i="2"/>
  <c r="L244" i="2"/>
  <c r="W243" i="2"/>
  <c r="V243" i="2"/>
  <c r="U243" i="2"/>
  <c r="T243" i="2"/>
  <c r="S243" i="2"/>
  <c r="R243" i="2"/>
  <c r="Q243" i="2"/>
  <c r="P243" i="2"/>
  <c r="O243" i="2"/>
  <c r="N243" i="2"/>
  <c r="L243" i="2"/>
  <c r="W242" i="2"/>
  <c r="V242" i="2"/>
  <c r="U242" i="2"/>
  <c r="T242" i="2"/>
  <c r="S242" i="2"/>
  <c r="R242" i="2"/>
  <c r="Q242" i="2"/>
  <c r="P242" i="2"/>
  <c r="O242" i="2"/>
  <c r="N242" i="2"/>
  <c r="L242" i="2"/>
  <c r="W241" i="2"/>
  <c r="V241" i="2"/>
  <c r="U241" i="2"/>
  <c r="T241" i="2"/>
  <c r="S241" i="2"/>
  <c r="R241" i="2"/>
  <c r="Q241" i="2"/>
  <c r="P241" i="2"/>
  <c r="O241" i="2"/>
  <c r="N241" i="2"/>
  <c r="L241" i="2"/>
  <c r="W240" i="2"/>
  <c r="V240" i="2"/>
  <c r="U240" i="2"/>
  <c r="T240" i="2"/>
  <c r="S240" i="2"/>
  <c r="R240" i="2"/>
  <c r="Q240" i="2"/>
  <c r="P240" i="2"/>
  <c r="O240" i="2"/>
  <c r="N240" i="2"/>
  <c r="L240" i="2"/>
  <c r="W239" i="2"/>
  <c r="V239" i="2"/>
  <c r="U239" i="2"/>
  <c r="T239" i="2"/>
  <c r="S239" i="2"/>
  <c r="R239" i="2"/>
  <c r="Q239" i="2"/>
  <c r="P239" i="2"/>
  <c r="O239" i="2"/>
  <c r="N239" i="2"/>
  <c r="L239" i="2"/>
  <c r="W238" i="2"/>
  <c r="V238" i="2"/>
  <c r="U238" i="2"/>
  <c r="T238" i="2"/>
  <c r="S238" i="2"/>
  <c r="R238" i="2"/>
  <c r="Q238" i="2"/>
  <c r="P238" i="2"/>
  <c r="O238" i="2"/>
  <c r="N238" i="2"/>
  <c r="L238" i="2"/>
  <c r="W237" i="2"/>
  <c r="V237" i="2"/>
  <c r="U237" i="2"/>
  <c r="T237" i="2"/>
  <c r="S237" i="2"/>
  <c r="R237" i="2"/>
  <c r="Q237" i="2"/>
  <c r="P237" i="2"/>
  <c r="O237" i="2"/>
  <c r="N237" i="2"/>
  <c r="L237" i="2"/>
  <c r="W236" i="2"/>
  <c r="V236" i="2"/>
  <c r="U236" i="2"/>
  <c r="T236" i="2"/>
  <c r="S236" i="2"/>
  <c r="R236" i="2"/>
  <c r="Q236" i="2"/>
  <c r="P236" i="2"/>
  <c r="O236" i="2"/>
  <c r="N236" i="2"/>
  <c r="L236" i="2"/>
  <c r="W235" i="2"/>
  <c r="V235" i="2"/>
  <c r="U235" i="2"/>
  <c r="T235" i="2"/>
  <c r="S235" i="2"/>
  <c r="R235" i="2"/>
  <c r="Q235" i="2"/>
  <c r="P235" i="2"/>
  <c r="O235" i="2"/>
  <c r="N235" i="2"/>
  <c r="L235" i="2"/>
  <c r="W234" i="2"/>
  <c r="V234" i="2"/>
  <c r="U234" i="2"/>
  <c r="T234" i="2"/>
  <c r="S234" i="2"/>
  <c r="R234" i="2"/>
  <c r="Q234" i="2"/>
  <c r="P234" i="2"/>
  <c r="O234" i="2"/>
  <c r="N234" i="2"/>
  <c r="L234" i="2"/>
  <c r="W233" i="2"/>
  <c r="V233" i="2"/>
  <c r="U233" i="2"/>
  <c r="T233" i="2"/>
  <c r="S233" i="2"/>
  <c r="R233" i="2"/>
  <c r="Q233" i="2"/>
  <c r="P233" i="2"/>
  <c r="O233" i="2"/>
  <c r="N233" i="2"/>
  <c r="L233" i="2"/>
  <c r="W232" i="2"/>
  <c r="V232" i="2"/>
  <c r="U232" i="2"/>
  <c r="T232" i="2"/>
  <c r="S232" i="2"/>
  <c r="R232" i="2"/>
  <c r="Q232" i="2"/>
  <c r="P232" i="2"/>
  <c r="O232" i="2"/>
  <c r="N232" i="2"/>
  <c r="L232" i="2"/>
  <c r="W231" i="2"/>
  <c r="V231" i="2"/>
  <c r="U231" i="2"/>
  <c r="T231" i="2"/>
  <c r="S231" i="2"/>
  <c r="R231" i="2"/>
  <c r="Q231" i="2"/>
  <c r="P231" i="2"/>
  <c r="O231" i="2"/>
  <c r="N231" i="2"/>
  <c r="L231" i="2"/>
  <c r="W230" i="2"/>
  <c r="V230" i="2"/>
  <c r="U230" i="2"/>
  <c r="T230" i="2"/>
  <c r="S230" i="2"/>
  <c r="R230" i="2"/>
  <c r="Q230" i="2"/>
  <c r="P230" i="2"/>
  <c r="O230" i="2"/>
  <c r="N230" i="2"/>
  <c r="L230" i="2"/>
  <c r="W229" i="2"/>
  <c r="V229" i="2"/>
  <c r="U229" i="2"/>
  <c r="T229" i="2"/>
  <c r="S229" i="2"/>
  <c r="R229" i="2"/>
  <c r="Q229" i="2"/>
  <c r="P229" i="2"/>
  <c r="O229" i="2"/>
  <c r="N229" i="2"/>
  <c r="L229" i="2"/>
  <c r="W228" i="2"/>
  <c r="V228" i="2"/>
  <c r="U228" i="2"/>
  <c r="T228" i="2"/>
  <c r="S228" i="2"/>
  <c r="R228" i="2"/>
  <c r="Q228" i="2"/>
  <c r="P228" i="2"/>
  <c r="O228" i="2"/>
  <c r="N228" i="2"/>
  <c r="L228" i="2"/>
  <c r="W227" i="2"/>
  <c r="V227" i="2"/>
  <c r="U227" i="2"/>
  <c r="T227" i="2"/>
  <c r="S227" i="2"/>
  <c r="R227" i="2"/>
  <c r="Q227" i="2"/>
  <c r="P227" i="2"/>
  <c r="O227" i="2"/>
  <c r="N227" i="2"/>
  <c r="L227" i="2"/>
  <c r="W226" i="2"/>
  <c r="V226" i="2"/>
  <c r="U226" i="2"/>
  <c r="T226" i="2"/>
  <c r="S226" i="2"/>
  <c r="R226" i="2"/>
  <c r="Q226" i="2"/>
  <c r="P226" i="2"/>
  <c r="O226" i="2"/>
  <c r="N226" i="2"/>
  <c r="L226" i="2"/>
  <c r="W225" i="2"/>
  <c r="V225" i="2"/>
  <c r="U225" i="2"/>
  <c r="T225" i="2"/>
  <c r="S225" i="2"/>
  <c r="R225" i="2"/>
  <c r="Q225" i="2"/>
  <c r="P225" i="2"/>
  <c r="O225" i="2"/>
  <c r="N225" i="2"/>
  <c r="L225" i="2"/>
  <c r="W224" i="2"/>
  <c r="V224" i="2"/>
  <c r="U224" i="2"/>
  <c r="T224" i="2"/>
  <c r="S224" i="2"/>
  <c r="R224" i="2"/>
  <c r="Q224" i="2"/>
  <c r="P224" i="2"/>
  <c r="O224" i="2"/>
  <c r="N224" i="2"/>
  <c r="L224" i="2"/>
  <c r="W223" i="2"/>
  <c r="V223" i="2"/>
  <c r="U223" i="2"/>
  <c r="T223" i="2"/>
  <c r="S223" i="2"/>
  <c r="R223" i="2"/>
  <c r="Q223" i="2"/>
  <c r="P223" i="2"/>
  <c r="O223" i="2"/>
  <c r="N223" i="2"/>
  <c r="L223" i="2"/>
  <c r="W222" i="2"/>
  <c r="V222" i="2"/>
  <c r="U222" i="2"/>
  <c r="T222" i="2"/>
  <c r="S222" i="2"/>
  <c r="R222" i="2"/>
  <c r="Q222" i="2"/>
  <c r="P222" i="2"/>
  <c r="O222" i="2"/>
  <c r="N222" i="2"/>
  <c r="L222" i="2"/>
  <c r="W221" i="2"/>
  <c r="V221" i="2"/>
  <c r="U221" i="2"/>
  <c r="T221" i="2"/>
  <c r="S221" i="2"/>
  <c r="R221" i="2"/>
  <c r="Q221" i="2"/>
  <c r="P221" i="2"/>
  <c r="O221" i="2"/>
  <c r="N221" i="2"/>
  <c r="L221" i="2"/>
  <c r="W220" i="2"/>
  <c r="V220" i="2"/>
  <c r="U220" i="2"/>
  <c r="T220" i="2"/>
  <c r="S220" i="2"/>
  <c r="R220" i="2"/>
  <c r="Q220" i="2"/>
  <c r="P220" i="2"/>
  <c r="O220" i="2"/>
  <c r="N220" i="2"/>
  <c r="L220" i="2"/>
  <c r="W219" i="2"/>
  <c r="V219" i="2"/>
  <c r="U219" i="2"/>
  <c r="T219" i="2"/>
  <c r="S219" i="2"/>
  <c r="R219" i="2"/>
  <c r="Q219" i="2"/>
  <c r="P219" i="2"/>
  <c r="O219" i="2"/>
  <c r="N219" i="2"/>
  <c r="L219" i="2"/>
  <c r="W218" i="2"/>
  <c r="V218" i="2"/>
  <c r="U218" i="2"/>
  <c r="T218" i="2"/>
  <c r="S218" i="2"/>
  <c r="R218" i="2"/>
  <c r="Q218" i="2"/>
  <c r="P218" i="2"/>
  <c r="O218" i="2"/>
  <c r="N218" i="2"/>
  <c r="L218" i="2"/>
  <c r="W217" i="2"/>
  <c r="V217" i="2"/>
  <c r="U217" i="2"/>
  <c r="T217" i="2"/>
  <c r="S217" i="2"/>
  <c r="R217" i="2"/>
  <c r="Q217" i="2"/>
  <c r="P217" i="2"/>
  <c r="O217" i="2"/>
  <c r="N217" i="2"/>
  <c r="L217" i="2"/>
  <c r="W216" i="2"/>
  <c r="V216" i="2"/>
  <c r="U216" i="2"/>
  <c r="T216" i="2"/>
  <c r="S216" i="2"/>
  <c r="R216" i="2"/>
  <c r="Q216" i="2"/>
  <c r="P216" i="2"/>
  <c r="O216" i="2"/>
  <c r="N216" i="2"/>
  <c r="L216" i="2"/>
  <c r="W215" i="2"/>
  <c r="V215" i="2"/>
  <c r="U215" i="2"/>
  <c r="T215" i="2"/>
  <c r="S215" i="2"/>
  <c r="R215" i="2"/>
  <c r="Q215" i="2"/>
  <c r="P215" i="2"/>
  <c r="O215" i="2"/>
  <c r="N215" i="2"/>
  <c r="L215" i="2"/>
  <c r="W214" i="2"/>
  <c r="V214" i="2"/>
  <c r="U214" i="2"/>
  <c r="T214" i="2"/>
  <c r="S214" i="2"/>
  <c r="R214" i="2"/>
  <c r="Q214" i="2"/>
  <c r="P214" i="2"/>
  <c r="O214" i="2"/>
  <c r="N214" i="2"/>
  <c r="L214" i="2"/>
  <c r="W213" i="2"/>
  <c r="V213" i="2"/>
  <c r="U213" i="2"/>
  <c r="T213" i="2"/>
  <c r="S213" i="2"/>
  <c r="R213" i="2"/>
  <c r="Q213" i="2"/>
  <c r="P213" i="2"/>
  <c r="O213" i="2"/>
  <c r="N213" i="2"/>
  <c r="L213" i="2"/>
  <c r="W212" i="2"/>
  <c r="V212" i="2"/>
  <c r="U212" i="2"/>
  <c r="T212" i="2"/>
  <c r="S212" i="2"/>
  <c r="R212" i="2"/>
  <c r="Q212" i="2"/>
  <c r="P212" i="2"/>
  <c r="O212" i="2"/>
  <c r="N212" i="2"/>
  <c r="L212" i="2"/>
  <c r="W211" i="2"/>
  <c r="V211" i="2"/>
  <c r="U211" i="2"/>
  <c r="T211" i="2"/>
  <c r="S211" i="2"/>
  <c r="R211" i="2"/>
  <c r="Q211" i="2"/>
  <c r="P211" i="2"/>
  <c r="O211" i="2"/>
  <c r="N211" i="2"/>
  <c r="L211" i="2"/>
  <c r="W210" i="2"/>
  <c r="V210" i="2"/>
  <c r="U210" i="2"/>
  <c r="T210" i="2"/>
  <c r="S210" i="2"/>
  <c r="R210" i="2"/>
  <c r="Q210" i="2"/>
  <c r="P210" i="2"/>
  <c r="O210" i="2"/>
  <c r="N210" i="2"/>
  <c r="L210" i="2"/>
  <c r="W209" i="2"/>
  <c r="V209" i="2"/>
  <c r="U209" i="2"/>
  <c r="T209" i="2"/>
  <c r="S209" i="2"/>
  <c r="R209" i="2"/>
  <c r="Q209" i="2"/>
  <c r="P209" i="2"/>
  <c r="O209" i="2"/>
  <c r="N209" i="2"/>
  <c r="L209" i="2"/>
  <c r="M209" i="2" s="1"/>
  <c r="W208" i="2"/>
  <c r="V208" i="2"/>
  <c r="U208" i="2"/>
  <c r="T208" i="2"/>
  <c r="S208" i="2"/>
  <c r="R208" i="2"/>
  <c r="Q208" i="2"/>
  <c r="P208" i="2"/>
  <c r="O208" i="2"/>
  <c r="N208" i="2"/>
  <c r="L208" i="2"/>
  <c r="W207" i="2"/>
  <c r="V207" i="2"/>
  <c r="U207" i="2"/>
  <c r="T207" i="2"/>
  <c r="S207" i="2"/>
  <c r="R207" i="2"/>
  <c r="Q207" i="2"/>
  <c r="P207" i="2"/>
  <c r="O207" i="2"/>
  <c r="N207" i="2"/>
  <c r="L207" i="2"/>
  <c r="W206" i="2"/>
  <c r="V206" i="2"/>
  <c r="U206" i="2"/>
  <c r="T206" i="2"/>
  <c r="S206" i="2"/>
  <c r="R206" i="2"/>
  <c r="Q206" i="2"/>
  <c r="P206" i="2"/>
  <c r="O206" i="2"/>
  <c r="N206" i="2"/>
  <c r="L206" i="2"/>
  <c r="W205" i="2"/>
  <c r="V205" i="2"/>
  <c r="U205" i="2"/>
  <c r="T205" i="2"/>
  <c r="S205" i="2"/>
  <c r="R205" i="2"/>
  <c r="Q205" i="2"/>
  <c r="P205" i="2"/>
  <c r="O205" i="2"/>
  <c r="N205" i="2"/>
  <c r="L205" i="2"/>
  <c r="W204" i="2"/>
  <c r="V204" i="2"/>
  <c r="U204" i="2"/>
  <c r="T204" i="2"/>
  <c r="S204" i="2"/>
  <c r="R204" i="2"/>
  <c r="Q204" i="2"/>
  <c r="P204" i="2"/>
  <c r="O204" i="2"/>
  <c r="N204" i="2"/>
  <c r="L204" i="2"/>
  <c r="W203" i="2"/>
  <c r="V203" i="2"/>
  <c r="U203" i="2"/>
  <c r="T203" i="2"/>
  <c r="S203" i="2"/>
  <c r="R203" i="2"/>
  <c r="Q203" i="2"/>
  <c r="P203" i="2"/>
  <c r="O203" i="2"/>
  <c r="N203" i="2"/>
  <c r="L203" i="2"/>
  <c r="W202" i="2"/>
  <c r="V202" i="2"/>
  <c r="U202" i="2"/>
  <c r="T202" i="2"/>
  <c r="S202" i="2"/>
  <c r="R202" i="2"/>
  <c r="Q202" i="2"/>
  <c r="P202" i="2"/>
  <c r="O202" i="2"/>
  <c r="N202" i="2"/>
  <c r="L202" i="2"/>
  <c r="W201" i="2"/>
  <c r="V201" i="2"/>
  <c r="U201" i="2"/>
  <c r="T201" i="2"/>
  <c r="S201" i="2"/>
  <c r="R201" i="2"/>
  <c r="Q201" i="2"/>
  <c r="P201" i="2"/>
  <c r="O201" i="2"/>
  <c r="N201" i="2"/>
  <c r="L201" i="2"/>
  <c r="W200" i="2"/>
  <c r="V200" i="2"/>
  <c r="U200" i="2"/>
  <c r="T200" i="2"/>
  <c r="S200" i="2"/>
  <c r="R200" i="2"/>
  <c r="Q200" i="2"/>
  <c r="P200" i="2"/>
  <c r="O200" i="2"/>
  <c r="N200" i="2"/>
  <c r="L200" i="2"/>
  <c r="W199" i="2"/>
  <c r="V199" i="2"/>
  <c r="U199" i="2"/>
  <c r="T199" i="2"/>
  <c r="S199" i="2"/>
  <c r="R199" i="2"/>
  <c r="Q199" i="2"/>
  <c r="P199" i="2"/>
  <c r="O199" i="2"/>
  <c r="N199" i="2"/>
  <c r="L199" i="2"/>
  <c r="W198" i="2"/>
  <c r="V198" i="2"/>
  <c r="U198" i="2"/>
  <c r="T198" i="2"/>
  <c r="S198" i="2"/>
  <c r="R198" i="2"/>
  <c r="Q198" i="2"/>
  <c r="P198" i="2"/>
  <c r="O198" i="2"/>
  <c r="N198" i="2"/>
  <c r="L198" i="2"/>
  <c r="W197" i="2"/>
  <c r="V197" i="2"/>
  <c r="U197" i="2"/>
  <c r="T197" i="2"/>
  <c r="S197" i="2"/>
  <c r="R197" i="2"/>
  <c r="Q197" i="2"/>
  <c r="P197" i="2"/>
  <c r="O197" i="2"/>
  <c r="N197" i="2"/>
  <c r="L197" i="2"/>
  <c r="W196" i="2"/>
  <c r="V196" i="2"/>
  <c r="U196" i="2"/>
  <c r="T196" i="2"/>
  <c r="S196" i="2"/>
  <c r="R196" i="2"/>
  <c r="Q196" i="2"/>
  <c r="P196" i="2"/>
  <c r="O196" i="2"/>
  <c r="N196" i="2"/>
  <c r="L196" i="2"/>
  <c r="W195" i="2"/>
  <c r="V195" i="2"/>
  <c r="U195" i="2"/>
  <c r="T195" i="2"/>
  <c r="S195" i="2"/>
  <c r="R195" i="2"/>
  <c r="Q195" i="2"/>
  <c r="P195" i="2"/>
  <c r="O195" i="2"/>
  <c r="N195" i="2"/>
  <c r="L195" i="2"/>
  <c r="W194" i="2"/>
  <c r="V194" i="2"/>
  <c r="U194" i="2"/>
  <c r="T194" i="2"/>
  <c r="S194" i="2"/>
  <c r="R194" i="2"/>
  <c r="Q194" i="2"/>
  <c r="P194" i="2"/>
  <c r="O194" i="2"/>
  <c r="N194" i="2"/>
  <c r="L194" i="2"/>
  <c r="W193" i="2"/>
  <c r="V193" i="2"/>
  <c r="U193" i="2"/>
  <c r="T193" i="2"/>
  <c r="S193" i="2"/>
  <c r="R193" i="2"/>
  <c r="Q193" i="2"/>
  <c r="P193" i="2"/>
  <c r="O193" i="2"/>
  <c r="N193" i="2"/>
  <c r="L193" i="2"/>
  <c r="W192" i="2"/>
  <c r="V192" i="2"/>
  <c r="U192" i="2"/>
  <c r="T192" i="2"/>
  <c r="S192" i="2"/>
  <c r="R192" i="2"/>
  <c r="Q192" i="2"/>
  <c r="P192" i="2"/>
  <c r="O192" i="2"/>
  <c r="N192" i="2"/>
  <c r="L192" i="2"/>
  <c r="W191" i="2"/>
  <c r="V191" i="2"/>
  <c r="U191" i="2"/>
  <c r="T191" i="2"/>
  <c r="S191" i="2"/>
  <c r="R191" i="2"/>
  <c r="Q191" i="2"/>
  <c r="P191" i="2"/>
  <c r="O191" i="2"/>
  <c r="N191" i="2"/>
  <c r="L191" i="2"/>
  <c r="W190" i="2"/>
  <c r="V190" i="2"/>
  <c r="U190" i="2"/>
  <c r="T190" i="2"/>
  <c r="S190" i="2"/>
  <c r="R190" i="2"/>
  <c r="Q190" i="2"/>
  <c r="P190" i="2"/>
  <c r="O190" i="2"/>
  <c r="N190" i="2"/>
  <c r="L190" i="2"/>
  <c r="M190" i="2" s="1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L189" i="2"/>
  <c r="W188" i="2"/>
  <c r="V188" i="2"/>
  <c r="U188" i="2"/>
  <c r="T188" i="2"/>
  <c r="S188" i="2"/>
  <c r="R188" i="2"/>
  <c r="Q188" i="2"/>
  <c r="P188" i="2"/>
  <c r="O188" i="2"/>
  <c r="N188" i="2"/>
  <c r="L188" i="2"/>
  <c r="W187" i="2"/>
  <c r="V187" i="2"/>
  <c r="U187" i="2"/>
  <c r="T187" i="2"/>
  <c r="S187" i="2"/>
  <c r="R187" i="2"/>
  <c r="Q187" i="2"/>
  <c r="P187" i="2"/>
  <c r="O187" i="2"/>
  <c r="N187" i="2"/>
  <c r="L187" i="2"/>
  <c r="M187" i="2" s="1"/>
  <c r="W186" i="2"/>
  <c r="V186" i="2"/>
  <c r="U186" i="2"/>
  <c r="T186" i="2"/>
  <c r="S186" i="2"/>
  <c r="R186" i="2"/>
  <c r="Q186" i="2"/>
  <c r="P186" i="2"/>
  <c r="O186" i="2"/>
  <c r="N186" i="2"/>
  <c r="L186" i="2"/>
  <c r="W185" i="2"/>
  <c r="V185" i="2"/>
  <c r="U185" i="2"/>
  <c r="T185" i="2"/>
  <c r="S185" i="2"/>
  <c r="R185" i="2"/>
  <c r="Q185" i="2"/>
  <c r="P185" i="2"/>
  <c r="O185" i="2"/>
  <c r="N185" i="2"/>
  <c r="L185" i="2"/>
  <c r="W184" i="2"/>
  <c r="V184" i="2"/>
  <c r="U184" i="2"/>
  <c r="T184" i="2"/>
  <c r="S184" i="2"/>
  <c r="R184" i="2"/>
  <c r="Q184" i="2"/>
  <c r="P184" i="2"/>
  <c r="O184" i="2"/>
  <c r="N184" i="2"/>
  <c r="L184" i="2"/>
  <c r="W183" i="2"/>
  <c r="V183" i="2"/>
  <c r="U183" i="2"/>
  <c r="T183" i="2"/>
  <c r="S183" i="2"/>
  <c r="R183" i="2"/>
  <c r="Q183" i="2"/>
  <c r="P183" i="2"/>
  <c r="O183" i="2"/>
  <c r="N183" i="2"/>
  <c r="L183" i="2"/>
  <c r="W182" i="2"/>
  <c r="V182" i="2"/>
  <c r="U182" i="2"/>
  <c r="T182" i="2"/>
  <c r="S182" i="2"/>
  <c r="R182" i="2"/>
  <c r="Q182" i="2"/>
  <c r="P182" i="2"/>
  <c r="O182" i="2"/>
  <c r="N182" i="2"/>
  <c r="L182" i="2"/>
  <c r="W181" i="2"/>
  <c r="V181" i="2"/>
  <c r="U181" i="2"/>
  <c r="T181" i="2"/>
  <c r="S181" i="2"/>
  <c r="R181" i="2"/>
  <c r="Q181" i="2"/>
  <c r="P181" i="2"/>
  <c r="O181" i="2"/>
  <c r="N181" i="2"/>
  <c r="L181" i="2"/>
  <c r="W180" i="2"/>
  <c r="V180" i="2"/>
  <c r="U180" i="2"/>
  <c r="T180" i="2"/>
  <c r="S180" i="2"/>
  <c r="R180" i="2"/>
  <c r="Q180" i="2"/>
  <c r="P180" i="2"/>
  <c r="O180" i="2"/>
  <c r="N180" i="2"/>
  <c r="L180" i="2"/>
  <c r="W179" i="2"/>
  <c r="V179" i="2"/>
  <c r="U179" i="2"/>
  <c r="T179" i="2"/>
  <c r="S179" i="2"/>
  <c r="R179" i="2"/>
  <c r="Q179" i="2"/>
  <c r="P179" i="2"/>
  <c r="O179" i="2"/>
  <c r="N179" i="2"/>
  <c r="L179" i="2"/>
  <c r="W178" i="2"/>
  <c r="V178" i="2"/>
  <c r="U178" i="2"/>
  <c r="T178" i="2"/>
  <c r="S178" i="2"/>
  <c r="R178" i="2"/>
  <c r="Q178" i="2"/>
  <c r="P178" i="2"/>
  <c r="O178" i="2"/>
  <c r="N178" i="2"/>
  <c r="L178" i="2"/>
  <c r="W177" i="2"/>
  <c r="V177" i="2"/>
  <c r="U177" i="2"/>
  <c r="T177" i="2"/>
  <c r="S177" i="2"/>
  <c r="R177" i="2"/>
  <c r="Q177" i="2"/>
  <c r="P177" i="2"/>
  <c r="O177" i="2"/>
  <c r="N177" i="2"/>
  <c r="L177" i="2"/>
  <c r="W176" i="2"/>
  <c r="V176" i="2"/>
  <c r="U176" i="2"/>
  <c r="T176" i="2"/>
  <c r="S176" i="2"/>
  <c r="R176" i="2"/>
  <c r="Q176" i="2"/>
  <c r="P176" i="2"/>
  <c r="O176" i="2"/>
  <c r="N176" i="2"/>
  <c r="L176" i="2"/>
  <c r="W175" i="2"/>
  <c r="V175" i="2"/>
  <c r="U175" i="2"/>
  <c r="T175" i="2"/>
  <c r="S175" i="2"/>
  <c r="R175" i="2"/>
  <c r="Q175" i="2"/>
  <c r="P175" i="2"/>
  <c r="O175" i="2"/>
  <c r="N175" i="2"/>
  <c r="L175" i="2"/>
  <c r="W174" i="2"/>
  <c r="V174" i="2"/>
  <c r="U174" i="2"/>
  <c r="T174" i="2"/>
  <c r="S174" i="2"/>
  <c r="R174" i="2"/>
  <c r="Q174" i="2"/>
  <c r="P174" i="2"/>
  <c r="O174" i="2"/>
  <c r="N174" i="2"/>
  <c r="L174" i="2"/>
  <c r="W173" i="2"/>
  <c r="V173" i="2"/>
  <c r="U173" i="2"/>
  <c r="T173" i="2"/>
  <c r="S173" i="2"/>
  <c r="R173" i="2"/>
  <c r="Q173" i="2"/>
  <c r="P173" i="2"/>
  <c r="O173" i="2"/>
  <c r="N173" i="2"/>
  <c r="L173" i="2"/>
  <c r="W172" i="2"/>
  <c r="V172" i="2"/>
  <c r="U172" i="2"/>
  <c r="T172" i="2"/>
  <c r="S172" i="2"/>
  <c r="R172" i="2"/>
  <c r="Q172" i="2"/>
  <c r="P172" i="2"/>
  <c r="O172" i="2"/>
  <c r="N172" i="2"/>
  <c r="L172" i="2"/>
  <c r="W171" i="2"/>
  <c r="V171" i="2"/>
  <c r="U171" i="2"/>
  <c r="T171" i="2"/>
  <c r="S171" i="2"/>
  <c r="R171" i="2"/>
  <c r="Q171" i="2"/>
  <c r="P171" i="2"/>
  <c r="O171" i="2"/>
  <c r="N171" i="2"/>
  <c r="L171" i="2"/>
  <c r="W170" i="2"/>
  <c r="V170" i="2"/>
  <c r="U170" i="2"/>
  <c r="T170" i="2"/>
  <c r="S170" i="2"/>
  <c r="R170" i="2"/>
  <c r="Q170" i="2"/>
  <c r="P170" i="2"/>
  <c r="O170" i="2"/>
  <c r="N170" i="2"/>
  <c r="L170" i="2"/>
  <c r="W169" i="2"/>
  <c r="V169" i="2"/>
  <c r="U169" i="2"/>
  <c r="T169" i="2"/>
  <c r="S169" i="2"/>
  <c r="R169" i="2"/>
  <c r="Q169" i="2"/>
  <c r="P169" i="2"/>
  <c r="O169" i="2"/>
  <c r="N169" i="2"/>
  <c r="L169" i="2"/>
  <c r="W168" i="2"/>
  <c r="V168" i="2"/>
  <c r="U168" i="2"/>
  <c r="T168" i="2"/>
  <c r="S168" i="2"/>
  <c r="R168" i="2"/>
  <c r="Q168" i="2"/>
  <c r="P168" i="2"/>
  <c r="O168" i="2"/>
  <c r="N168" i="2"/>
  <c r="L168" i="2"/>
  <c r="W167" i="2"/>
  <c r="V167" i="2"/>
  <c r="U167" i="2"/>
  <c r="T167" i="2"/>
  <c r="S167" i="2"/>
  <c r="R167" i="2"/>
  <c r="Q167" i="2"/>
  <c r="P167" i="2"/>
  <c r="O167" i="2"/>
  <c r="N167" i="2"/>
  <c r="L167" i="2"/>
  <c r="W166" i="2"/>
  <c r="V166" i="2"/>
  <c r="U166" i="2"/>
  <c r="T166" i="2"/>
  <c r="S166" i="2"/>
  <c r="R166" i="2"/>
  <c r="Q166" i="2"/>
  <c r="P166" i="2"/>
  <c r="O166" i="2"/>
  <c r="N166" i="2"/>
  <c r="L166" i="2"/>
  <c r="W165" i="2"/>
  <c r="V165" i="2"/>
  <c r="U165" i="2"/>
  <c r="T165" i="2"/>
  <c r="S165" i="2"/>
  <c r="R165" i="2"/>
  <c r="Q165" i="2"/>
  <c r="P165" i="2"/>
  <c r="O165" i="2"/>
  <c r="N165" i="2"/>
  <c r="L165" i="2"/>
  <c r="W164" i="2"/>
  <c r="V164" i="2"/>
  <c r="U164" i="2"/>
  <c r="T164" i="2"/>
  <c r="S164" i="2"/>
  <c r="R164" i="2"/>
  <c r="Q164" i="2"/>
  <c r="P164" i="2"/>
  <c r="O164" i="2"/>
  <c r="N164" i="2"/>
  <c r="L164" i="2"/>
  <c r="W163" i="2"/>
  <c r="V163" i="2"/>
  <c r="U163" i="2"/>
  <c r="T163" i="2"/>
  <c r="S163" i="2"/>
  <c r="R163" i="2"/>
  <c r="Q163" i="2"/>
  <c r="P163" i="2"/>
  <c r="O163" i="2"/>
  <c r="N163" i="2"/>
  <c r="L163" i="2"/>
  <c r="W162" i="2"/>
  <c r="V162" i="2"/>
  <c r="U162" i="2"/>
  <c r="T162" i="2"/>
  <c r="S162" i="2"/>
  <c r="R162" i="2"/>
  <c r="Q162" i="2"/>
  <c r="P162" i="2"/>
  <c r="O162" i="2"/>
  <c r="N162" i="2"/>
  <c r="L162" i="2"/>
  <c r="W161" i="2"/>
  <c r="V161" i="2"/>
  <c r="U161" i="2"/>
  <c r="T161" i="2"/>
  <c r="S161" i="2"/>
  <c r="R161" i="2"/>
  <c r="Q161" i="2"/>
  <c r="P161" i="2"/>
  <c r="O161" i="2"/>
  <c r="N161" i="2"/>
  <c r="L161" i="2"/>
  <c r="W160" i="2"/>
  <c r="V160" i="2"/>
  <c r="U160" i="2"/>
  <c r="T160" i="2"/>
  <c r="S160" i="2"/>
  <c r="R160" i="2"/>
  <c r="Q160" i="2"/>
  <c r="P160" i="2"/>
  <c r="O160" i="2"/>
  <c r="N160" i="2"/>
  <c r="L160" i="2"/>
  <c r="W159" i="2"/>
  <c r="V159" i="2"/>
  <c r="U159" i="2"/>
  <c r="T159" i="2"/>
  <c r="S159" i="2"/>
  <c r="R159" i="2"/>
  <c r="Q159" i="2"/>
  <c r="P159" i="2"/>
  <c r="O159" i="2"/>
  <c r="N159" i="2"/>
  <c r="L159" i="2"/>
  <c r="W158" i="2"/>
  <c r="V158" i="2"/>
  <c r="U158" i="2"/>
  <c r="T158" i="2"/>
  <c r="S158" i="2"/>
  <c r="R158" i="2"/>
  <c r="Q158" i="2"/>
  <c r="P158" i="2"/>
  <c r="O158" i="2"/>
  <c r="N158" i="2"/>
  <c r="L158" i="2"/>
  <c r="W157" i="2"/>
  <c r="V157" i="2"/>
  <c r="U157" i="2"/>
  <c r="T157" i="2"/>
  <c r="S157" i="2"/>
  <c r="R157" i="2"/>
  <c r="Q157" i="2"/>
  <c r="P157" i="2"/>
  <c r="O157" i="2"/>
  <c r="N157" i="2"/>
  <c r="L157" i="2"/>
  <c r="W156" i="2"/>
  <c r="V156" i="2"/>
  <c r="U156" i="2"/>
  <c r="T156" i="2"/>
  <c r="S156" i="2"/>
  <c r="R156" i="2"/>
  <c r="Q156" i="2"/>
  <c r="P156" i="2"/>
  <c r="O156" i="2"/>
  <c r="N156" i="2"/>
  <c r="L156" i="2"/>
  <c r="W155" i="2"/>
  <c r="V155" i="2"/>
  <c r="U155" i="2"/>
  <c r="T155" i="2"/>
  <c r="S155" i="2"/>
  <c r="R155" i="2"/>
  <c r="Q155" i="2"/>
  <c r="P155" i="2"/>
  <c r="O155" i="2"/>
  <c r="N155" i="2"/>
  <c r="L155" i="2"/>
  <c r="W154" i="2"/>
  <c r="V154" i="2"/>
  <c r="U154" i="2"/>
  <c r="T154" i="2"/>
  <c r="S154" i="2"/>
  <c r="R154" i="2"/>
  <c r="Q154" i="2"/>
  <c r="P154" i="2"/>
  <c r="O154" i="2"/>
  <c r="N154" i="2"/>
  <c r="L154" i="2"/>
  <c r="W153" i="2"/>
  <c r="V153" i="2"/>
  <c r="U153" i="2"/>
  <c r="T153" i="2"/>
  <c r="S153" i="2"/>
  <c r="R153" i="2"/>
  <c r="Q153" i="2"/>
  <c r="P153" i="2"/>
  <c r="O153" i="2"/>
  <c r="N153" i="2"/>
  <c r="L153" i="2"/>
  <c r="W152" i="2"/>
  <c r="V152" i="2"/>
  <c r="U152" i="2"/>
  <c r="T152" i="2"/>
  <c r="S152" i="2"/>
  <c r="R152" i="2"/>
  <c r="Q152" i="2"/>
  <c r="P152" i="2"/>
  <c r="O152" i="2"/>
  <c r="N152" i="2"/>
  <c r="L152" i="2"/>
  <c r="W151" i="2"/>
  <c r="V151" i="2"/>
  <c r="U151" i="2"/>
  <c r="T151" i="2"/>
  <c r="S151" i="2"/>
  <c r="R151" i="2"/>
  <c r="Q151" i="2"/>
  <c r="P151" i="2"/>
  <c r="O151" i="2"/>
  <c r="N151" i="2"/>
  <c r="L151" i="2"/>
  <c r="W150" i="2"/>
  <c r="V150" i="2"/>
  <c r="U150" i="2"/>
  <c r="T150" i="2"/>
  <c r="S150" i="2"/>
  <c r="R150" i="2"/>
  <c r="Q150" i="2"/>
  <c r="P150" i="2"/>
  <c r="O150" i="2"/>
  <c r="N150" i="2"/>
  <c r="L150" i="2"/>
  <c r="W149" i="2"/>
  <c r="V149" i="2"/>
  <c r="U149" i="2"/>
  <c r="T149" i="2"/>
  <c r="S149" i="2"/>
  <c r="R149" i="2"/>
  <c r="Q149" i="2"/>
  <c r="P149" i="2"/>
  <c r="O149" i="2"/>
  <c r="N149" i="2"/>
  <c r="L149" i="2"/>
  <c r="W148" i="2"/>
  <c r="V148" i="2"/>
  <c r="U148" i="2"/>
  <c r="T148" i="2"/>
  <c r="S148" i="2"/>
  <c r="R148" i="2"/>
  <c r="Q148" i="2"/>
  <c r="P148" i="2"/>
  <c r="O148" i="2"/>
  <c r="N148" i="2"/>
  <c r="L148" i="2"/>
  <c r="W147" i="2"/>
  <c r="V147" i="2"/>
  <c r="U147" i="2"/>
  <c r="T147" i="2"/>
  <c r="S147" i="2"/>
  <c r="R147" i="2"/>
  <c r="Q147" i="2"/>
  <c r="P147" i="2"/>
  <c r="O147" i="2"/>
  <c r="N147" i="2"/>
  <c r="L147" i="2"/>
  <c r="W146" i="2"/>
  <c r="V146" i="2"/>
  <c r="U146" i="2"/>
  <c r="T146" i="2"/>
  <c r="S146" i="2"/>
  <c r="R146" i="2"/>
  <c r="Q146" i="2"/>
  <c r="P146" i="2"/>
  <c r="O146" i="2"/>
  <c r="N146" i="2"/>
  <c r="L146" i="2"/>
  <c r="W145" i="2"/>
  <c r="V145" i="2"/>
  <c r="U145" i="2"/>
  <c r="T145" i="2"/>
  <c r="S145" i="2"/>
  <c r="R145" i="2"/>
  <c r="Q145" i="2"/>
  <c r="P145" i="2"/>
  <c r="O145" i="2"/>
  <c r="N145" i="2"/>
  <c r="L145" i="2"/>
  <c r="W144" i="2"/>
  <c r="V144" i="2"/>
  <c r="U144" i="2"/>
  <c r="T144" i="2"/>
  <c r="S144" i="2"/>
  <c r="R144" i="2"/>
  <c r="Q144" i="2"/>
  <c r="P144" i="2"/>
  <c r="O144" i="2"/>
  <c r="N144" i="2"/>
  <c r="L144" i="2"/>
  <c r="W143" i="2"/>
  <c r="V143" i="2"/>
  <c r="U143" i="2"/>
  <c r="T143" i="2"/>
  <c r="S143" i="2"/>
  <c r="R143" i="2"/>
  <c r="Q143" i="2"/>
  <c r="P143" i="2"/>
  <c r="O143" i="2"/>
  <c r="N143" i="2"/>
  <c r="L143" i="2"/>
  <c r="W142" i="2"/>
  <c r="V142" i="2"/>
  <c r="U142" i="2"/>
  <c r="T142" i="2"/>
  <c r="S142" i="2"/>
  <c r="R142" i="2"/>
  <c r="Q142" i="2"/>
  <c r="P142" i="2"/>
  <c r="O142" i="2"/>
  <c r="N142" i="2"/>
  <c r="L142" i="2"/>
  <c r="W141" i="2"/>
  <c r="V141" i="2"/>
  <c r="U141" i="2"/>
  <c r="T141" i="2"/>
  <c r="S141" i="2"/>
  <c r="R141" i="2"/>
  <c r="Q141" i="2"/>
  <c r="P141" i="2"/>
  <c r="O141" i="2"/>
  <c r="N141" i="2"/>
  <c r="L141" i="2"/>
  <c r="W140" i="2"/>
  <c r="V140" i="2"/>
  <c r="U140" i="2"/>
  <c r="T140" i="2"/>
  <c r="S140" i="2"/>
  <c r="R140" i="2"/>
  <c r="Q140" i="2"/>
  <c r="P140" i="2"/>
  <c r="O140" i="2"/>
  <c r="N140" i="2"/>
  <c r="L140" i="2"/>
  <c r="W139" i="2"/>
  <c r="V139" i="2"/>
  <c r="U139" i="2"/>
  <c r="T139" i="2"/>
  <c r="S139" i="2"/>
  <c r="R139" i="2"/>
  <c r="Q139" i="2"/>
  <c r="P139" i="2"/>
  <c r="O139" i="2"/>
  <c r="N139" i="2"/>
  <c r="L139" i="2"/>
  <c r="W138" i="2"/>
  <c r="V138" i="2"/>
  <c r="U138" i="2"/>
  <c r="T138" i="2"/>
  <c r="S138" i="2"/>
  <c r="R138" i="2"/>
  <c r="Q138" i="2"/>
  <c r="P138" i="2"/>
  <c r="O138" i="2"/>
  <c r="N138" i="2"/>
  <c r="L138" i="2"/>
  <c r="W137" i="2"/>
  <c r="V137" i="2"/>
  <c r="U137" i="2"/>
  <c r="T137" i="2"/>
  <c r="S137" i="2"/>
  <c r="R137" i="2"/>
  <c r="Q137" i="2"/>
  <c r="P137" i="2"/>
  <c r="O137" i="2"/>
  <c r="N137" i="2"/>
  <c r="L137" i="2"/>
  <c r="W136" i="2"/>
  <c r="V136" i="2"/>
  <c r="U136" i="2"/>
  <c r="T136" i="2"/>
  <c r="S136" i="2"/>
  <c r="R136" i="2"/>
  <c r="Q136" i="2"/>
  <c r="P136" i="2"/>
  <c r="O136" i="2"/>
  <c r="N136" i="2"/>
  <c r="L136" i="2"/>
  <c r="W135" i="2"/>
  <c r="V135" i="2"/>
  <c r="U135" i="2"/>
  <c r="T135" i="2"/>
  <c r="S135" i="2"/>
  <c r="R135" i="2"/>
  <c r="Q135" i="2"/>
  <c r="P135" i="2"/>
  <c r="O135" i="2"/>
  <c r="N135" i="2"/>
  <c r="L135" i="2"/>
  <c r="W134" i="2"/>
  <c r="V134" i="2"/>
  <c r="U134" i="2"/>
  <c r="T134" i="2"/>
  <c r="S134" i="2"/>
  <c r="R134" i="2"/>
  <c r="Q134" i="2"/>
  <c r="P134" i="2"/>
  <c r="O134" i="2"/>
  <c r="N134" i="2"/>
  <c r="L134" i="2"/>
  <c r="W133" i="2"/>
  <c r="V133" i="2"/>
  <c r="U133" i="2"/>
  <c r="T133" i="2"/>
  <c r="S133" i="2"/>
  <c r="R133" i="2"/>
  <c r="Q133" i="2"/>
  <c r="P133" i="2"/>
  <c r="O133" i="2"/>
  <c r="N133" i="2"/>
  <c r="L133" i="2"/>
  <c r="W132" i="2"/>
  <c r="V132" i="2"/>
  <c r="U132" i="2"/>
  <c r="T132" i="2"/>
  <c r="S132" i="2"/>
  <c r="R132" i="2"/>
  <c r="Q132" i="2"/>
  <c r="P132" i="2"/>
  <c r="O132" i="2"/>
  <c r="N132" i="2"/>
  <c r="L132" i="2"/>
  <c r="W131" i="2"/>
  <c r="V131" i="2"/>
  <c r="U131" i="2"/>
  <c r="T131" i="2"/>
  <c r="S131" i="2"/>
  <c r="R131" i="2"/>
  <c r="Q131" i="2"/>
  <c r="P131" i="2"/>
  <c r="O131" i="2"/>
  <c r="N131" i="2"/>
  <c r="L131" i="2"/>
  <c r="W130" i="2"/>
  <c r="V130" i="2"/>
  <c r="U130" i="2"/>
  <c r="T130" i="2"/>
  <c r="S130" i="2"/>
  <c r="R130" i="2"/>
  <c r="Q130" i="2"/>
  <c r="P130" i="2"/>
  <c r="O130" i="2"/>
  <c r="N130" i="2"/>
  <c r="L130" i="2"/>
  <c r="W129" i="2"/>
  <c r="V129" i="2"/>
  <c r="U129" i="2"/>
  <c r="T129" i="2"/>
  <c r="S129" i="2"/>
  <c r="R129" i="2"/>
  <c r="Q129" i="2"/>
  <c r="P129" i="2"/>
  <c r="O129" i="2"/>
  <c r="N129" i="2"/>
  <c r="L129" i="2"/>
  <c r="W128" i="2"/>
  <c r="V128" i="2"/>
  <c r="U128" i="2"/>
  <c r="T128" i="2"/>
  <c r="S128" i="2"/>
  <c r="R128" i="2"/>
  <c r="Q128" i="2"/>
  <c r="P128" i="2"/>
  <c r="O128" i="2"/>
  <c r="N128" i="2"/>
  <c r="L128" i="2"/>
  <c r="W127" i="2"/>
  <c r="V127" i="2"/>
  <c r="U127" i="2"/>
  <c r="T127" i="2"/>
  <c r="S127" i="2"/>
  <c r="R127" i="2"/>
  <c r="Q127" i="2"/>
  <c r="P127" i="2"/>
  <c r="O127" i="2"/>
  <c r="N127" i="2"/>
  <c r="L127" i="2"/>
  <c r="W126" i="2"/>
  <c r="V126" i="2"/>
  <c r="U126" i="2"/>
  <c r="T126" i="2"/>
  <c r="S126" i="2"/>
  <c r="R126" i="2"/>
  <c r="Q126" i="2"/>
  <c r="P126" i="2"/>
  <c r="O126" i="2"/>
  <c r="N126" i="2"/>
  <c r="L126" i="2"/>
  <c r="W125" i="2"/>
  <c r="V125" i="2"/>
  <c r="U125" i="2"/>
  <c r="T125" i="2"/>
  <c r="S125" i="2"/>
  <c r="R125" i="2"/>
  <c r="Q125" i="2"/>
  <c r="P125" i="2"/>
  <c r="O125" i="2"/>
  <c r="N125" i="2"/>
  <c r="L125" i="2"/>
  <c r="W124" i="2"/>
  <c r="V124" i="2"/>
  <c r="U124" i="2"/>
  <c r="T124" i="2"/>
  <c r="S124" i="2"/>
  <c r="R124" i="2"/>
  <c r="Q124" i="2"/>
  <c r="P124" i="2"/>
  <c r="O124" i="2"/>
  <c r="N124" i="2"/>
  <c r="L124" i="2"/>
  <c r="W123" i="2"/>
  <c r="V123" i="2"/>
  <c r="U123" i="2"/>
  <c r="T123" i="2"/>
  <c r="S123" i="2"/>
  <c r="R123" i="2"/>
  <c r="Q123" i="2"/>
  <c r="P123" i="2"/>
  <c r="O123" i="2"/>
  <c r="N123" i="2"/>
  <c r="L123" i="2"/>
  <c r="W122" i="2"/>
  <c r="V122" i="2"/>
  <c r="U122" i="2"/>
  <c r="T122" i="2"/>
  <c r="S122" i="2"/>
  <c r="R122" i="2"/>
  <c r="Q122" i="2"/>
  <c r="P122" i="2"/>
  <c r="O122" i="2"/>
  <c r="N122" i="2"/>
  <c r="L122" i="2"/>
  <c r="W121" i="2"/>
  <c r="V121" i="2"/>
  <c r="U121" i="2"/>
  <c r="T121" i="2"/>
  <c r="S121" i="2"/>
  <c r="R121" i="2"/>
  <c r="Q121" i="2"/>
  <c r="P121" i="2"/>
  <c r="O121" i="2"/>
  <c r="N121" i="2"/>
  <c r="L121" i="2"/>
  <c r="W120" i="2"/>
  <c r="V120" i="2"/>
  <c r="U120" i="2"/>
  <c r="T120" i="2"/>
  <c r="S120" i="2"/>
  <c r="R120" i="2"/>
  <c r="Q120" i="2"/>
  <c r="P120" i="2"/>
  <c r="O120" i="2"/>
  <c r="N120" i="2"/>
  <c r="L120" i="2"/>
  <c r="W119" i="2"/>
  <c r="V119" i="2"/>
  <c r="U119" i="2"/>
  <c r="T119" i="2"/>
  <c r="S119" i="2"/>
  <c r="R119" i="2"/>
  <c r="Q119" i="2"/>
  <c r="P119" i="2"/>
  <c r="O119" i="2"/>
  <c r="N119" i="2"/>
  <c r="L119" i="2"/>
  <c r="W118" i="2"/>
  <c r="V118" i="2"/>
  <c r="U118" i="2"/>
  <c r="T118" i="2"/>
  <c r="S118" i="2"/>
  <c r="R118" i="2"/>
  <c r="Q118" i="2"/>
  <c r="P118" i="2"/>
  <c r="O118" i="2"/>
  <c r="N118" i="2"/>
  <c r="L118" i="2"/>
  <c r="W117" i="2"/>
  <c r="V117" i="2"/>
  <c r="U117" i="2"/>
  <c r="T117" i="2"/>
  <c r="S117" i="2"/>
  <c r="R117" i="2"/>
  <c r="Q117" i="2"/>
  <c r="P117" i="2"/>
  <c r="O117" i="2"/>
  <c r="N117" i="2"/>
  <c r="L117" i="2"/>
  <c r="W116" i="2"/>
  <c r="V116" i="2"/>
  <c r="U116" i="2"/>
  <c r="T116" i="2"/>
  <c r="S116" i="2"/>
  <c r="R116" i="2"/>
  <c r="Q116" i="2"/>
  <c r="P116" i="2"/>
  <c r="O116" i="2"/>
  <c r="N116" i="2"/>
  <c r="L116" i="2"/>
  <c r="W115" i="2"/>
  <c r="V115" i="2"/>
  <c r="U115" i="2"/>
  <c r="T115" i="2"/>
  <c r="S115" i="2"/>
  <c r="R115" i="2"/>
  <c r="Q115" i="2"/>
  <c r="P115" i="2"/>
  <c r="O115" i="2"/>
  <c r="N115" i="2"/>
  <c r="L115" i="2"/>
  <c r="W114" i="2"/>
  <c r="V114" i="2"/>
  <c r="U114" i="2"/>
  <c r="T114" i="2"/>
  <c r="S114" i="2"/>
  <c r="R114" i="2"/>
  <c r="Q114" i="2"/>
  <c r="P114" i="2"/>
  <c r="O114" i="2"/>
  <c r="N114" i="2"/>
  <c r="L114" i="2"/>
  <c r="W113" i="2"/>
  <c r="V113" i="2"/>
  <c r="U113" i="2"/>
  <c r="T113" i="2"/>
  <c r="S113" i="2"/>
  <c r="R113" i="2"/>
  <c r="Q113" i="2"/>
  <c r="P113" i="2"/>
  <c r="O113" i="2"/>
  <c r="N113" i="2"/>
  <c r="L113" i="2"/>
  <c r="W112" i="2"/>
  <c r="V112" i="2"/>
  <c r="U112" i="2"/>
  <c r="T112" i="2"/>
  <c r="S112" i="2"/>
  <c r="R112" i="2"/>
  <c r="Q112" i="2"/>
  <c r="P112" i="2"/>
  <c r="O112" i="2"/>
  <c r="N112" i="2"/>
  <c r="L112" i="2"/>
  <c r="W111" i="2"/>
  <c r="V111" i="2"/>
  <c r="U111" i="2"/>
  <c r="T111" i="2"/>
  <c r="S111" i="2"/>
  <c r="R111" i="2"/>
  <c r="Q111" i="2"/>
  <c r="P111" i="2"/>
  <c r="O111" i="2"/>
  <c r="N111" i="2"/>
  <c r="L111" i="2"/>
  <c r="W110" i="2"/>
  <c r="V110" i="2"/>
  <c r="U110" i="2"/>
  <c r="T110" i="2"/>
  <c r="S110" i="2"/>
  <c r="R110" i="2"/>
  <c r="Q110" i="2"/>
  <c r="P110" i="2"/>
  <c r="O110" i="2"/>
  <c r="N110" i="2"/>
  <c r="L110" i="2"/>
  <c r="W109" i="2"/>
  <c r="V109" i="2"/>
  <c r="U109" i="2"/>
  <c r="T109" i="2"/>
  <c r="S109" i="2"/>
  <c r="R109" i="2"/>
  <c r="Q109" i="2"/>
  <c r="P109" i="2"/>
  <c r="O109" i="2"/>
  <c r="N109" i="2"/>
  <c r="L109" i="2"/>
  <c r="W108" i="2"/>
  <c r="V108" i="2"/>
  <c r="U108" i="2"/>
  <c r="T108" i="2"/>
  <c r="S108" i="2"/>
  <c r="R108" i="2"/>
  <c r="Q108" i="2"/>
  <c r="P108" i="2"/>
  <c r="O108" i="2"/>
  <c r="N108" i="2"/>
  <c r="L108" i="2"/>
  <c r="W107" i="2"/>
  <c r="V107" i="2"/>
  <c r="U107" i="2"/>
  <c r="T107" i="2"/>
  <c r="S107" i="2"/>
  <c r="R107" i="2"/>
  <c r="Q107" i="2"/>
  <c r="P107" i="2"/>
  <c r="O107" i="2"/>
  <c r="N107" i="2"/>
  <c r="L107" i="2"/>
  <c r="W106" i="2"/>
  <c r="V106" i="2"/>
  <c r="U106" i="2"/>
  <c r="T106" i="2"/>
  <c r="S106" i="2"/>
  <c r="R106" i="2"/>
  <c r="Q106" i="2"/>
  <c r="P106" i="2"/>
  <c r="O106" i="2"/>
  <c r="N106" i="2"/>
  <c r="L106" i="2"/>
  <c r="W105" i="2"/>
  <c r="V105" i="2"/>
  <c r="U105" i="2"/>
  <c r="T105" i="2"/>
  <c r="S105" i="2"/>
  <c r="R105" i="2"/>
  <c r="Q105" i="2"/>
  <c r="P105" i="2"/>
  <c r="O105" i="2"/>
  <c r="N105" i="2"/>
  <c r="L105" i="2"/>
  <c r="W104" i="2"/>
  <c r="V104" i="2"/>
  <c r="U104" i="2"/>
  <c r="T104" i="2"/>
  <c r="S104" i="2"/>
  <c r="R104" i="2"/>
  <c r="Q104" i="2"/>
  <c r="P104" i="2"/>
  <c r="O104" i="2"/>
  <c r="N104" i="2"/>
  <c r="L104" i="2"/>
  <c r="W103" i="2"/>
  <c r="V103" i="2"/>
  <c r="U103" i="2"/>
  <c r="T103" i="2"/>
  <c r="S103" i="2"/>
  <c r="R103" i="2"/>
  <c r="Q103" i="2"/>
  <c r="P103" i="2"/>
  <c r="O103" i="2"/>
  <c r="N103" i="2"/>
  <c r="L103" i="2"/>
  <c r="W102" i="2"/>
  <c r="V102" i="2"/>
  <c r="U102" i="2"/>
  <c r="T102" i="2"/>
  <c r="S102" i="2"/>
  <c r="R102" i="2"/>
  <c r="Q102" i="2"/>
  <c r="P102" i="2"/>
  <c r="O102" i="2"/>
  <c r="N102" i="2"/>
  <c r="L102" i="2"/>
  <c r="W101" i="2"/>
  <c r="V101" i="2"/>
  <c r="U101" i="2"/>
  <c r="T101" i="2"/>
  <c r="S101" i="2"/>
  <c r="R101" i="2"/>
  <c r="Q101" i="2"/>
  <c r="P101" i="2"/>
  <c r="O101" i="2"/>
  <c r="N101" i="2"/>
  <c r="L101" i="2"/>
  <c r="W100" i="2"/>
  <c r="V100" i="2"/>
  <c r="U100" i="2"/>
  <c r="T100" i="2"/>
  <c r="S100" i="2"/>
  <c r="R100" i="2"/>
  <c r="Q100" i="2"/>
  <c r="P100" i="2"/>
  <c r="O100" i="2"/>
  <c r="N100" i="2"/>
  <c r="L100" i="2"/>
  <c r="W99" i="2"/>
  <c r="V99" i="2"/>
  <c r="U99" i="2"/>
  <c r="T99" i="2"/>
  <c r="S99" i="2"/>
  <c r="R99" i="2"/>
  <c r="Q99" i="2"/>
  <c r="P99" i="2"/>
  <c r="O99" i="2"/>
  <c r="N99" i="2"/>
  <c r="L99" i="2"/>
  <c r="W98" i="2"/>
  <c r="V98" i="2"/>
  <c r="U98" i="2"/>
  <c r="T98" i="2"/>
  <c r="S98" i="2"/>
  <c r="R98" i="2"/>
  <c r="Q98" i="2"/>
  <c r="P98" i="2"/>
  <c r="O98" i="2"/>
  <c r="N98" i="2"/>
  <c r="L98" i="2"/>
  <c r="W97" i="2"/>
  <c r="V97" i="2"/>
  <c r="U97" i="2"/>
  <c r="T97" i="2"/>
  <c r="S97" i="2"/>
  <c r="R97" i="2"/>
  <c r="Q97" i="2"/>
  <c r="P97" i="2"/>
  <c r="O97" i="2"/>
  <c r="N97" i="2"/>
  <c r="L97" i="2"/>
  <c r="W96" i="2"/>
  <c r="V96" i="2"/>
  <c r="U96" i="2"/>
  <c r="T96" i="2"/>
  <c r="S96" i="2"/>
  <c r="R96" i="2"/>
  <c r="Q96" i="2"/>
  <c r="P96" i="2"/>
  <c r="O96" i="2"/>
  <c r="N96" i="2"/>
  <c r="L96" i="2"/>
  <c r="W95" i="2"/>
  <c r="V95" i="2"/>
  <c r="U95" i="2"/>
  <c r="T95" i="2"/>
  <c r="S95" i="2"/>
  <c r="R95" i="2"/>
  <c r="Q95" i="2"/>
  <c r="P95" i="2"/>
  <c r="O95" i="2"/>
  <c r="N95" i="2"/>
  <c r="L95" i="2"/>
  <c r="W94" i="2"/>
  <c r="V94" i="2"/>
  <c r="U94" i="2"/>
  <c r="T94" i="2"/>
  <c r="S94" i="2"/>
  <c r="R94" i="2"/>
  <c r="Q94" i="2"/>
  <c r="P94" i="2"/>
  <c r="O94" i="2"/>
  <c r="N94" i="2"/>
  <c r="L94" i="2"/>
  <c r="W93" i="2"/>
  <c r="V93" i="2"/>
  <c r="U93" i="2"/>
  <c r="T93" i="2"/>
  <c r="S93" i="2"/>
  <c r="R93" i="2"/>
  <c r="Q93" i="2"/>
  <c r="P93" i="2"/>
  <c r="O93" i="2"/>
  <c r="N93" i="2"/>
  <c r="L93" i="2"/>
  <c r="W92" i="2"/>
  <c r="V92" i="2"/>
  <c r="U92" i="2"/>
  <c r="T92" i="2"/>
  <c r="S92" i="2"/>
  <c r="R92" i="2"/>
  <c r="Q92" i="2"/>
  <c r="P92" i="2"/>
  <c r="O92" i="2"/>
  <c r="N92" i="2"/>
  <c r="L92" i="2"/>
  <c r="W91" i="2"/>
  <c r="V91" i="2"/>
  <c r="U91" i="2"/>
  <c r="T91" i="2"/>
  <c r="S91" i="2"/>
  <c r="R91" i="2"/>
  <c r="Q91" i="2"/>
  <c r="P91" i="2"/>
  <c r="O91" i="2"/>
  <c r="N91" i="2"/>
  <c r="L91" i="2"/>
  <c r="M91" i="2" s="1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L90" i="2"/>
  <c r="W89" i="2"/>
  <c r="V89" i="2"/>
  <c r="U89" i="2"/>
  <c r="T89" i="2"/>
  <c r="S89" i="2"/>
  <c r="R89" i="2"/>
  <c r="Q89" i="2"/>
  <c r="P89" i="2"/>
  <c r="O89" i="2"/>
  <c r="N89" i="2"/>
  <c r="L89" i="2"/>
  <c r="W88" i="2"/>
  <c r="V88" i="2"/>
  <c r="U88" i="2"/>
  <c r="T88" i="2"/>
  <c r="S88" i="2"/>
  <c r="R88" i="2"/>
  <c r="Q88" i="2"/>
  <c r="P88" i="2"/>
  <c r="O88" i="2"/>
  <c r="N88" i="2"/>
  <c r="L88" i="2"/>
  <c r="W87" i="2"/>
  <c r="V87" i="2"/>
  <c r="U87" i="2"/>
  <c r="T87" i="2"/>
  <c r="S87" i="2"/>
  <c r="R87" i="2"/>
  <c r="Q87" i="2"/>
  <c r="P87" i="2"/>
  <c r="O87" i="2"/>
  <c r="N87" i="2"/>
  <c r="L87" i="2"/>
  <c r="W86" i="2"/>
  <c r="V86" i="2"/>
  <c r="U86" i="2"/>
  <c r="T86" i="2"/>
  <c r="S86" i="2"/>
  <c r="R86" i="2"/>
  <c r="Q86" i="2"/>
  <c r="P86" i="2"/>
  <c r="O86" i="2"/>
  <c r="N86" i="2"/>
  <c r="L86" i="2"/>
  <c r="W85" i="2"/>
  <c r="V85" i="2"/>
  <c r="U85" i="2"/>
  <c r="T85" i="2"/>
  <c r="S85" i="2"/>
  <c r="R85" i="2"/>
  <c r="Q85" i="2"/>
  <c r="P85" i="2"/>
  <c r="O85" i="2"/>
  <c r="N85" i="2"/>
  <c r="L85" i="2"/>
  <c r="W84" i="2"/>
  <c r="V84" i="2"/>
  <c r="U84" i="2"/>
  <c r="T84" i="2"/>
  <c r="S84" i="2"/>
  <c r="R84" i="2"/>
  <c r="Q84" i="2"/>
  <c r="P84" i="2"/>
  <c r="O84" i="2"/>
  <c r="N84" i="2"/>
  <c r="L84" i="2"/>
  <c r="W83" i="2"/>
  <c r="V83" i="2"/>
  <c r="U83" i="2"/>
  <c r="T83" i="2"/>
  <c r="S83" i="2"/>
  <c r="R83" i="2"/>
  <c r="Q83" i="2"/>
  <c r="P83" i="2"/>
  <c r="O83" i="2"/>
  <c r="N83" i="2"/>
  <c r="L83" i="2"/>
  <c r="W82" i="2"/>
  <c r="V82" i="2"/>
  <c r="U82" i="2"/>
  <c r="T82" i="2"/>
  <c r="S82" i="2"/>
  <c r="R82" i="2"/>
  <c r="Q82" i="2"/>
  <c r="P82" i="2"/>
  <c r="O82" i="2"/>
  <c r="N82" i="2"/>
  <c r="L82" i="2"/>
  <c r="W81" i="2"/>
  <c r="V81" i="2"/>
  <c r="U81" i="2"/>
  <c r="T81" i="2"/>
  <c r="S81" i="2"/>
  <c r="R81" i="2"/>
  <c r="Q81" i="2"/>
  <c r="P81" i="2"/>
  <c r="O81" i="2"/>
  <c r="N81" i="2"/>
  <c r="L81" i="2"/>
  <c r="W80" i="2"/>
  <c r="V80" i="2"/>
  <c r="U80" i="2"/>
  <c r="T80" i="2"/>
  <c r="S80" i="2"/>
  <c r="R80" i="2"/>
  <c r="Q80" i="2"/>
  <c r="P80" i="2"/>
  <c r="O80" i="2"/>
  <c r="N80" i="2"/>
  <c r="L80" i="2"/>
  <c r="W79" i="2"/>
  <c r="V79" i="2"/>
  <c r="U79" i="2"/>
  <c r="T79" i="2"/>
  <c r="S79" i="2"/>
  <c r="R79" i="2"/>
  <c r="Q79" i="2"/>
  <c r="P79" i="2"/>
  <c r="O79" i="2"/>
  <c r="N79" i="2"/>
  <c r="L79" i="2"/>
  <c r="W78" i="2"/>
  <c r="V78" i="2"/>
  <c r="U78" i="2"/>
  <c r="T78" i="2"/>
  <c r="S78" i="2"/>
  <c r="R78" i="2"/>
  <c r="Q78" i="2"/>
  <c r="P78" i="2"/>
  <c r="O78" i="2"/>
  <c r="N78" i="2"/>
  <c r="L78" i="2"/>
  <c r="W77" i="2"/>
  <c r="V77" i="2"/>
  <c r="U77" i="2"/>
  <c r="T77" i="2"/>
  <c r="S77" i="2"/>
  <c r="R77" i="2"/>
  <c r="Q77" i="2"/>
  <c r="P77" i="2"/>
  <c r="O77" i="2"/>
  <c r="N77" i="2"/>
  <c r="L77" i="2"/>
  <c r="W76" i="2"/>
  <c r="V76" i="2"/>
  <c r="U76" i="2"/>
  <c r="T76" i="2"/>
  <c r="S76" i="2"/>
  <c r="R76" i="2"/>
  <c r="Q76" i="2"/>
  <c r="P76" i="2"/>
  <c r="O76" i="2"/>
  <c r="N76" i="2"/>
  <c r="L76" i="2"/>
  <c r="W75" i="2"/>
  <c r="V75" i="2"/>
  <c r="U75" i="2"/>
  <c r="T75" i="2"/>
  <c r="S75" i="2"/>
  <c r="R75" i="2"/>
  <c r="Q75" i="2"/>
  <c r="P75" i="2"/>
  <c r="O75" i="2"/>
  <c r="N75" i="2"/>
  <c r="L75" i="2"/>
  <c r="W74" i="2"/>
  <c r="V74" i="2"/>
  <c r="U74" i="2"/>
  <c r="T74" i="2"/>
  <c r="S74" i="2"/>
  <c r="R74" i="2"/>
  <c r="Q74" i="2"/>
  <c r="P74" i="2"/>
  <c r="O74" i="2"/>
  <c r="N74" i="2"/>
  <c r="L74" i="2"/>
  <c r="W73" i="2"/>
  <c r="V73" i="2"/>
  <c r="U73" i="2"/>
  <c r="T73" i="2"/>
  <c r="S73" i="2"/>
  <c r="R73" i="2"/>
  <c r="Q73" i="2"/>
  <c r="P73" i="2"/>
  <c r="O73" i="2"/>
  <c r="N73" i="2"/>
  <c r="L73" i="2"/>
  <c r="W72" i="2"/>
  <c r="V72" i="2"/>
  <c r="U72" i="2"/>
  <c r="T72" i="2"/>
  <c r="S72" i="2"/>
  <c r="R72" i="2"/>
  <c r="Q72" i="2"/>
  <c r="P72" i="2"/>
  <c r="O72" i="2"/>
  <c r="N72" i="2"/>
  <c r="L72" i="2"/>
  <c r="W71" i="2"/>
  <c r="V71" i="2"/>
  <c r="U71" i="2"/>
  <c r="T71" i="2"/>
  <c r="S71" i="2"/>
  <c r="R71" i="2"/>
  <c r="Q71" i="2"/>
  <c r="P71" i="2"/>
  <c r="O71" i="2"/>
  <c r="N71" i="2"/>
  <c r="L71" i="2"/>
  <c r="W70" i="2"/>
  <c r="V70" i="2"/>
  <c r="U70" i="2"/>
  <c r="T70" i="2"/>
  <c r="S70" i="2"/>
  <c r="R70" i="2"/>
  <c r="Q70" i="2"/>
  <c r="P70" i="2"/>
  <c r="O70" i="2"/>
  <c r="N70" i="2"/>
  <c r="L70" i="2"/>
  <c r="W69" i="2"/>
  <c r="V69" i="2"/>
  <c r="U69" i="2"/>
  <c r="T69" i="2"/>
  <c r="S69" i="2"/>
  <c r="R69" i="2"/>
  <c r="Q69" i="2"/>
  <c r="P69" i="2"/>
  <c r="O69" i="2"/>
  <c r="N69" i="2"/>
  <c r="L69" i="2"/>
  <c r="W68" i="2"/>
  <c r="V68" i="2"/>
  <c r="U68" i="2"/>
  <c r="T68" i="2"/>
  <c r="S68" i="2"/>
  <c r="R68" i="2"/>
  <c r="Q68" i="2"/>
  <c r="P68" i="2"/>
  <c r="O68" i="2"/>
  <c r="N68" i="2"/>
  <c r="L68" i="2"/>
  <c r="W67" i="2"/>
  <c r="V67" i="2"/>
  <c r="U67" i="2"/>
  <c r="T67" i="2"/>
  <c r="S67" i="2"/>
  <c r="R67" i="2"/>
  <c r="Q67" i="2"/>
  <c r="P67" i="2"/>
  <c r="O67" i="2"/>
  <c r="N67" i="2"/>
  <c r="L67" i="2"/>
  <c r="W66" i="2"/>
  <c r="V66" i="2"/>
  <c r="U66" i="2"/>
  <c r="T66" i="2"/>
  <c r="S66" i="2"/>
  <c r="R66" i="2"/>
  <c r="Q66" i="2"/>
  <c r="P66" i="2"/>
  <c r="O66" i="2"/>
  <c r="N66" i="2"/>
  <c r="L66" i="2"/>
  <c r="W65" i="2"/>
  <c r="V65" i="2"/>
  <c r="U65" i="2"/>
  <c r="T65" i="2"/>
  <c r="S65" i="2"/>
  <c r="R65" i="2"/>
  <c r="Q65" i="2"/>
  <c r="P65" i="2"/>
  <c r="O65" i="2"/>
  <c r="N65" i="2"/>
  <c r="L65" i="2"/>
  <c r="M65" i="2" s="1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L64" i="2"/>
  <c r="W63" i="2"/>
  <c r="V63" i="2"/>
  <c r="U63" i="2"/>
  <c r="T63" i="2"/>
  <c r="S63" i="2"/>
  <c r="R63" i="2"/>
  <c r="Q63" i="2"/>
  <c r="P63" i="2"/>
  <c r="O63" i="2"/>
  <c r="N63" i="2"/>
  <c r="L63" i="2"/>
  <c r="W62" i="2"/>
  <c r="V62" i="2"/>
  <c r="U62" i="2"/>
  <c r="T62" i="2"/>
  <c r="S62" i="2"/>
  <c r="R62" i="2"/>
  <c r="Q62" i="2"/>
  <c r="P62" i="2"/>
  <c r="O62" i="2"/>
  <c r="N62" i="2"/>
  <c r="L62" i="2"/>
  <c r="W61" i="2"/>
  <c r="V61" i="2"/>
  <c r="U61" i="2"/>
  <c r="T61" i="2"/>
  <c r="S61" i="2"/>
  <c r="R61" i="2"/>
  <c r="Q61" i="2"/>
  <c r="P61" i="2"/>
  <c r="O61" i="2"/>
  <c r="N61" i="2"/>
  <c r="L61" i="2"/>
  <c r="W60" i="2"/>
  <c r="V60" i="2"/>
  <c r="U60" i="2"/>
  <c r="T60" i="2"/>
  <c r="S60" i="2"/>
  <c r="R60" i="2"/>
  <c r="Q60" i="2"/>
  <c r="P60" i="2"/>
  <c r="O60" i="2"/>
  <c r="N60" i="2"/>
  <c r="L60" i="2"/>
  <c r="W59" i="2"/>
  <c r="V59" i="2"/>
  <c r="U59" i="2"/>
  <c r="T59" i="2"/>
  <c r="S59" i="2"/>
  <c r="R59" i="2"/>
  <c r="Q59" i="2"/>
  <c r="P59" i="2"/>
  <c r="O59" i="2"/>
  <c r="N59" i="2"/>
  <c r="L59" i="2"/>
  <c r="W58" i="2"/>
  <c r="V58" i="2"/>
  <c r="U58" i="2"/>
  <c r="T58" i="2"/>
  <c r="S58" i="2"/>
  <c r="R58" i="2"/>
  <c r="Q58" i="2"/>
  <c r="P58" i="2"/>
  <c r="O58" i="2"/>
  <c r="N58" i="2"/>
  <c r="L58" i="2"/>
  <c r="W57" i="2"/>
  <c r="V57" i="2"/>
  <c r="U57" i="2"/>
  <c r="T57" i="2"/>
  <c r="S57" i="2"/>
  <c r="R57" i="2"/>
  <c r="Q57" i="2"/>
  <c r="P57" i="2"/>
  <c r="O57" i="2"/>
  <c r="N57" i="2"/>
  <c r="L57" i="2"/>
  <c r="W56" i="2"/>
  <c r="V56" i="2"/>
  <c r="U56" i="2"/>
  <c r="T56" i="2"/>
  <c r="S56" i="2"/>
  <c r="R56" i="2"/>
  <c r="Q56" i="2"/>
  <c r="P56" i="2"/>
  <c r="O56" i="2"/>
  <c r="N56" i="2"/>
  <c r="L56" i="2"/>
  <c r="W55" i="2"/>
  <c r="V55" i="2"/>
  <c r="U55" i="2"/>
  <c r="T55" i="2"/>
  <c r="S55" i="2"/>
  <c r="R55" i="2"/>
  <c r="Q55" i="2"/>
  <c r="P55" i="2"/>
  <c r="O55" i="2"/>
  <c r="N55" i="2"/>
  <c r="L55" i="2"/>
  <c r="W54" i="2"/>
  <c r="V54" i="2"/>
  <c r="U54" i="2"/>
  <c r="T54" i="2"/>
  <c r="S54" i="2"/>
  <c r="R54" i="2"/>
  <c r="Q54" i="2"/>
  <c r="P54" i="2"/>
  <c r="O54" i="2"/>
  <c r="N54" i="2"/>
  <c r="L54" i="2"/>
  <c r="W53" i="2"/>
  <c r="V53" i="2"/>
  <c r="U53" i="2"/>
  <c r="T53" i="2"/>
  <c r="S53" i="2"/>
  <c r="R53" i="2"/>
  <c r="Q53" i="2"/>
  <c r="P53" i="2"/>
  <c r="O53" i="2"/>
  <c r="N53" i="2"/>
  <c r="L53" i="2"/>
  <c r="W52" i="2"/>
  <c r="V52" i="2"/>
  <c r="U52" i="2"/>
  <c r="T52" i="2"/>
  <c r="S52" i="2"/>
  <c r="R52" i="2"/>
  <c r="Q52" i="2"/>
  <c r="P52" i="2"/>
  <c r="O52" i="2"/>
  <c r="N52" i="2"/>
  <c r="L52" i="2"/>
  <c r="W51" i="2"/>
  <c r="V51" i="2"/>
  <c r="U51" i="2"/>
  <c r="T51" i="2"/>
  <c r="S51" i="2"/>
  <c r="R51" i="2"/>
  <c r="Q51" i="2"/>
  <c r="P51" i="2"/>
  <c r="O51" i="2"/>
  <c r="N51" i="2"/>
  <c r="L51" i="2"/>
  <c r="W50" i="2"/>
  <c r="V50" i="2"/>
  <c r="U50" i="2"/>
  <c r="T50" i="2"/>
  <c r="S50" i="2"/>
  <c r="R50" i="2"/>
  <c r="Q50" i="2"/>
  <c r="P50" i="2"/>
  <c r="O50" i="2"/>
  <c r="N50" i="2"/>
  <c r="L50" i="2"/>
  <c r="F50" i="2"/>
  <c r="W49" i="2"/>
  <c r="V49" i="2"/>
  <c r="U49" i="2"/>
  <c r="T49" i="2"/>
  <c r="S49" i="2"/>
  <c r="R49" i="2"/>
  <c r="Q49" i="2"/>
  <c r="P49" i="2"/>
  <c r="O49" i="2"/>
  <c r="N49" i="2"/>
  <c r="L49" i="2"/>
  <c r="W48" i="2"/>
  <c r="V48" i="2"/>
  <c r="U48" i="2"/>
  <c r="T48" i="2"/>
  <c r="S48" i="2"/>
  <c r="R48" i="2"/>
  <c r="Q48" i="2"/>
  <c r="P48" i="2"/>
  <c r="O48" i="2"/>
  <c r="N48" i="2"/>
  <c r="L48" i="2"/>
  <c r="W47" i="2"/>
  <c r="V47" i="2"/>
  <c r="U47" i="2"/>
  <c r="T47" i="2"/>
  <c r="S47" i="2"/>
  <c r="R47" i="2"/>
  <c r="Q47" i="2"/>
  <c r="P47" i="2"/>
  <c r="O47" i="2"/>
  <c r="N47" i="2"/>
  <c r="L47" i="2"/>
  <c r="W46" i="2"/>
  <c r="V46" i="2"/>
  <c r="U46" i="2"/>
  <c r="T46" i="2"/>
  <c r="S46" i="2"/>
  <c r="R46" i="2"/>
  <c r="Q46" i="2"/>
  <c r="P46" i="2"/>
  <c r="O46" i="2"/>
  <c r="N46" i="2"/>
  <c r="L46" i="2"/>
  <c r="W45" i="2"/>
  <c r="V45" i="2"/>
  <c r="U45" i="2"/>
  <c r="T45" i="2"/>
  <c r="S45" i="2"/>
  <c r="R45" i="2"/>
  <c r="Q45" i="2"/>
  <c r="P45" i="2"/>
  <c r="O45" i="2"/>
  <c r="N45" i="2"/>
  <c r="L45" i="2"/>
  <c r="W44" i="2"/>
  <c r="V44" i="2"/>
  <c r="U44" i="2"/>
  <c r="T44" i="2"/>
  <c r="S44" i="2"/>
  <c r="R44" i="2"/>
  <c r="Q44" i="2"/>
  <c r="P44" i="2"/>
  <c r="O44" i="2"/>
  <c r="N44" i="2"/>
  <c r="L44" i="2"/>
  <c r="W43" i="2"/>
  <c r="V43" i="2"/>
  <c r="U43" i="2"/>
  <c r="T43" i="2"/>
  <c r="S43" i="2"/>
  <c r="R43" i="2"/>
  <c r="Q43" i="2"/>
  <c r="P43" i="2"/>
  <c r="O43" i="2"/>
  <c r="N43" i="2"/>
  <c r="L43" i="2"/>
  <c r="M43" i="2" s="1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W41" i="2"/>
  <c r="V41" i="2"/>
  <c r="U41" i="2"/>
  <c r="T41" i="2"/>
  <c r="S41" i="2"/>
  <c r="R41" i="2"/>
  <c r="Q41" i="2"/>
  <c r="P41" i="2"/>
  <c r="O41" i="2"/>
  <c r="N41" i="2"/>
  <c r="M41" i="2"/>
  <c r="L41" i="2"/>
  <c r="W40" i="2"/>
  <c r="V40" i="2"/>
  <c r="U40" i="2"/>
  <c r="T40" i="2"/>
  <c r="S40" i="2"/>
  <c r="R40" i="2"/>
  <c r="Q40" i="2"/>
  <c r="P40" i="2"/>
  <c r="O40" i="2"/>
  <c r="N40" i="2"/>
  <c r="M40" i="2"/>
  <c r="L40" i="2"/>
  <c r="W39" i="2"/>
  <c r="V39" i="2"/>
  <c r="U39" i="2"/>
  <c r="T39" i="2"/>
  <c r="S39" i="2"/>
  <c r="R39" i="2"/>
  <c r="Q39" i="2"/>
  <c r="P39" i="2"/>
  <c r="O39" i="2"/>
  <c r="N39" i="2"/>
  <c r="M39" i="2"/>
  <c r="L39" i="2"/>
  <c r="W38" i="2"/>
  <c r="V38" i="2"/>
  <c r="U38" i="2"/>
  <c r="T38" i="2"/>
  <c r="S38" i="2"/>
  <c r="R38" i="2"/>
  <c r="Q38" i="2"/>
  <c r="P38" i="2"/>
  <c r="O38" i="2"/>
  <c r="N38" i="2"/>
  <c r="M38" i="2"/>
  <c r="L38" i="2"/>
  <c r="W37" i="2"/>
  <c r="V37" i="2"/>
  <c r="U37" i="2"/>
  <c r="T37" i="2"/>
  <c r="S37" i="2"/>
  <c r="R37" i="2"/>
  <c r="Q37" i="2"/>
  <c r="P37" i="2"/>
  <c r="O37" i="2"/>
  <c r="N37" i="2"/>
  <c r="M37" i="2"/>
  <c r="L37" i="2"/>
  <c r="W36" i="2"/>
  <c r="V36" i="2"/>
  <c r="U36" i="2"/>
  <c r="T36" i="2"/>
  <c r="S36" i="2"/>
  <c r="R36" i="2"/>
  <c r="Q36" i="2"/>
  <c r="P36" i="2"/>
  <c r="O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O34" i="2"/>
  <c r="N34" i="2"/>
  <c r="L34" i="2"/>
  <c r="W33" i="2"/>
  <c r="V33" i="2"/>
  <c r="U33" i="2"/>
  <c r="T33" i="2"/>
  <c r="S33" i="2"/>
  <c r="R33" i="2"/>
  <c r="Q33" i="2"/>
  <c r="P33" i="2"/>
  <c r="O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O30" i="2"/>
  <c r="N30" i="2"/>
  <c r="L30" i="2"/>
  <c r="W29" i="2"/>
  <c r="V29" i="2"/>
  <c r="U29" i="2"/>
  <c r="T29" i="2"/>
  <c r="S29" i="2"/>
  <c r="R29" i="2"/>
  <c r="Q29" i="2"/>
  <c r="P29" i="2"/>
  <c r="O29" i="2"/>
  <c r="N29" i="2"/>
  <c r="L29" i="2"/>
  <c r="F29" i="2"/>
  <c r="W28" i="2"/>
  <c r="V28" i="2"/>
  <c r="U28" i="2"/>
  <c r="T28" i="2"/>
  <c r="S28" i="2"/>
  <c r="R28" i="2"/>
  <c r="Q28" i="2"/>
  <c r="P28" i="2"/>
  <c r="O28" i="2"/>
  <c r="N28" i="2"/>
  <c r="L28" i="2"/>
  <c r="W27" i="2"/>
  <c r="V27" i="2"/>
  <c r="U27" i="2"/>
  <c r="T27" i="2"/>
  <c r="S27" i="2"/>
  <c r="R27" i="2"/>
  <c r="Q27" i="2"/>
  <c r="P27" i="2"/>
  <c r="O27" i="2"/>
  <c r="N27" i="2"/>
  <c r="L27" i="2"/>
  <c r="W26" i="2"/>
  <c r="V26" i="2"/>
  <c r="U26" i="2"/>
  <c r="T26" i="2"/>
  <c r="S26" i="2"/>
  <c r="R26" i="2"/>
  <c r="Q26" i="2"/>
  <c r="P26" i="2"/>
  <c r="O26" i="2"/>
  <c r="N26" i="2"/>
  <c r="L26" i="2"/>
  <c r="W25" i="2"/>
  <c r="V25" i="2"/>
  <c r="U25" i="2"/>
  <c r="T25" i="2"/>
  <c r="S25" i="2"/>
  <c r="R25" i="2"/>
  <c r="Q25" i="2"/>
  <c r="P25" i="2"/>
  <c r="O25" i="2"/>
  <c r="N25" i="2"/>
  <c r="L25" i="2"/>
  <c r="W24" i="2"/>
  <c r="V24" i="2"/>
  <c r="U24" i="2"/>
  <c r="T24" i="2"/>
  <c r="S24" i="2"/>
  <c r="R24" i="2"/>
  <c r="Q24" i="2"/>
  <c r="P24" i="2"/>
  <c r="O24" i="2"/>
  <c r="N24" i="2"/>
  <c r="L24" i="2"/>
  <c r="W23" i="2"/>
  <c r="V23" i="2"/>
  <c r="U23" i="2"/>
  <c r="T23" i="2"/>
  <c r="S23" i="2"/>
  <c r="R23" i="2"/>
  <c r="Q23" i="2"/>
  <c r="P23" i="2"/>
  <c r="O23" i="2"/>
  <c r="N23" i="2"/>
  <c r="L23" i="2"/>
  <c r="W22" i="2"/>
  <c r="V22" i="2"/>
  <c r="U22" i="2"/>
  <c r="T22" i="2"/>
  <c r="S22" i="2"/>
  <c r="R22" i="2"/>
  <c r="Q22" i="2"/>
  <c r="P22" i="2"/>
  <c r="O22" i="2"/>
  <c r="N22" i="2"/>
  <c r="L22" i="2"/>
  <c r="M22" i="2" s="1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O33" i="5" s="1"/>
  <c r="W32" i="5"/>
  <c r="S32" i="5"/>
  <c r="U32" i="5" s="1"/>
  <c r="R32" i="5"/>
  <c r="N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B10" i="3" l="1"/>
  <c r="N33" i="5"/>
  <c r="AJ811" i="3"/>
  <c r="AM811" i="3" s="1"/>
  <c r="AJ814" i="3"/>
  <c r="AM814" i="3" s="1"/>
  <c r="AJ822" i="3"/>
  <c r="AM822" i="3" s="1"/>
  <c r="AJ825" i="3"/>
  <c r="AM825" i="3" s="1"/>
  <c r="AJ827" i="3"/>
  <c r="AM827" i="3" s="1"/>
  <c r="AJ828" i="3"/>
  <c r="AM828" i="3" s="1"/>
  <c r="AJ841" i="3"/>
  <c r="AM841" i="3" s="1"/>
  <c r="AJ843" i="3"/>
  <c r="AM843" i="3" s="1"/>
  <c r="AJ845" i="3"/>
  <c r="AM845" i="3" s="1"/>
  <c r="AJ847" i="3"/>
  <c r="AM847" i="3" s="1"/>
  <c r="AJ849" i="3"/>
  <c r="AM849" i="3" s="1"/>
  <c r="AJ851" i="3"/>
  <c r="AM851" i="3" s="1"/>
  <c r="AJ855" i="3"/>
  <c r="AM855" i="3" s="1"/>
  <c r="AJ858" i="3"/>
  <c r="AM858" i="3" s="1"/>
  <c r="AJ867" i="3"/>
  <c r="AM867" i="3" s="1"/>
  <c r="AJ871" i="3"/>
  <c r="AM871" i="3" s="1"/>
  <c r="AJ873" i="3"/>
  <c r="AM873" i="3" s="1"/>
  <c r="AJ880" i="3"/>
  <c r="AM880" i="3" s="1"/>
  <c r="AJ893" i="3"/>
  <c r="AM893" i="3" s="1"/>
  <c r="AJ904" i="3"/>
  <c r="AM904" i="3" s="1"/>
  <c r="AJ913" i="3"/>
  <c r="AM913" i="3" s="1"/>
  <c r="AJ915" i="3"/>
  <c r="AM915" i="3" s="1"/>
  <c r="AJ917" i="3"/>
  <c r="AM917" i="3" s="1"/>
  <c r="AJ925" i="3"/>
  <c r="AM925" i="3" s="1"/>
  <c r="AJ933" i="3"/>
  <c r="AM933" i="3" s="1"/>
  <c r="AJ941" i="3"/>
  <c r="AM941" i="3" s="1"/>
  <c r="AJ952" i="3"/>
  <c r="AM952" i="3" s="1"/>
  <c r="AJ956" i="3"/>
  <c r="AM956" i="3" s="1"/>
  <c r="AJ962" i="3"/>
  <c r="AM962" i="3" s="1"/>
  <c r="AJ964" i="3"/>
  <c r="AM964" i="3" s="1"/>
  <c r="AJ966" i="3"/>
  <c r="AM966" i="3" s="1"/>
  <c r="AJ972" i="3"/>
  <c r="AM972" i="3" s="1"/>
  <c r="AJ974" i="3"/>
  <c r="AM974" i="3" s="1"/>
  <c r="AJ977" i="3"/>
  <c r="AM977" i="3" s="1"/>
  <c r="AJ985" i="3"/>
  <c r="AM985" i="3" s="1"/>
  <c r="AJ987" i="3"/>
  <c r="AM987" i="3" s="1"/>
  <c r="AJ1000" i="3"/>
  <c r="AM1000" i="3" s="1"/>
  <c r="M97" i="2"/>
  <c r="AJ237" i="3" s="1"/>
  <c r="AM237" i="3" s="1"/>
  <c r="M109" i="2"/>
  <c r="AJ249" i="3" s="1"/>
  <c r="AM249" i="3" s="1"/>
  <c r="M121" i="2"/>
  <c r="AJ261" i="3" s="1"/>
  <c r="AM261" i="3" s="1"/>
  <c r="M141" i="2"/>
  <c r="AJ281" i="3" s="1"/>
  <c r="AM281" i="3" s="1"/>
  <c r="M149" i="2"/>
  <c r="AJ289" i="3" s="1"/>
  <c r="AM289" i="3" s="1"/>
  <c r="M161" i="2"/>
  <c r="AJ301" i="3" s="1"/>
  <c r="AM301" i="3" s="1"/>
  <c r="M181" i="2"/>
  <c r="AJ321" i="3" s="1"/>
  <c r="AM321" i="3" s="1"/>
  <c r="M217" i="2"/>
  <c r="AJ357" i="3" s="1"/>
  <c r="AM357" i="3" s="1"/>
  <c r="M233" i="2"/>
  <c r="AJ373" i="3" s="1"/>
  <c r="AM373" i="3" s="1"/>
  <c r="M249" i="2"/>
  <c r="AJ389" i="3" s="1"/>
  <c r="AM389" i="3" s="1"/>
  <c r="M261" i="2"/>
  <c r="AJ401" i="3" s="1"/>
  <c r="AM401" i="3" s="1"/>
  <c r="M273" i="2"/>
  <c r="AJ413" i="3" s="1"/>
  <c r="AM413" i="3" s="1"/>
  <c r="M281" i="2"/>
  <c r="AJ421" i="3" s="1"/>
  <c r="AM421" i="3" s="1"/>
  <c r="M349" i="2"/>
  <c r="AJ489" i="3" s="1"/>
  <c r="AM489" i="3" s="1"/>
  <c r="M369" i="2"/>
  <c r="AJ509" i="3" s="1"/>
  <c r="AM509" i="3" s="1"/>
  <c r="M377" i="2"/>
  <c r="AJ517" i="3" s="1"/>
  <c r="AM517" i="3" s="1"/>
  <c r="M389" i="2"/>
  <c r="AJ529" i="3" s="1"/>
  <c r="AM529" i="3" s="1"/>
  <c r="M401" i="2"/>
  <c r="AJ541" i="3" s="1"/>
  <c r="AM541" i="3" s="1"/>
  <c r="M409" i="2"/>
  <c r="AJ549" i="3" s="1"/>
  <c r="AM549" i="3" s="1"/>
  <c r="M421" i="2"/>
  <c r="AJ561" i="3" s="1"/>
  <c r="AM561" i="3" s="1"/>
  <c r="M449" i="2"/>
  <c r="AJ589" i="3" s="1"/>
  <c r="AM589" i="3" s="1"/>
  <c r="M461" i="2"/>
  <c r="AJ601" i="3" s="1"/>
  <c r="AM601" i="3" s="1"/>
  <c r="M473" i="2"/>
  <c r="AJ613" i="3" s="1"/>
  <c r="AM613" i="3" s="1"/>
  <c r="M481" i="2"/>
  <c r="AJ621" i="3" s="1"/>
  <c r="AM621" i="3" s="1"/>
  <c r="M497" i="2"/>
  <c r="AJ637" i="3" s="1"/>
  <c r="AM637" i="3" s="1"/>
  <c r="M509" i="2"/>
  <c r="AJ649" i="3" s="1"/>
  <c r="AM649" i="3" s="1"/>
  <c r="M513" i="2"/>
  <c r="AJ653" i="3" s="1"/>
  <c r="AM653" i="3" s="1"/>
  <c r="M525" i="2"/>
  <c r="AJ665" i="3" s="1"/>
  <c r="AM665" i="3" s="1"/>
  <c r="M537" i="2"/>
  <c r="AJ677" i="3" s="1"/>
  <c r="AM677" i="3" s="1"/>
  <c r="M553" i="2"/>
  <c r="AJ693" i="3" s="1"/>
  <c r="AM693" i="3" s="1"/>
  <c r="M561" i="2"/>
  <c r="AJ701" i="3" s="1"/>
  <c r="AM701" i="3" s="1"/>
  <c r="M589" i="2"/>
  <c r="AJ729" i="3" s="1"/>
  <c r="AM729" i="3" s="1"/>
  <c r="M26" i="2"/>
  <c r="AJ166" i="3" s="1"/>
  <c r="AM166" i="3" s="1"/>
  <c r="M28" i="2"/>
  <c r="AJ168" i="3" s="1"/>
  <c r="AM168" i="3" s="1"/>
  <c r="M48" i="2"/>
  <c r="AJ188" i="3" s="1"/>
  <c r="AM188" i="3" s="1"/>
  <c r="M92" i="2"/>
  <c r="AJ232" i="3" s="1"/>
  <c r="AM232" i="3" s="1"/>
  <c r="M96" i="2"/>
  <c r="AJ236" i="3" s="1"/>
  <c r="AM236" i="3" s="1"/>
  <c r="M100" i="2"/>
  <c r="AJ240" i="3" s="1"/>
  <c r="AM240" i="3" s="1"/>
  <c r="M104" i="2"/>
  <c r="AJ244" i="3" s="1"/>
  <c r="AM244" i="3" s="1"/>
  <c r="M108" i="2"/>
  <c r="AJ248" i="3" s="1"/>
  <c r="AM248" i="3" s="1"/>
  <c r="M112" i="2"/>
  <c r="AJ252" i="3" s="1"/>
  <c r="AM252" i="3" s="1"/>
  <c r="M116" i="2"/>
  <c r="AJ256" i="3" s="1"/>
  <c r="AM256" i="3" s="1"/>
  <c r="M120" i="2"/>
  <c r="AJ260" i="3" s="1"/>
  <c r="AM260" i="3" s="1"/>
  <c r="M124" i="2"/>
  <c r="AJ264" i="3" s="1"/>
  <c r="AM264" i="3" s="1"/>
  <c r="M128" i="2"/>
  <c r="AJ268" i="3" s="1"/>
  <c r="AM268" i="3" s="1"/>
  <c r="M132" i="2"/>
  <c r="AJ272" i="3" s="1"/>
  <c r="AM272" i="3" s="1"/>
  <c r="M136" i="2"/>
  <c r="AJ276" i="3" s="1"/>
  <c r="AM276" i="3" s="1"/>
  <c r="M140" i="2"/>
  <c r="AJ280" i="3" s="1"/>
  <c r="AM280" i="3" s="1"/>
  <c r="M144" i="2"/>
  <c r="AJ284" i="3" s="1"/>
  <c r="AM284" i="3" s="1"/>
  <c r="M148" i="2"/>
  <c r="AJ288" i="3" s="1"/>
  <c r="AM288" i="3" s="1"/>
  <c r="M152" i="2"/>
  <c r="AJ292" i="3" s="1"/>
  <c r="AM292" i="3" s="1"/>
  <c r="M156" i="2"/>
  <c r="AJ296" i="3" s="1"/>
  <c r="AM296" i="3" s="1"/>
  <c r="M160" i="2"/>
  <c r="AJ300" i="3" s="1"/>
  <c r="AM300" i="3" s="1"/>
  <c r="M164" i="2"/>
  <c r="AJ304" i="3" s="1"/>
  <c r="AM304" i="3" s="1"/>
  <c r="M168" i="2"/>
  <c r="AJ308" i="3" s="1"/>
  <c r="AM308" i="3" s="1"/>
  <c r="M172" i="2"/>
  <c r="AJ312" i="3" s="1"/>
  <c r="AM312" i="3" s="1"/>
  <c r="M176" i="2"/>
  <c r="AJ316" i="3" s="1"/>
  <c r="AM316" i="3" s="1"/>
  <c r="M180" i="2"/>
  <c r="AJ320" i="3" s="1"/>
  <c r="AM320" i="3" s="1"/>
  <c r="M184" i="2"/>
  <c r="AJ324" i="3" s="1"/>
  <c r="AM324" i="3" s="1"/>
  <c r="M188" i="2"/>
  <c r="AJ328" i="3" s="1"/>
  <c r="AM328" i="3" s="1"/>
  <c r="M192" i="2"/>
  <c r="AJ332" i="3" s="1"/>
  <c r="AM332" i="3" s="1"/>
  <c r="M196" i="2"/>
  <c r="AJ336" i="3" s="1"/>
  <c r="AM336" i="3" s="1"/>
  <c r="M200" i="2"/>
  <c r="AJ340" i="3" s="1"/>
  <c r="AM340" i="3" s="1"/>
  <c r="M204" i="2"/>
  <c r="AJ344" i="3" s="1"/>
  <c r="AM344" i="3" s="1"/>
  <c r="M208" i="2"/>
  <c r="AJ348" i="3" s="1"/>
  <c r="AM348" i="3" s="1"/>
  <c r="AJ327" i="3"/>
  <c r="AM327" i="3" s="1"/>
  <c r="AJ477" i="3"/>
  <c r="AM477" i="3" s="1"/>
  <c r="AJ550" i="3"/>
  <c r="AM550" i="3" s="1"/>
  <c r="AJ573" i="3"/>
  <c r="AM573" i="3" s="1"/>
  <c r="AJ682" i="3"/>
  <c r="AM682" i="3" s="1"/>
  <c r="AJ162" i="3"/>
  <c r="AM162" i="3" s="1"/>
  <c r="M30" i="2"/>
  <c r="AJ170" i="3" s="1"/>
  <c r="AM170" i="3" s="1"/>
  <c r="M34" i="2"/>
  <c r="AJ174" i="3" s="1"/>
  <c r="AM174" i="3" s="1"/>
  <c r="AJ183" i="3"/>
  <c r="AM183" i="3" s="1"/>
  <c r="M93" i="2"/>
  <c r="AJ233" i="3" s="1"/>
  <c r="AM233" i="3" s="1"/>
  <c r="M101" i="2"/>
  <c r="AJ241" i="3" s="1"/>
  <c r="AM241" i="3" s="1"/>
  <c r="M105" i="2"/>
  <c r="AJ245" i="3" s="1"/>
  <c r="AM245" i="3" s="1"/>
  <c r="M113" i="2"/>
  <c r="AJ253" i="3" s="1"/>
  <c r="AM253" i="3" s="1"/>
  <c r="M117" i="2"/>
  <c r="AJ257" i="3" s="1"/>
  <c r="AM257" i="3" s="1"/>
  <c r="M125" i="2"/>
  <c r="AJ265" i="3" s="1"/>
  <c r="AM265" i="3" s="1"/>
  <c r="M129" i="2"/>
  <c r="AJ269" i="3" s="1"/>
  <c r="AM269" i="3" s="1"/>
  <c r="M133" i="2"/>
  <c r="AJ273" i="3" s="1"/>
  <c r="AM273" i="3" s="1"/>
  <c r="M137" i="2"/>
  <c r="AJ277" i="3" s="1"/>
  <c r="AM277" i="3" s="1"/>
  <c r="M145" i="2"/>
  <c r="AJ285" i="3" s="1"/>
  <c r="AM285" i="3" s="1"/>
  <c r="M153" i="2"/>
  <c r="AJ293" i="3" s="1"/>
  <c r="AM293" i="3" s="1"/>
  <c r="M157" i="2"/>
  <c r="AJ297" i="3" s="1"/>
  <c r="AM297" i="3" s="1"/>
  <c r="M165" i="2"/>
  <c r="AJ305" i="3" s="1"/>
  <c r="AM305" i="3" s="1"/>
  <c r="M169" i="2"/>
  <c r="AJ309" i="3" s="1"/>
  <c r="AM309" i="3" s="1"/>
  <c r="M173" i="2"/>
  <c r="AJ313" i="3" s="1"/>
  <c r="AM313" i="3" s="1"/>
  <c r="M177" i="2"/>
  <c r="AJ317" i="3" s="1"/>
  <c r="AM317" i="3" s="1"/>
  <c r="M185" i="2"/>
  <c r="AJ325" i="3" s="1"/>
  <c r="AM325" i="3" s="1"/>
  <c r="M189" i="2"/>
  <c r="AJ329" i="3" s="1"/>
  <c r="AM329" i="3" s="1"/>
  <c r="M193" i="2"/>
  <c r="AJ333" i="3" s="1"/>
  <c r="AM333" i="3" s="1"/>
  <c r="M197" i="2"/>
  <c r="AJ337" i="3" s="1"/>
  <c r="AM337" i="3" s="1"/>
  <c r="M201" i="2"/>
  <c r="AJ341" i="3" s="1"/>
  <c r="AM341" i="3" s="1"/>
  <c r="M205" i="2"/>
  <c r="AJ345" i="3" s="1"/>
  <c r="AM345" i="3" s="1"/>
  <c r="M213" i="2"/>
  <c r="AJ353" i="3" s="1"/>
  <c r="AM353" i="3" s="1"/>
  <c r="M221" i="2"/>
  <c r="AJ361" i="3" s="1"/>
  <c r="AM361" i="3" s="1"/>
  <c r="M225" i="2"/>
  <c r="AJ365" i="3" s="1"/>
  <c r="AM365" i="3" s="1"/>
  <c r="M229" i="2"/>
  <c r="AJ369" i="3" s="1"/>
  <c r="AM369" i="3" s="1"/>
  <c r="M237" i="2"/>
  <c r="AJ377" i="3" s="1"/>
  <c r="AM377" i="3" s="1"/>
  <c r="M241" i="2"/>
  <c r="AJ381" i="3" s="1"/>
  <c r="AM381" i="3" s="1"/>
  <c r="M245" i="2"/>
  <c r="AJ385" i="3" s="1"/>
  <c r="AM385" i="3" s="1"/>
  <c r="M257" i="2"/>
  <c r="AJ397" i="3" s="1"/>
  <c r="AM397" i="3" s="1"/>
  <c r="M265" i="2"/>
  <c r="AJ405" i="3" s="1"/>
  <c r="AM405" i="3" s="1"/>
  <c r="M269" i="2"/>
  <c r="AJ409" i="3" s="1"/>
  <c r="AM409" i="3" s="1"/>
  <c r="M277" i="2"/>
  <c r="AJ417" i="3" s="1"/>
  <c r="AM417" i="3" s="1"/>
  <c r="M289" i="2"/>
  <c r="AJ429" i="3" s="1"/>
  <c r="AM429" i="3" s="1"/>
  <c r="M293" i="2"/>
  <c r="AJ433" i="3" s="1"/>
  <c r="AM433" i="3" s="1"/>
  <c r="M297" i="2"/>
  <c r="AJ437" i="3" s="1"/>
  <c r="AM437" i="3" s="1"/>
  <c r="M301" i="2"/>
  <c r="AJ441" i="3" s="1"/>
  <c r="AM441" i="3" s="1"/>
  <c r="M309" i="2"/>
  <c r="AJ449" i="3" s="1"/>
  <c r="AM449" i="3" s="1"/>
  <c r="M313" i="2"/>
  <c r="AJ453" i="3" s="1"/>
  <c r="AM453" i="3" s="1"/>
  <c r="M317" i="2"/>
  <c r="AJ457" i="3" s="1"/>
  <c r="AM457" i="3" s="1"/>
  <c r="M321" i="2"/>
  <c r="AJ461" i="3" s="1"/>
  <c r="AM461" i="3" s="1"/>
  <c r="M325" i="2"/>
  <c r="AJ465" i="3" s="1"/>
  <c r="AM465" i="3" s="1"/>
  <c r="M329" i="2"/>
  <c r="AJ469" i="3" s="1"/>
  <c r="AM469" i="3" s="1"/>
  <c r="M333" i="2"/>
  <c r="AJ473" i="3" s="1"/>
  <c r="AM473" i="3" s="1"/>
  <c r="M341" i="2"/>
  <c r="AJ481" i="3" s="1"/>
  <c r="AM481" i="3" s="1"/>
  <c r="M345" i="2"/>
  <c r="AJ485" i="3" s="1"/>
  <c r="AM485" i="3" s="1"/>
  <c r="M353" i="2"/>
  <c r="AJ493" i="3" s="1"/>
  <c r="AM493" i="3" s="1"/>
  <c r="M357" i="2"/>
  <c r="AJ497" i="3" s="1"/>
  <c r="AM497" i="3" s="1"/>
  <c r="M361" i="2"/>
  <c r="AJ501" i="3" s="1"/>
  <c r="AM501" i="3" s="1"/>
  <c r="M365" i="2"/>
  <c r="AJ505" i="3" s="1"/>
  <c r="AM505" i="3" s="1"/>
  <c r="M373" i="2"/>
  <c r="AJ513" i="3" s="1"/>
  <c r="AM513" i="3" s="1"/>
  <c r="M385" i="2"/>
  <c r="AJ525" i="3" s="1"/>
  <c r="AM525" i="3" s="1"/>
  <c r="M393" i="2"/>
  <c r="AJ533" i="3" s="1"/>
  <c r="AM533" i="3" s="1"/>
  <c r="M397" i="2"/>
  <c r="AJ537" i="3" s="1"/>
  <c r="AM537" i="3" s="1"/>
  <c r="M405" i="2"/>
  <c r="AJ545" i="3" s="1"/>
  <c r="AM545" i="3" s="1"/>
  <c r="M417" i="2"/>
  <c r="AJ557" i="3" s="1"/>
  <c r="AM557" i="3" s="1"/>
  <c r="M425" i="2"/>
  <c r="AJ565" i="3" s="1"/>
  <c r="AM565" i="3" s="1"/>
  <c r="M429" i="2"/>
  <c r="AJ569" i="3" s="1"/>
  <c r="AM569" i="3" s="1"/>
  <c r="M437" i="2"/>
  <c r="AJ577" i="3" s="1"/>
  <c r="AM577" i="3" s="1"/>
  <c r="M441" i="2"/>
  <c r="AJ581" i="3" s="1"/>
  <c r="AM581" i="3" s="1"/>
  <c r="M445" i="2"/>
  <c r="AJ585" i="3" s="1"/>
  <c r="AM585" i="3" s="1"/>
  <c r="M453" i="2"/>
  <c r="AJ593" i="3" s="1"/>
  <c r="AM593" i="3" s="1"/>
  <c r="M457" i="2"/>
  <c r="AJ597" i="3" s="1"/>
  <c r="AM597" i="3" s="1"/>
  <c r="M469" i="2"/>
  <c r="AJ609" i="3" s="1"/>
  <c r="AM609" i="3" s="1"/>
  <c r="M477" i="2"/>
  <c r="AJ617" i="3" s="1"/>
  <c r="AM617" i="3" s="1"/>
  <c r="M489" i="2"/>
  <c r="AJ629" i="3" s="1"/>
  <c r="AM629" i="3" s="1"/>
  <c r="M493" i="2"/>
  <c r="AJ633" i="3" s="1"/>
  <c r="AM633" i="3" s="1"/>
  <c r="M501" i="2"/>
  <c r="AJ641" i="3" s="1"/>
  <c r="AM641" i="3" s="1"/>
  <c r="M505" i="2"/>
  <c r="AJ645" i="3" s="1"/>
  <c r="AM645" i="3" s="1"/>
  <c r="M521" i="2"/>
  <c r="AJ661" i="3" s="1"/>
  <c r="AM661" i="3" s="1"/>
  <c r="M529" i="2"/>
  <c r="AJ669" i="3" s="1"/>
  <c r="AM669" i="3" s="1"/>
  <c r="M533" i="2"/>
  <c r="AJ673" i="3" s="1"/>
  <c r="AM673" i="3" s="1"/>
  <c r="M541" i="2"/>
  <c r="AJ681" i="3" s="1"/>
  <c r="AM681" i="3" s="1"/>
  <c r="M545" i="2"/>
  <c r="AJ685" i="3" s="1"/>
  <c r="AM685" i="3" s="1"/>
  <c r="M549" i="2"/>
  <c r="AJ689" i="3" s="1"/>
  <c r="AM689" i="3" s="1"/>
  <c r="M557" i="2"/>
  <c r="AJ697" i="3" s="1"/>
  <c r="AM697" i="3" s="1"/>
  <c r="M565" i="2"/>
  <c r="AJ705" i="3" s="1"/>
  <c r="AM705" i="3" s="1"/>
  <c r="M569" i="2"/>
  <c r="AJ709" i="3" s="1"/>
  <c r="AM709" i="3" s="1"/>
  <c r="M573" i="2"/>
  <c r="AJ713" i="3" s="1"/>
  <c r="AM713" i="3" s="1"/>
  <c r="M577" i="2"/>
  <c r="AJ717" i="3" s="1"/>
  <c r="AM717" i="3" s="1"/>
  <c r="M581" i="2"/>
  <c r="AJ721" i="3" s="1"/>
  <c r="AM721" i="3" s="1"/>
  <c r="M585" i="2"/>
  <c r="AJ725" i="3" s="1"/>
  <c r="AM725" i="3" s="1"/>
  <c r="M593" i="2"/>
  <c r="AJ733" i="3" s="1"/>
  <c r="AM733" i="3" s="1"/>
  <c r="M597" i="2"/>
  <c r="AJ737" i="3" s="1"/>
  <c r="AM737" i="3" s="1"/>
  <c r="AJ741" i="3"/>
  <c r="AM741" i="3" s="1"/>
  <c r="M601" i="2"/>
  <c r="M605" i="2"/>
  <c r="AJ745" i="3" s="1"/>
  <c r="AM745" i="3" s="1"/>
  <c r="M609" i="2"/>
  <c r="AJ749" i="3" s="1"/>
  <c r="AM749" i="3" s="1"/>
  <c r="AJ753" i="3"/>
  <c r="AM753" i="3" s="1"/>
  <c r="M613" i="2"/>
  <c r="M617" i="2"/>
  <c r="AJ757" i="3" s="1"/>
  <c r="AM757" i="3" s="1"/>
  <c r="M621" i="2"/>
  <c r="AJ761" i="3" s="1"/>
  <c r="AM761" i="3" s="1"/>
  <c r="M625" i="2"/>
  <c r="AJ765" i="3" s="1"/>
  <c r="AM765" i="3" s="1"/>
  <c r="M629" i="2"/>
  <c r="AJ769" i="3" s="1"/>
  <c r="AM769" i="3" s="1"/>
  <c r="M633" i="2"/>
  <c r="AJ773" i="3" s="1"/>
  <c r="AM773" i="3" s="1"/>
  <c r="M637" i="2"/>
  <c r="AJ777" i="3" s="1"/>
  <c r="AM777" i="3" s="1"/>
  <c r="M641" i="2"/>
  <c r="AJ781" i="3" s="1"/>
  <c r="AM781" i="3" s="1"/>
  <c r="M645" i="2"/>
  <c r="AJ785" i="3" s="1"/>
  <c r="AM785" i="3" s="1"/>
  <c r="M649" i="2"/>
  <c r="AJ789" i="3" s="1"/>
  <c r="AM789" i="3" s="1"/>
  <c r="M653" i="2"/>
  <c r="AJ793" i="3" s="1"/>
  <c r="AM793" i="3" s="1"/>
  <c r="M657" i="2"/>
  <c r="AJ797" i="3" s="1"/>
  <c r="AM797" i="3" s="1"/>
  <c r="AJ393" i="3"/>
  <c r="AM393" i="3" s="1"/>
  <c r="AJ553" i="3"/>
  <c r="AM553" i="3" s="1"/>
  <c r="M2" i="2"/>
  <c r="AJ142" i="3" s="1"/>
  <c r="AM142" i="3" s="1"/>
  <c r="M23" i="2"/>
  <c r="AJ163" i="3" s="1"/>
  <c r="AM163" i="3" s="1"/>
  <c r="M24" i="2"/>
  <c r="AJ164" i="3" s="1"/>
  <c r="AM164" i="3" s="1"/>
  <c r="M25" i="2"/>
  <c r="AJ165" i="3" s="1"/>
  <c r="AM165" i="3" s="1"/>
  <c r="M27" i="2"/>
  <c r="AJ167" i="3" s="1"/>
  <c r="AM167" i="3" s="1"/>
  <c r="M29" i="2"/>
  <c r="AJ169" i="3" s="1"/>
  <c r="AM169" i="3" s="1"/>
  <c r="M33" i="2"/>
  <c r="AJ173" i="3" s="1"/>
  <c r="AM173" i="3" s="1"/>
  <c r="M44" i="2"/>
  <c r="AJ184" i="3" s="1"/>
  <c r="AM184" i="3" s="1"/>
  <c r="M45" i="2"/>
  <c r="AJ185" i="3" s="1"/>
  <c r="AM185" i="3" s="1"/>
  <c r="M46" i="2"/>
  <c r="AJ186" i="3" s="1"/>
  <c r="AM186" i="3" s="1"/>
  <c r="M47" i="2"/>
  <c r="AJ187" i="3" s="1"/>
  <c r="AM187" i="3" s="1"/>
  <c r="M49" i="2"/>
  <c r="AJ189" i="3" s="1"/>
  <c r="AM189" i="3" s="1"/>
  <c r="AJ143" i="3"/>
  <c r="AM143" i="3" s="1"/>
  <c r="AJ3" i="3"/>
  <c r="AM3" i="3" s="1"/>
  <c r="AJ144" i="3"/>
  <c r="AM144" i="3" s="1"/>
  <c r="AJ4" i="3"/>
  <c r="AM4" i="3" s="1"/>
  <c r="AJ145" i="3"/>
  <c r="AM145" i="3" s="1"/>
  <c r="AJ5" i="3"/>
  <c r="AM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AJ13" i="3"/>
  <c r="AM13" i="3" s="1"/>
  <c r="AJ154" i="3"/>
  <c r="AM154" i="3" s="1"/>
  <c r="M32" i="2"/>
  <c r="AJ172" i="3" s="1"/>
  <c r="AM172" i="3" s="1"/>
  <c r="M50" i="2"/>
  <c r="AJ190" i="3" s="1"/>
  <c r="AM190" i="3" s="1"/>
  <c r="M51" i="2"/>
  <c r="AJ191" i="3" s="1"/>
  <c r="AM191" i="3" s="1"/>
  <c r="M52" i="2"/>
  <c r="AJ192" i="3" s="1"/>
  <c r="AM192" i="3" s="1"/>
  <c r="M53" i="2"/>
  <c r="AJ193" i="3" s="1"/>
  <c r="AM193" i="3" s="1"/>
  <c r="M54" i="2"/>
  <c r="AJ194" i="3" s="1"/>
  <c r="AM194" i="3" s="1"/>
  <c r="M55" i="2"/>
  <c r="AJ195" i="3" s="1"/>
  <c r="AM195" i="3" s="1"/>
  <c r="M56" i="2"/>
  <c r="AJ196" i="3" s="1"/>
  <c r="AM196" i="3" s="1"/>
  <c r="M57" i="2"/>
  <c r="AJ197" i="3" s="1"/>
  <c r="AM197" i="3" s="1"/>
  <c r="M58" i="2"/>
  <c r="AJ198" i="3" s="1"/>
  <c r="AM198" i="3" s="1"/>
  <c r="M59" i="2"/>
  <c r="AJ199" i="3" s="1"/>
  <c r="AM199" i="3" s="1"/>
  <c r="M60" i="2"/>
  <c r="AJ200" i="3" s="1"/>
  <c r="AM200" i="3" s="1"/>
  <c r="M61" i="2"/>
  <c r="AJ201" i="3" s="1"/>
  <c r="AM201" i="3" s="1"/>
  <c r="M62" i="2"/>
  <c r="AJ202" i="3" s="1"/>
  <c r="AM202" i="3" s="1"/>
  <c r="M63" i="2"/>
  <c r="AJ203" i="3" s="1"/>
  <c r="AM203" i="3" s="1"/>
  <c r="M64" i="2"/>
  <c r="AJ204" i="3" s="1"/>
  <c r="AM204" i="3" s="1"/>
  <c r="M66" i="2"/>
  <c r="AJ206" i="3" s="1"/>
  <c r="AM206" i="3" s="1"/>
  <c r="M67" i="2"/>
  <c r="AJ207" i="3" s="1"/>
  <c r="AM207" i="3" s="1"/>
  <c r="M68" i="2"/>
  <c r="AJ208" i="3" s="1"/>
  <c r="AM208" i="3" s="1"/>
  <c r="M69" i="2"/>
  <c r="AJ209" i="3" s="1"/>
  <c r="AM209" i="3" s="1"/>
  <c r="M70" i="2"/>
  <c r="AJ210" i="3" s="1"/>
  <c r="AM210" i="3" s="1"/>
  <c r="M71" i="2"/>
  <c r="AJ211" i="3" s="1"/>
  <c r="AM211" i="3" s="1"/>
  <c r="M72" i="2"/>
  <c r="AJ212" i="3" s="1"/>
  <c r="AM212" i="3" s="1"/>
  <c r="M73" i="2"/>
  <c r="AJ213" i="3" s="1"/>
  <c r="AM213" i="3" s="1"/>
  <c r="M74" i="2"/>
  <c r="AJ214" i="3" s="1"/>
  <c r="AM214" i="3" s="1"/>
  <c r="M75" i="2"/>
  <c r="AJ215" i="3" s="1"/>
  <c r="AM215" i="3" s="1"/>
  <c r="M76" i="2"/>
  <c r="AJ216" i="3" s="1"/>
  <c r="AM216" i="3" s="1"/>
  <c r="M77" i="2"/>
  <c r="AJ217" i="3" s="1"/>
  <c r="AM217" i="3" s="1"/>
  <c r="M78" i="2"/>
  <c r="AJ218" i="3" s="1"/>
  <c r="AM218" i="3" s="1"/>
  <c r="M79" i="2"/>
  <c r="AJ219" i="3" s="1"/>
  <c r="AM219" i="3" s="1"/>
  <c r="M80" i="2"/>
  <c r="AJ220" i="3" s="1"/>
  <c r="AM220" i="3" s="1"/>
  <c r="M81" i="2"/>
  <c r="AJ221" i="3" s="1"/>
  <c r="AM221" i="3" s="1"/>
  <c r="M82" i="2"/>
  <c r="AJ222" i="3" s="1"/>
  <c r="AM222" i="3" s="1"/>
  <c r="M83" i="2"/>
  <c r="AJ223" i="3" s="1"/>
  <c r="AM223" i="3" s="1"/>
  <c r="M84" i="2"/>
  <c r="AJ224" i="3" s="1"/>
  <c r="AM224" i="3" s="1"/>
  <c r="M85" i="2"/>
  <c r="AJ225" i="3" s="1"/>
  <c r="AM225" i="3" s="1"/>
  <c r="M86" i="2"/>
  <c r="AJ226" i="3" s="1"/>
  <c r="AM226" i="3" s="1"/>
  <c r="M87" i="2"/>
  <c r="AJ227" i="3" s="1"/>
  <c r="AM227" i="3" s="1"/>
  <c r="M88" i="2"/>
  <c r="AJ228" i="3" s="1"/>
  <c r="AM228" i="3" s="1"/>
  <c r="M89" i="2"/>
  <c r="AJ229" i="3" s="1"/>
  <c r="AM229" i="3" s="1"/>
  <c r="M90" i="2"/>
  <c r="AJ230" i="3" s="1"/>
  <c r="AM230" i="3" s="1"/>
  <c r="M95" i="2"/>
  <c r="AJ235" i="3" s="1"/>
  <c r="AM235" i="3" s="1"/>
  <c r="M99" i="2"/>
  <c r="AJ239" i="3" s="1"/>
  <c r="AM239" i="3" s="1"/>
  <c r="M103" i="2"/>
  <c r="AJ243" i="3" s="1"/>
  <c r="AM243" i="3" s="1"/>
  <c r="M107" i="2"/>
  <c r="AJ247" i="3" s="1"/>
  <c r="AM247" i="3" s="1"/>
  <c r="M111" i="2"/>
  <c r="AJ251" i="3" s="1"/>
  <c r="AM251" i="3" s="1"/>
  <c r="M115" i="2"/>
  <c r="AJ255" i="3" s="1"/>
  <c r="AM255" i="3" s="1"/>
  <c r="M119" i="2"/>
  <c r="AJ259" i="3" s="1"/>
  <c r="AM259" i="3" s="1"/>
  <c r="M123" i="2"/>
  <c r="AJ263" i="3" s="1"/>
  <c r="AM263" i="3" s="1"/>
  <c r="M127" i="2"/>
  <c r="AJ267" i="3" s="1"/>
  <c r="AM267" i="3" s="1"/>
  <c r="M131" i="2"/>
  <c r="AJ271" i="3" s="1"/>
  <c r="AM271" i="3" s="1"/>
  <c r="M135" i="2"/>
  <c r="AJ275" i="3" s="1"/>
  <c r="AM275" i="3" s="1"/>
  <c r="M139" i="2"/>
  <c r="AJ279" i="3" s="1"/>
  <c r="AM279" i="3" s="1"/>
  <c r="M143" i="2"/>
  <c r="AJ283" i="3" s="1"/>
  <c r="AM283" i="3" s="1"/>
  <c r="M147" i="2"/>
  <c r="AJ287" i="3" s="1"/>
  <c r="AM287" i="3" s="1"/>
  <c r="M151" i="2"/>
  <c r="AJ291" i="3" s="1"/>
  <c r="AM291" i="3" s="1"/>
  <c r="M155" i="2"/>
  <c r="AJ295" i="3" s="1"/>
  <c r="AM295" i="3" s="1"/>
  <c r="M159" i="2"/>
  <c r="AJ299" i="3" s="1"/>
  <c r="AM299" i="3" s="1"/>
  <c r="M163" i="2"/>
  <c r="AJ303" i="3" s="1"/>
  <c r="AM303" i="3" s="1"/>
  <c r="M167" i="2"/>
  <c r="AJ307" i="3" s="1"/>
  <c r="AM307" i="3" s="1"/>
  <c r="M171" i="2"/>
  <c r="AJ311" i="3" s="1"/>
  <c r="AM311" i="3" s="1"/>
  <c r="M175" i="2"/>
  <c r="AJ315" i="3" s="1"/>
  <c r="AM315" i="3" s="1"/>
  <c r="M179" i="2"/>
  <c r="AJ319" i="3" s="1"/>
  <c r="AM319" i="3" s="1"/>
  <c r="M183" i="2"/>
  <c r="AJ323" i="3" s="1"/>
  <c r="AM323" i="3" s="1"/>
  <c r="M191" i="2"/>
  <c r="AJ331" i="3" s="1"/>
  <c r="AM331" i="3" s="1"/>
  <c r="M195" i="2"/>
  <c r="AJ335" i="3" s="1"/>
  <c r="AM335" i="3" s="1"/>
  <c r="M199" i="2"/>
  <c r="AJ339" i="3" s="1"/>
  <c r="AM339" i="3" s="1"/>
  <c r="M203" i="2"/>
  <c r="AJ343" i="3" s="1"/>
  <c r="AM343" i="3" s="1"/>
  <c r="M207" i="2"/>
  <c r="AJ347" i="3" s="1"/>
  <c r="AM347" i="3" s="1"/>
  <c r="AJ425" i="3"/>
  <c r="AM425" i="3" s="1"/>
  <c r="AJ454" i="3"/>
  <c r="AM454" i="3" s="1"/>
  <c r="AJ521" i="3"/>
  <c r="AM521" i="3" s="1"/>
  <c r="AJ690" i="3"/>
  <c r="AM690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31" i="2"/>
  <c r="AJ171" i="3" s="1"/>
  <c r="AM171" i="3" s="1"/>
  <c r="M35" i="2"/>
  <c r="AJ175" i="3" s="1"/>
  <c r="AM175" i="3" s="1"/>
  <c r="M94" i="2"/>
  <c r="AJ234" i="3" s="1"/>
  <c r="AM234" i="3" s="1"/>
  <c r="M98" i="2"/>
  <c r="AJ238" i="3" s="1"/>
  <c r="AM238" i="3" s="1"/>
  <c r="M102" i="2"/>
  <c r="AJ242" i="3" s="1"/>
  <c r="AM242" i="3" s="1"/>
  <c r="M106" i="2"/>
  <c r="AJ246" i="3" s="1"/>
  <c r="AM246" i="3" s="1"/>
  <c r="M110" i="2"/>
  <c r="AJ250" i="3" s="1"/>
  <c r="AM250" i="3" s="1"/>
  <c r="M114" i="2"/>
  <c r="AJ254" i="3" s="1"/>
  <c r="AM254" i="3" s="1"/>
  <c r="M118" i="2"/>
  <c r="AJ258" i="3" s="1"/>
  <c r="AM258" i="3" s="1"/>
  <c r="M122" i="2"/>
  <c r="AJ262" i="3" s="1"/>
  <c r="AM262" i="3" s="1"/>
  <c r="M126" i="2"/>
  <c r="AJ266" i="3" s="1"/>
  <c r="AM266" i="3" s="1"/>
  <c r="M130" i="2"/>
  <c r="AJ270" i="3" s="1"/>
  <c r="AM270" i="3" s="1"/>
  <c r="M134" i="2"/>
  <c r="AJ274" i="3" s="1"/>
  <c r="AM274" i="3" s="1"/>
  <c r="M138" i="2"/>
  <c r="AJ278" i="3" s="1"/>
  <c r="AM278" i="3" s="1"/>
  <c r="M142" i="2"/>
  <c r="AJ282" i="3" s="1"/>
  <c r="AM282" i="3" s="1"/>
  <c r="M146" i="2"/>
  <c r="AJ286" i="3" s="1"/>
  <c r="AM286" i="3" s="1"/>
  <c r="M150" i="2"/>
  <c r="AJ290" i="3" s="1"/>
  <c r="AM290" i="3" s="1"/>
  <c r="M154" i="2"/>
  <c r="AJ294" i="3" s="1"/>
  <c r="AM294" i="3" s="1"/>
  <c r="M158" i="2"/>
  <c r="AJ298" i="3" s="1"/>
  <c r="AM298" i="3" s="1"/>
  <c r="M162" i="2"/>
  <c r="AJ302" i="3" s="1"/>
  <c r="AM302" i="3" s="1"/>
  <c r="M166" i="2"/>
  <c r="AJ306" i="3" s="1"/>
  <c r="AM306" i="3" s="1"/>
  <c r="M170" i="2"/>
  <c r="AJ310" i="3" s="1"/>
  <c r="AM310" i="3" s="1"/>
  <c r="M174" i="2"/>
  <c r="AJ314" i="3" s="1"/>
  <c r="AM314" i="3" s="1"/>
  <c r="M178" i="2"/>
  <c r="AJ318" i="3" s="1"/>
  <c r="AM318" i="3" s="1"/>
  <c r="M182" i="2"/>
  <c r="AJ322" i="3" s="1"/>
  <c r="AM322" i="3" s="1"/>
  <c r="M186" i="2"/>
  <c r="AJ326" i="3" s="1"/>
  <c r="AM326" i="3" s="1"/>
  <c r="M194" i="2"/>
  <c r="AJ334" i="3" s="1"/>
  <c r="AM334" i="3" s="1"/>
  <c r="M198" i="2"/>
  <c r="AJ338" i="3" s="1"/>
  <c r="AM338" i="3" s="1"/>
  <c r="M202" i="2"/>
  <c r="AJ342" i="3" s="1"/>
  <c r="AM342" i="3" s="1"/>
  <c r="M206" i="2"/>
  <c r="AJ346" i="3" s="1"/>
  <c r="AM346" i="3" s="1"/>
  <c r="M210" i="2"/>
  <c r="AJ350" i="3" s="1"/>
  <c r="AM350" i="3" s="1"/>
  <c r="M214" i="2"/>
  <c r="AJ354" i="3" s="1"/>
  <c r="AM354" i="3" s="1"/>
  <c r="M218" i="2"/>
  <c r="AJ358" i="3" s="1"/>
  <c r="AM358" i="3" s="1"/>
  <c r="M222" i="2"/>
  <c r="AJ362" i="3" s="1"/>
  <c r="AM362" i="3" s="1"/>
  <c r="M226" i="2"/>
  <c r="AJ366" i="3" s="1"/>
  <c r="AM366" i="3" s="1"/>
  <c r="M230" i="2"/>
  <c r="AJ370" i="3" s="1"/>
  <c r="AM370" i="3" s="1"/>
  <c r="M234" i="2"/>
  <c r="AJ374" i="3" s="1"/>
  <c r="AM374" i="3" s="1"/>
  <c r="M238" i="2"/>
  <c r="AJ378" i="3" s="1"/>
  <c r="AM378" i="3" s="1"/>
  <c r="M242" i="2"/>
  <c r="AJ382" i="3" s="1"/>
  <c r="AM382" i="3" s="1"/>
  <c r="M246" i="2"/>
  <c r="AJ386" i="3" s="1"/>
  <c r="AM386" i="3" s="1"/>
  <c r="M250" i="2"/>
  <c r="AJ390" i="3" s="1"/>
  <c r="AM390" i="3" s="1"/>
  <c r="M254" i="2"/>
  <c r="AJ394" i="3" s="1"/>
  <c r="AM394" i="3" s="1"/>
  <c r="M258" i="2"/>
  <c r="AJ398" i="3" s="1"/>
  <c r="AM398" i="3" s="1"/>
  <c r="M262" i="2"/>
  <c r="AJ402" i="3" s="1"/>
  <c r="AM402" i="3" s="1"/>
  <c r="M266" i="2"/>
  <c r="AJ406" i="3" s="1"/>
  <c r="AM406" i="3" s="1"/>
  <c r="M270" i="2"/>
  <c r="AJ410" i="3" s="1"/>
  <c r="AM410" i="3" s="1"/>
  <c r="M274" i="2"/>
  <c r="AJ414" i="3" s="1"/>
  <c r="AM414" i="3" s="1"/>
  <c r="M278" i="2"/>
  <c r="AJ418" i="3" s="1"/>
  <c r="AM418" i="3" s="1"/>
  <c r="M286" i="2"/>
  <c r="AJ426" i="3" s="1"/>
  <c r="AM426" i="3" s="1"/>
  <c r="M290" i="2"/>
  <c r="AJ430" i="3" s="1"/>
  <c r="AM430" i="3" s="1"/>
  <c r="M294" i="2"/>
  <c r="AJ434" i="3" s="1"/>
  <c r="AM434" i="3" s="1"/>
  <c r="M298" i="2"/>
  <c r="AJ438" i="3" s="1"/>
  <c r="AM438" i="3" s="1"/>
  <c r="M302" i="2"/>
  <c r="AJ442" i="3" s="1"/>
  <c r="AM442" i="3" s="1"/>
  <c r="M306" i="2"/>
  <c r="AJ446" i="3" s="1"/>
  <c r="AM446" i="3" s="1"/>
  <c r="M310" i="2"/>
  <c r="AJ450" i="3" s="1"/>
  <c r="AM450" i="3" s="1"/>
  <c r="M318" i="2"/>
  <c r="AJ458" i="3" s="1"/>
  <c r="AM458" i="3" s="1"/>
  <c r="M322" i="2"/>
  <c r="AJ462" i="3" s="1"/>
  <c r="AM462" i="3" s="1"/>
  <c r="M326" i="2"/>
  <c r="AJ466" i="3" s="1"/>
  <c r="AM466" i="3" s="1"/>
  <c r="M330" i="2"/>
  <c r="AJ470" i="3" s="1"/>
  <c r="AM470" i="3" s="1"/>
  <c r="M334" i="2"/>
  <c r="AJ474" i="3" s="1"/>
  <c r="AM474" i="3" s="1"/>
  <c r="M338" i="2"/>
  <c r="AJ478" i="3" s="1"/>
  <c r="AM478" i="3" s="1"/>
  <c r="M342" i="2"/>
  <c r="AJ482" i="3" s="1"/>
  <c r="AM482" i="3" s="1"/>
  <c r="M346" i="2"/>
  <c r="AJ486" i="3" s="1"/>
  <c r="AM486" i="3" s="1"/>
  <c r="M350" i="2"/>
  <c r="AJ490" i="3" s="1"/>
  <c r="AM490" i="3" s="1"/>
  <c r="M354" i="2"/>
  <c r="AJ494" i="3" s="1"/>
  <c r="AM494" i="3" s="1"/>
  <c r="M358" i="2"/>
  <c r="AJ498" i="3" s="1"/>
  <c r="AM498" i="3" s="1"/>
  <c r="M362" i="2"/>
  <c r="AJ502" i="3" s="1"/>
  <c r="AM502" i="3" s="1"/>
  <c r="M366" i="2"/>
  <c r="AJ506" i="3" s="1"/>
  <c r="AM506" i="3" s="1"/>
  <c r="M370" i="2"/>
  <c r="AJ510" i="3" s="1"/>
  <c r="AM510" i="3" s="1"/>
  <c r="M374" i="2"/>
  <c r="AJ514" i="3" s="1"/>
  <c r="AM514" i="3" s="1"/>
  <c r="M378" i="2"/>
  <c r="AJ518" i="3" s="1"/>
  <c r="AM518" i="3" s="1"/>
  <c r="M382" i="2"/>
  <c r="AJ522" i="3" s="1"/>
  <c r="AM522" i="3" s="1"/>
  <c r="M386" i="2"/>
  <c r="AJ526" i="3" s="1"/>
  <c r="AM526" i="3" s="1"/>
  <c r="M390" i="2"/>
  <c r="AJ530" i="3" s="1"/>
  <c r="AM530" i="3" s="1"/>
  <c r="M394" i="2"/>
  <c r="AJ534" i="3" s="1"/>
  <c r="AM534" i="3" s="1"/>
  <c r="M398" i="2"/>
  <c r="AJ538" i="3" s="1"/>
  <c r="AM538" i="3" s="1"/>
  <c r="M402" i="2"/>
  <c r="AJ542" i="3" s="1"/>
  <c r="AM542" i="3" s="1"/>
  <c r="M406" i="2"/>
  <c r="AJ546" i="3" s="1"/>
  <c r="AM546" i="3" s="1"/>
  <c r="M414" i="2"/>
  <c r="AJ554" i="3" s="1"/>
  <c r="AM554" i="3" s="1"/>
  <c r="M418" i="2"/>
  <c r="AJ558" i="3" s="1"/>
  <c r="AM558" i="3" s="1"/>
  <c r="M422" i="2"/>
  <c r="AJ562" i="3" s="1"/>
  <c r="AM562" i="3" s="1"/>
  <c r="M426" i="2"/>
  <c r="AJ566" i="3" s="1"/>
  <c r="AM566" i="3" s="1"/>
  <c r="M430" i="2"/>
  <c r="AJ570" i="3" s="1"/>
  <c r="AM570" i="3" s="1"/>
  <c r="M434" i="2"/>
  <c r="AJ574" i="3" s="1"/>
  <c r="AM574" i="3" s="1"/>
  <c r="M438" i="2"/>
  <c r="AJ578" i="3" s="1"/>
  <c r="AM578" i="3" s="1"/>
  <c r="M446" i="2"/>
  <c r="AJ586" i="3" s="1"/>
  <c r="AM586" i="3" s="1"/>
  <c r="M450" i="2"/>
  <c r="AJ590" i="3" s="1"/>
  <c r="AM590" i="3" s="1"/>
  <c r="M454" i="2"/>
  <c r="AJ594" i="3" s="1"/>
  <c r="AM594" i="3" s="1"/>
  <c r="M458" i="2"/>
  <c r="AJ598" i="3" s="1"/>
  <c r="AM598" i="3" s="1"/>
  <c r="M462" i="2"/>
  <c r="AJ602" i="3" s="1"/>
  <c r="AM602" i="3" s="1"/>
  <c r="M466" i="2"/>
  <c r="AJ606" i="3" s="1"/>
  <c r="AM606" i="3" s="1"/>
  <c r="M470" i="2"/>
  <c r="AJ610" i="3" s="1"/>
  <c r="AM610" i="3" s="1"/>
  <c r="M474" i="2"/>
  <c r="AJ614" i="3" s="1"/>
  <c r="AM614" i="3" s="1"/>
  <c r="M478" i="2"/>
  <c r="AJ618" i="3" s="1"/>
  <c r="AM618" i="3" s="1"/>
  <c r="M482" i="2"/>
  <c r="AJ622" i="3" s="1"/>
  <c r="AM622" i="3" s="1"/>
  <c r="M490" i="2"/>
  <c r="AJ630" i="3" s="1"/>
  <c r="AM630" i="3" s="1"/>
  <c r="M494" i="2"/>
  <c r="AJ634" i="3" s="1"/>
  <c r="AM634" i="3" s="1"/>
  <c r="M498" i="2"/>
  <c r="AJ638" i="3" s="1"/>
  <c r="AM638" i="3" s="1"/>
  <c r="M502" i="2"/>
  <c r="AJ642" i="3" s="1"/>
  <c r="AM642" i="3" s="1"/>
  <c r="M506" i="2"/>
  <c r="AJ646" i="3" s="1"/>
  <c r="AM646" i="3" s="1"/>
  <c r="M510" i="2"/>
  <c r="AJ650" i="3" s="1"/>
  <c r="AM650" i="3" s="1"/>
  <c r="M514" i="2"/>
  <c r="AJ654" i="3" s="1"/>
  <c r="AM654" i="3" s="1"/>
  <c r="M518" i="2"/>
  <c r="AJ658" i="3" s="1"/>
  <c r="AM658" i="3" s="1"/>
  <c r="M522" i="2"/>
  <c r="AJ662" i="3" s="1"/>
  <c r="AM662" i="3" s="1"/>
  <c r="M526" i="2"/>
  <c r="AJ666" i="3" s="1"/>
  <c r="AM666" i="3" s="1"/>
  <c r="M530" i="2"/>
  <c r="AJ670" i="3" s="1"/>
  <c r="AM670" i="3" s="1"/>
  <c r="M534" i="2"/>
  <c r="AJ674" i="3" s="1"/>
  <c r="AM674" i="3" s="1"/>
  <c r="M538" i="2"/>
  <c r="AJ678" i="3" s="1"/>
  <c r="AM678" i="3" s="1"/>
  <c r="M546" i="2"/>
  <c r="AJ686" i="3" s="1"/>
  <c r="AM686" i="3" s="1"/>
  <c r="M554" i="2"/>
  <c r="AJ694" i="3" s="1"/>
  <c r="AM694" i="3" s="1"/>
  <c r="M558" i="2"/>
  <c r="AJ698" i="3" s="1"/>
  <c r="AM698" i="3" s="1"/>
  <c r="M562" i="2"/>
  <c r="AJ702" i="3" s="1"/>
  <c r="AM702" i="3" s="1"/>
  <c r="M566" i="2"/>
  <c r="AJ706" i="3" s="1"/>
  <c r="AM706" i="3" s="1"/>
  <c r="M570" i="2"/>
  <c r="AJ710" i="3" s="1"/>
  <c r="AM710" i="3" s="1"/>
  <c r="M574" i="2"/>
  <c r="AJ714" i="3" s="1"/>
  <c r="AM714" i="3" s="1"/>
  <c r="M578" i="2"/>
  <c r="AJ718" i="3" s="1"/>
  <c r="AM718" i="3" s="1"/>
  <c r="M582" i="2"/>
  <c r="AJ722" i="3" s="1"/>
  <c r="AM722" i="3" s="1"/>
  <c r="M586" i="2"/>
  <c r="AJ726" i="3" s="1"/>
  <c r="AM726" i="3" s="1"/>
  <c r="M590" i="2"/>
  <c r="AJ730" i="3" s="1"/>
  <c r="AM730" i="3" s="1"/>
  <c r="M594" i="2"/>
  <c r="AJ734" i="3" s="1"/>
  <c r="AM734" i="3" s="1"/>
  <c r="M598" i="2"/>
  <c r="AJ738" i="3"/>
  <c r="AM738" i="3" s="1"/>
  <c r="M602" i="2"/>
  <c r="AJ742" i="3" s="1"/>
  <c r="AM742" i="3" s="1"/>
  <c r="M606" i="2"/>
  <c r="AJ746" i="3" s="1"/>
  <c r="AM746" i="3" s="1"/>
  <c r="M610" i="2"/>
  <c r="AJ750" i="3" s="1"/>
  <c r="AM750" i="3" s="1"/>
  <c r="M614" i="2"/>
  <c r="AJ754" i="3" s="1"/>
  <c r="AM754" i="3" s="1"/>
  <c r="M618" i="2"/>
  <c r="AJ758" i="3" s="1"/>
  <c r="AM758" i="3" s="1"/>
  <c r="M622" i="2"/>
  <c r="AJ762" i="3" s="1"/>
  <c r="AM762" i="3" s="1"/>
  <c r="M626" i="2"/>
  <c r="AJ766" i="3" s="1"/>
  <c r="AM766" i="3" s="1"/>
  <c r="M630" i="2"/>
  <c r="AJ770" i="3" s="1"/>
  <c r="AM770" i="3" s="1"/>
  <c r="M634" i="2"/>
  <c r="AJ774" i="3" s="1"/>
  <c r="AM774" i="3" s="1"/>
  <c r="M638" i="2"/>
  <c r="AJ778" i="3" s="1"/>
  <c r="AM778" i="3" s="1"/>
  <c r="M642" i="2"/>
  <c r="AJ782" i="3" s="1"/>
  <c r="AM782" i="3" s="1"/>
  <c r="M646" i="2"/>
  <c r="AJ786" i="3" s="1"/>
  <c r="AM786" i="3" s="1"/>
  <c r="M650" i="2"/>
  <c r="AJ790" i="3" s="1"/>
  <c r="AM790" i="3" s="1"/>
  <c r="M654" i="2"/>
  <c r="AJ794" i="3" s="1"/>
  <c r="AM794" i="3" s="1"/>
  <c r="M658" i="2"/>
  <c r="AJ798" i="3" s="1"/>
  <c r="AM798" i="3" s="1"/>
  <c r="M662" i="2"/>
  <c r="AJ802" i="3" s="1"/>
  <c r="AM802" i="3" s="1"/>
  <c r="M666" i="2"/>
  <c r="AJ806" i="3" s="1"/>
  <c r="AM806" i="3" s="1"/>
  <c r="AJ349" i="3"/>
  <c r="AM349" i="3" s="1"/>
  <c r="AJ422" i="3"/>
  <c r="AM422" i="3" s="1"/>
  <c r="AJ445" i="3"/>
  <c r="AM445" i="3" s="1"/>
  <c r="AJ605" i="3"/>
  <c r="AM605" i="3" s="1"/>
  <c r="AJ625" i="3"/>
  <c r="AM625" i="3" s="1"/>
  <c r="AJ626" i="3"/>
  <c r="AM626" i="3" s="1"/>
  <c r="AJ657" i="3"/>
  <c r="AM657" i="3" s="1"/>
  <c r="M212" i="2"/>
  <c r="AJ352" i="3" s="1"/>
  <c r="AM352" i="3" s="1"/>
  <c r="M216" i="2"/>
  <c r="AJ356" i="3" s="1"/>
  <c r="AM356" i="3" s="1"/>
  <c r="M220" i="2"/>
  <c r="AJ360" i="3" s="1"/>
  <c r="AM360" i="3" s="1"/>
  <c r="M224" i="2"/>
  <c r="AJ364" i="3" s="1"/>
  <c r="AM364" i="3" s="1"/>
  <c r="M228" i="2"/>
  <c r="AJ368" i="3" s="1"/>
  <c r="AM368" i="3" s="1"/>
  <c r="M232" i="2"/>
  <c r="AJ372" i="3" s="1"/>
  <c r="AM372" i="3" s="1"/>
  <c r="M236" i="2"/>
  <c r="AJ376" i="3" s="1"/>
  <c r="AM376" i="3" s="1"/>
  <c r="M240" i="2"/>
  <c r="AJ380" i="3" s="1"/>
  <c r="AM380" i="3" s="1"/>
  <c r="M244" i="2"/>
  <c r="AJ384" i="3" s="1"/>
  <c r="AM384" i="3" s="1"/>
  <c r="M248" i="2"/>
  <c r="AJ388" i="3" s="1"/>
  <c r="AM388" i="3" s="1"/>
  <c r="M252" i="2"/>
  <c r="AJ392" i="3" s="1"/>
  <c r="AM392" i="3" s="1"/>
  <c r="M256" i="2"/>
  <c r="AJ396" i="3" s="1"/>
  <c r="AM396" i="3" s="1"/>
  <c r="M260" i="2"/>
  <c r="AJ400" i="3" s="1"/>
  <c r="AM400" i="3" s="1"/>
  <c r="M264" i="2"/>
  <c r="AJ404" i="3" s="1"/>
  <c r="AM404" i="3" s="1"/>
  <c r="M268" i="2"/>
  <c r="AJ408" i="3" s="1"/>
  <c r="AM408" i="3" s="1"/>
  <c r="M272" i="2"/>
  <c r="AJ412" i="3" s="1"/>
  <c r="AM412" i="3" s="1"/>
  <c r="M276" i="2"/>
  <c r="AJ416" i="3" s="1"/>
  <c r="AM416" i="3" s="1"/>
  <c r="M280" i="2"/>
  <c r="AJ420" i="3" s="1"/>
  <c r="AM420" i="3" s="1"/>
  <c r="M284" i="2"/>
  <c r="AJ424" i="3" s="1"/>
  <c r="AM424" i="3" s="1"/>
  <c r="M288" i="2"/>
  <c r="AJ428" i="3" s="1"/>
  <c r="AM428" i="3" s="1"/>
  <c r="M292" i="2"/>
  <c r="AJ432" i="3" s="1"/>
  <c r="AM432" i="3" s="1"/>
  <c r="M296" i="2"/>
  <c r="AJ436" i="3" s="1"/>
  <c r="AM436" i="3" s="1"/>
  <c r="M300" i="2"/>
  <c r="AJ440" i="3" s="1"/>
  <c r="AM440" i="3" s="1"/>
  <c r="M304" i="2"/>
  <c r="AJ444" i="3" s="1"/>
  <c r="AM444" i="3" s="1"/>
  <c r="M308" i="2"/>
  <c r="AJ448" i="3" s="1"/>
  <c r="AM448" i="3" s="1"/>
  <c r="M312" i="2"/>
  <c r="AJ452" i="3" s="1"/>
  <c r="AM452" i="3" s="1"/>
  <c r="M316" i="2"/>
  <c r="AJ456" i="3" s="1"/>
  <c r="AM456" i="3" s="1"/>
  <c r="M320" i="2"/>
  <c r="AJ460" i="3" s="1"/>
  <c r="AM460" i="3" s="1"/>
  <c r="M324" i="2"/>
  <c r="AJ464" i="3" s="1"/>
  <c r="AM464" i="3" s="1"/>
  <c r="M328" i="2"/>
  <c r="AJ468" i="3" s="1"/>
  <c r="AM468" i="3" s="1"/>
  <c r="M332" i="2"/>
  <c r="AJ472" i="3" s="1"/>
  <c r="AM472" i="3" s="1"/>
  <c r="M336" i="2"/>
  <c r="AJ476" i="3" s="1"/>
  <c r="AM476" i="3" s="1"/>
  <c r="M340" i="2"/>
  <c r="AJ480" i="3" s="1"/>
  <c r="AM480" i="3" s="1"/>
  <c r="M344" i="2"/>
  <c r="AJ484" i="3" s="1"/>
  <c r="AM484" i="3" s="1"/>
  <c r="M348" i="2"/>
  <c r="AJ488" i="3" s="1"/>
  <c r="AM488" i="3" s="1"/>
  <c r="M352" i="2"/>
  <c r="AJ492" i="3" s="1"/>
  <c r="AM492" i="3" s="1"/>
  <c r="M356" i="2"/>
  <c r="AJ496" i="3" s="1"/>
  <c r="AM496" i="3" s="1"/>
  <c r="M360" i="2"/>
  <c r="AJ500" i="3" s="1"/>
  <c r="AM500" i="3" s="1"/>
  <c r="M364" i="2"/>
  <c r="AJ504" i="3" s="1"/>
  <c r="AM504" i="3" s="1"/>
  <c r="M368" i="2"/>
  <c r="AJ508" i="3" s="1"/>
  <c r="AM508" i="3" s="1"/>
  <c r="M372" i="2"/>
  <c r="AJ512" i="3" s="1"/>
  <c r="AM512" i="3" s="1"/>
  <c r="M376" i="2"/>
  <c r="AJ516" i="3" s="1"/>
  <c r="AM516" i="3" s="1"/>
  <c r="M380" i="2"/>
  <c r="AJ520" i="3" s="1"/>
  <c r="AM520" i="3" s="1"/>
  <c r="M384" i="2"/>
  <c r="AJ524" i="3" s="1"/>
  <c r="AM524" i="3" s="1"/>
  <c r="M388" i="2"/>
  <c r="AJ528" i="3" s="1"/>
  <c r="AM528" i="3" s="1"/>
  <c r="M392" i="2"/>
  <c r="AJ532" i="3" s="1"/>
  <c r="AM532" i="3" s="1"/>
  <c r="M396" i="2"/>
  <c r="AJ536" i="3" s="1"/>
  <c r="AM536" i="3" s="1"/>
  <c r="M400" i="2"/>
  <c r="AJ540" i="3" s="1"/>
  <c r="AM540" i="3" s="1"/>
  <c r="M404" i="2"/>
  <c r="AJ544" i="3" s="1"/>
  <c r="AM544" i="3" s="1"/>
  <c r="M408" i="2"/>
  <c r="AJ548" i="3" s="1"/>
  <c r="AM548" i="3" s="1"/>
  <c r="M412" i="2"/>
  <c r="AJ552" i="3" s="1"/>
  <c r="AM552" i="3" s="1"/>
  <c r="M416" i="2"/>
  <c r="AJ556" i="3" s="1"/>
  <c r="AM556" i="3" s="1"/>
  <c r="M420" i="2"/>
  <c r="AJ560" i="3" s="1"/>
  <c r="AM560" i="3" s="1"/>
  <c r="M424" i="2"/>
  <c r="AJ564" i="3" s="1"/>
  <c r="AM564" i="3" s="1"/>
  <c r="M428" i="2"/>
  <c r="AJ568" i="3" s="1"/>
  <c r="AM568" i="3" s="1"/>
  <c r="M432" i="2"/>
  <c r="AJ572" i="3" s="1"/>
  <c r="AM572" i="3" s="1"/>
  <c r="M436" i="2"/>
  <c r="AJ576" i="3" s="1"/>
  <c r="AM576" i="3" s="1"/>
  <c r="M440" i="2"/>
  <c r="AJ580" i="3" s="1"/>
  <c r="AM580" i="3" s="1"/>
  <c r="M444" i="2"/>
  <c r="AJ584" i="3" s="1"/>
  <c r="AM584" i="3" s="1"/>
  <c r="M448" i="2"/>
  <c r="AJ588" i="3" s="1"/>
  <c r="AM588" i="3" s="1"/>
  <c r="M452" i="2"/>
  <c r="AJ592" i="3" s="1"/>
  <c r="AM592" i="3" s="1"/>
  <c r="M456" i="2"/>
  <c r="AJ596" i="3" s="1"/>
  <c r="AM596" i="3" s="1"/>
  <c r="M460" i="2"/>
  <c r="AJ600" i="3" s="1"/>
  <c r="AM600" i="3" s="1"/>
  <c r="M464" i="2"/>
  <c r="AJ604" i="3" s="1"/>
  <c r="AM604" i="3" s="1"/>
  <c r="M468" i="2"/>
  <c r="AJ608" i="3" s="1"/>
  <c r="AM608" i="3" s="1"/>
  <c r="M472" i="2"/>
  <c r="AJ612" i="3" s="1"/>
  <c r="AM612" i="3" s="1"/>
  <c r="M476" i="2"/>
  <c r="AJ616" i="3" s="1"/>
  <c r="AM616" i="3" s="1"/>
  <c r="M480" i="2"/>
  <c r="AJ620" i="3" s="1"/>
  <c r="AM620" i="3" s="1"/>
  <c r="M484" i="2"/>
  <c r="AJ624" i="3" s="1"/>
  <c r="AM624" i="3" s="1"/>
  <c r="M488" i="2"/>
  <c r="AJ628" i="3" s="1"/>
  <c r="AM628" i="3" s="1"/>
  <c r="M492" i="2"/>
  <c r="AJ632" i="3" s="1"/>
  <c r="AM632" i="3" s="1"/>
  <c r="M496" i="2"/>
  <c r="AJ636" i="3" s="1"/>
  <c r="AM636" i="3" s="1"/>
  <c r="M500" i="2"/>
  <c r="AJ640" i="3" s="1"/>
  <c r="AM640" i="3" s="1"/>
  <c r="M504" i="2"/>
  <c r="AJ644" i="3" s="1"/>
  <c r="AM644" i="3" s="1"/>
  <c r="M508" i="2"/>
  <c r="AJ648" i="3" s="1"/>
  <c r="AM648" i="3" s="1"/>
  <c r="M512" i="2"/>
  <c r="AJ652" i="3" s="1"/>
  <c r="AM652" i="3" s="1"/>
  <c r="M516" i="2"/>
  <c r="AJ656" i="3" s="1"/>
  <c r="AM656" i="3" s="1"/>
  <c r="M520" i="2"/>
  <c r="AJ660" i="3" s="1"/>
  <c r="AM660" i="3" s="1"/>
  <c r="M524" i="2"/>
  <c r="AJ664" i="3" s="1"/>
  <c r="AM664" i="3" s="1"/>
  <c r="M528" i="2"/>
  <c r="AJ668" i="3" s="1"/>
  <c r="AM668" i="3" s="1"/>
  <c r="M532" i="2"/>
  <c r="AJ672" i="3" s="1"/>
  <c r="AM672" i="3" s="1"/>
  <c r="M536" i="2"/>
  <c r="AJ676" i="3" s="1"/>
  <c r="AM676" i="3" s="1"/>
  <c r="M540" i="2"/>
  <c r="AJ680" i="3" s="1"/>
  <c r="AM680" i="3" s="1"/>
  <c r="M544" i="2"/>
  <c r="AJ684" i="3" s="1"/>
  <c r="AM684" i="3" s="1"/>
  <c r="M548" i="2"/>
  <c r="AJ688" i="3" s="1"/>
  <c r="AM688" i="3" s="1"/>
  <c r="M552" i="2"/>
  <c r="AJ692" i="3" s="1"/>
  <c r="AM692" i="3" s="1"/>
  <c r="M556" i="2"/>
  <c r="AJ696" i="3" s="1"/>
  <c r="AM696" i="3" s="1"/>
  <c r="M560" i="2"/>
  <c r="AJ700" i="3" s="1"/>
  <c r="AM700" i="3" s="1"/>
  <c r="M564" i="2"/>
  <c r="AJ704" i="3" s="1"/>
  <c r="AM704" i="3" s="1"/>
  <c r="M568" i="2"/>
  <c r="AJ708" i="3" s="1"/>
  <c r="AM708" i="3" s="1"/>
  <c r="M572" i="2"/>
  <c r="AJ712" i="3" s="1"/>
  <c r="AM712" i="3" s="1"/>
  <c r="M576" i="2"/>
  <c r="AJ716" i="3" s="1"/>
  <c r="AM716" i="3" s="1"/>
  <c r="M580" i="2"/>
  <c r="AJ720" i="3" s="1"/>
  <c r="AM720" i="3" s="1"/>
  <c r="M584" i="2"/>
  <c r="AJ724" i="3" s="1"/>
  <c r="AM724" i="3" s="1"/>
  <c r="M592" i="2"/>
  <c r="AJ732" i="3" s="1"/>
  <c r="AM732" i="3" s="1"/>
  <c r="M596" i="2"/>
  <c r="AJ736" i="3" s="1"/>
  <c r="AM736" i="3" s="1"/>
  <c r="M600" i="2"/>
  <c r="AJ740" i="3" s="1"/>
  <c r="AM740" i="3" s="1"/>
  <c r="M604" i="2"/>
  <c r="AJ744" i="3" s="1"/>
  <c r="AM744" i="3" s="1"/>
  <c r="M608" i="2"/>
  <c r="AJ748" i="3" s="1"/>
  <c r="AM748" i="3" s="1"/>
  <c r="M612" i="2"/>
  <c r="AJ752" i="3" s="1"/>
  <c r="AM752" i="3" s="1"/>
  <c r="M616" i="2"/>
  <c r="AJ756" i="3" s="1"/>
  <c r="AM756" i="3" s="1"/>
  <c r="M620" i="2"/>
  <c r="AJ760" i="3" s="1"/>
  <c r="AM760" i="3" s="1"/>
  <c r="M624" i="2"/>
  <c r="AJ764" i="3" s="1"/>
  <c r="AM764" i="3" s="1"/>
  <c r="M628" i="2"/>
  <c r="AJ768" i="3" s="1"/>
  <c r="AM768" i="3" s="1"/>
  <c r="M632" i="2"/>
  <c r="AJ772" i="3" s="1"/>
  <c r="AM772" i="3" s="1"/>
  <c r="M636" i="2"/>
  <c r="AJ776" i="3" s="1"/>
  <c r="AM776" i="3" s="1"/>
  <c r="M640" i="2"/>
  <c r="AJ780" i="3" s="1"/>
  <c r="AM780" i="3" s="1"/>
  <c r="M644" i="2"/>
  <c r="AJ784" i="3" s="1"/>
  <c r="AM784" i="3" s="1"/>
  <c r="M648" i="2"/>
  <c r="AJ788" i="3" s="1"/>
  <c r="AM788" i="3" s="1"/>
  <c r="M652" i="2"/>
  <c r="AJ792" i="3" s="1"/>
  <c r="AM792" i="3" s="1"/>
  <c r="M656" i="2"/>
  <c r="AJ796" i="3" s="1"/>
  <c r="AM796" i="3" s="1"/>
  <c r="M660" i="2"/>
  <c r="AJ800" i="3" s="1"/>
  <c r="AM800" i="3" s="1"/>
  <c r="M664" i="2"/>
  <c r="AJ804" i="3" s="1"/>
  <c r="AM804" i="3" s="1"/>
  <c r="AJ728" i="3"/>
  <c r="AM728" i="3" s="1"/>
  <c r="AJ176" i="3"/>
  <c r="AM176" i="3" s="1"/>
  <c r="AJ177" i="3"/>
  <c r="AM177" i="3" s="1"/>
  <c r="AJ178" i="3"/>
  <c r="AM178" i="3" s="1"/>
  <c r="AJ179" i="3"/>
  <c r="AM179" i="3" s="1"/>
  <c r="AJ180" i="3"/>
  <c r="AM180" i="3" s="1"/>
  <c r="AJ181" i="3"/>
  <c r="AM181" i="3" s="1"/>
  <c r="AJ182" i="3"/>
  <c r="AM182" i="3" s="1"/>
  <c r="M211" i="2"/>
  <c r="AJ351" i="3" s="1"/>
  <c r="AM351" i="3" s="1"/>
  <c r="M215" i="2"/>
  <c r="AJ355" i="3" s="1"/>
  <c r="AM355" i="3" s="1"/>
  <c r="M219" i="2"/>
  <c r="AJ359" i="3" s="1"/>
  <c r="AM359" i="3" s="1"/>
  <c r="M223" i="2"/>
  <c r="AJ363" i="3" s="1"/>
  <c r="AM363" i="3" s="1"/>
  <c r="M227" i="2"/>
  <c r="AJ367" i="3" s="1"/>
  <c r="AM367" i="3" s="1"/>
  <c r="M231" i="2"/>
  <c r="AJ371" i="3" s="1"/>
  <c r="AM371" i="3" s="1"/>
  <c r="M235" i="2"/>
  <c r="AJ375" i="3" s="1"/>
  <c r="AM375" i="3" s="1"/>
  <c r="M239" i="2"/>
  <c r="AJ379" i="3" s="1"/>
  <c r="AM379" i="3" s="1"/>
  <c r="M243" i="2"/>
  <c r="AJ383" i="3" s="1"/>
  <c r="AM383" i="3" s="1"/>
  <c r="M247" i="2"/>
  <c r="AJ387" i="3" s="1"/>
  <c r="AM387" i="3" s="1"/>
  <c r="M251" i="2"/>
  <c r="AJ391" i="3" s="1"/>
  <c r="AM391" i="3" s="1"/>
  <c r="M255" i="2"/>
  <c r="AJ395" i="3" s="1"/>
  <c r="AM395" i="3" s="1"/>
  <c r="M259" i="2"/>
  <c r="AJ399" i="3" s="1"/>
  <c r="AM399" i="3" s="1"/>
  <c r="M263" i="2"/>
  <c r="AJ403" i="3" s="1"/>
  <c r="AM403" i="3" s="1"/>
  <c r="M267" i="2"/>
  <c r="AJ407" i="3" s="1"/>
  <c r="AM407" i="3" s="1"/>
  <c r="M271" i="2"/>
  <c r="AJ411" i="3" s="1"/>
  <c r="AM411" i="3" s="1"/>
  <c r="M275" i="2"/>
  <c r="AJ415" i="3" s="1"/>
  <c r="AM415" i="3" s="1"/>
  <c r="M279" i="2"/>
  <c r="AJ419" i="3" s="1"/>
  <c r="AM419" i="3" s="1"/>
  <c r="M283" i="2"/>
  <c r="AJ423" i="3" s="1"/>
  <c r="AM423" i="3" s="1"/>
  <c r="M287" i="2"/>
  <c r="AJ427" i="3" s="1"/>
  <c r="AM427" i="3" s="1"/>
  <c r="M291" i="2"/>
  <c r="AJ431" i="3" s="1"/>
  <c r="AM431" i="3" s="1"/>
  <c r="M295" i="2"/>
  <c r="AJ435" i="3" s="1"/>
  <c r="AM435" i="3" s="1"/>
  <c r="M299" i="2"/>
  <c r="AJ439" i="3" s="1"/>
  <c r="AM439" i="3" s="1"/>
  <c r="M303" i="2"/>
  <c r="AJ443" i="3" s="1"/>
  <c r="AM443" i="3" s="1"/>
  <c r="M307" i="2"/>
  <c r="AJ447" i="3" s="1"/>
  <c r="AM447" i="3" s="1"/>
  <c r="M311" i="2"/>
  <c r="AJ451" i="3" s="1"/>
  <c r="AM451" i="3" s="1"/>
  <c r="M315" i="2"/>
  <c r="AJ455" i="3" s="1"/>
  <c r="AM455" i="3" s="1"/>
  <c r="M319" i="2"/>
  <c r="AJ459" i="3" s="1"/>
  <c r="AM459" i="3" s="1"/>
  <c r="M323" i="2"/>
  <c r="AJ463" i="3" s="1"/>
  <c r="AM463" i="3" s="1"/>
  <c r="M327" i="2"/>
  <c r="AJ467" i="3" s="1"/>
  <c r="AM467" i="3" s="1"/>
  <c r="M331" i="2"/>
  <c r="AJ471" i="3" s="1"/>
  <c r="AM471" i="3" s="1"/>
  <c r="M335" i="2"/>
  <c r="AJ475" i="3" s="1"/>
  <c r="AM475" i="3" s="1"/>
  <c r="M339" i="2"/>
  <c r="AJ479" i="3" s="1"/>
  <c r="AM479" i="3" s="1"/>
  <c r="M343" i="2"/>
  <c r="AJ483" i="3" s="1"/>
  <c r="AM483" i="3" s="1"/>
  <c r="M347" i="2"/>
  <c r="AJ487" i="3" s="1"/>
  <c r="AM487" i="3" s="1"/>
  <c r="M351" i="2"/>
  <c r="AJ491" i="3" s="1"/>
  <c r="AM491" i="3" s="1"/>
  <c r="M355" i="2"/>
  <c r="AJ495" i="3" s="1"/>
  <c r="AM495" i="3" s="1"/>
  <c r="M359" i="2"/>
  <c r="AJ499" i="3" s="1"/>
  <c r="AM499" i="3" s="1"/>
  <c r="M363" i="2"/>
  <c r="AJ503" i="3" s="1"/>
  <c r="AM503" i="3" s="1"/>
  <c r="M367" i="2"/>
  <c r="AJ507" i="3" s="1"/>
  <c r="AM507" i="3" s="1"/>
  <c r="M371" i="2"/>
  <c r="AJ511" i="3" s="1"/>
  <c r="AM511" i="3" s="1"/>
  <c r="M375" i="2"/>
  <c r="AJ515" i="3" s="1"/>
  <c r="AM515" i="3" s="1"/>
  <c r="M379" i="2"/>
  <c r="AJ519" i="3" s="1"/>
  <c r="AM519" i="3" s="1"/>
  <c r="M383" i="2"/>
  <c r="AJ523" i="3" s="1"/>
  <c r="AM523" i="3" s="1"/>
  <c r="M387" i="2"/>
  <c r="AJ527" i="3" s="1"/>
  <c r="AM527" i="3" s="1"/>
  <c r="M391" i="2"/>
  <c r="AJ531" i="3" s="1"/>
  <c r="AM531" i="3" s="1"/>
  <c r="M395" i="2"/>
  <c r="AJ535" i="3" s="1"/>
  <c r="AM535" i="3" s="1"/>
  <c r="M399" i="2"/>
  <c r="AJ539" i="3" s="1"/>
  <c r="AM539" i="3" s="1"/>
  <c r="M403" i="2"/>
  <c r="AJ543" i="3" s="1"/>
  <c r="AM543" i="3" s="1"/>
  <c r="M407" i="2"/>
  <c r="AJ547" i="3" s="1"/>
  <c r="AM547" i="3" s="1"/>
  <c r="M411" i="2"/>
  <c r="AJ551" i="3" s="1"/>
  <c r="AM551" i="3" s="1"/>
  <c r="M415" i="2"/>
  <c r="AJ555" i="3" s="1"/>
  <c r="AM555" i="3" s="1"/>
  <c r="M419" i="2"/>
  <c r="AJ559" i="3" s="1"/>
  <c r="AM559" i="3" s="1"/>
  <c r="M423" i="2"/>
  <c r="AJ563" i="3" s="1"/>
  <c r="AM563" i="3" s="1"/>
  <c r="M427" i="2"/>
  <c r="AJ567" i="3" s="1"/>
  <c r="AM567" i="3" s="1"/>
  <c r="M431" i="2"/>
  <c r="AJ571" i="3" s="1"/>
  <c r="AM571" i="3" s="1"/>
  <c r="M435" i="2"/>
  <c r="AJ575" i="3" s="1"/>
  <c r="AM575" i="3" s="1"/>
  <c r="M439" i="2"/>
  <c r="AJ579" i="3" s="1"/>
  <c r="AM579" i="3" s="1"/>
  <c r="M443" i="2"/>
  <c r="AJ583" i="3" s="1"/>
  <c r="AM583" i="3" s="1"/>
  <c r="M447" i="2"/>
  <c r="AJ587" i="3" s="1"/>
  <c r="AM587" i="3" s="1"/>
  <c r="M451" i="2"/>
  <c r="AJ591" i="3" s="1"/>
  <c r="AM591" i="3" s="1"/>
  <c r="M455" i="2"/>
  <c r="AJ595" i="3" s="1"/>
  <c r="AM595" i="3" s="1"/>
  <c r="M459" i="2"/>
  <c r="AJ599" i="3" s="1"/>
  <c r="AM599" i="3" s="1"/>
  <c r="M463" i="2"/>
  <c r="AJ603" i="3" s="1"/>
  <c r="AM603" i="3" s="1"/>
  <c r="M467" i="2"/>
  <c r="AJ607" i="3" s="1"/>
  <c r="AM607" i="3" s="1"/>
  <c r="M471" i="2"/>
  <c r="AJ611" i="3" s="1"/>
  <c r="AM611" i="3" s="1"/>
  <c r="M475" i="2"/>
  <c r="AJ615" i="3" s="1"/>
  <c r="AM615" i="3" s="1"/>
  <c r="M479" i="2"/>
  <c r="AJ619" i="3" s="1"/>
  <c r="AM619" i="3" s="1"/>
  <c r="M483" i="2"/>
  <c r="AJ623" i="3" s="1"/>
  <c r="AM623" i="3" s="1"/>
  <c r="M487" i="2"/>
  <c r="AJ627" i="3" s="1"/>
  <c r="AM627" i="3" s="1"/>
  <c r="M491" i="2"/>
  <c r="AJ631" i="3" s="1"/>
  <c r="AM631" i="3" s="1"/>
  <c r="M495" i="2"/>
  <c r="AJ635" i="3" s="1"/>
  <c r="AM635" i="3" s="1"/>
  <c r="M499" i="2"/>
  <c r="AJ639" i="3" s="1"/>
  <c r="AM639" i="3" s="1"/>
  <c r="M503" i="2"/>
  <c r="AJ643" i="3" s="1"/>
  <c r="AM643" i="3" s="1"/>
  <c r="M507" i="2"/>
  <c r="AJ647" i="3" s="1"/>
  <c r="AM647" i="3" s="1"/>
  <c r="M515" i="2"/>
  <c r="AJ655" i="3" s="1"/>
  <c r="AM655" i="3" s="1"/>
  <c r="M519" i="2"/>
  <c r="AJ659" i="3" s="1"/>
  <c r="AM659" i="3" s="1"/>
  <c r="M523" i="2"/>
  <c r="AJ663" i="3" s="1"/>
  <c r="AM663" i="3" s="1"/>
  <c r="M527" i="2"/>
  <c r="AJ667" i="3" s="1"/>
  <c r="AM667" i="3" s="1"/>
  <c r="M531" i="2"/>
  <c r="AJ671" i="3" s="1"/>
  <c r="AM671" i="3" s="1"/>
  <c r="M535" i="2"/>
  <c r="AJ675" i="3" s="1"/>
  <c r="AM675" i="3" s="1"/>
  <c r="M539" i="2"/>
  <c r="AJ679" i="3" s="1"/>
  <c r="AM679" i="3" s="1"/>
  <c r="M543" i="2"/>
  <c r="AJ683" i="3" s="1"/>
  <c r="AM683" i="3" s="1"/>
  <c r="M547" i="2"/>
  <c r="AJ687" i="3" s="1"/>
  <c r="AM687" i="3" s="1"/>
  <c r="M551" i="2"/>
  <c r="AJ691" i="3" s="1"/>
  <c r="AM691" i="3" s="1"/>
  <c r="M555" i="2"/>
  <c r="AJ695" i="3" s="1"/>
  <c r="AM695" i="3" s="1"/>
  <c r="M559" i="2"/>
  <c r="AJ699" i="3" s="1"/>
  <c r="AM699" i="3" s="1"/>
  <c r="M563" i="2"/>
  <c r="AJ703" i="3" s="1"/>
  <c r="AM703" i="3" s="1"/>
  <c r="M567" i="2"/>
  <c r="AJ707" i="3" s="1"/>
  <c r="AM707" i="3" s="1"/>
  <c r="M571" i="2"/>
  <c r="AJ711" i="3" s="1"/>
  <c r="AM711" i="3" s="1"/>
  <c r="M575" i="2"/>
  <c r="AJ715" i="3" s="1"/>
  <c r="AM715" i="3" s="1"/>
  <c r="M579" i="2"/>
  <c r="AJ719" i="3" s="1"/>
  <c r="AM719" i="3" s="1"/>
  <c r="M583" i="2"/>
  <c r="AJ723" i="3" s="1"/>
  <c r="AM723" i="3" s="1"/>
  <c r="M587" i="2"/>
  <c r="AJ727" i="3" s="1"/>
  <c r="AM727" i="3" s="1"/>
  <c r="M591" i="2"/>
  <c r="AJ731" i="3" s="1"/>
  <c r="AM731" i="3" s="1"/>
  <c r="M595" i="2"/>
  <c r="AJ735" i="3" s="1"/>
  <c r="AM735" i="3" s="1"/>
  <c r="M599" i="2"/>
  <c r="AJ739" i="3" s="1"/>
  <c r="AM739" i="3" s="1"/>
  <c r="M603" i="2"/>
  <c r="AJ743" i="3" s="1"/>
  <c r="AM743" i="3" s="1"/>
  <c r="M607" i="2"/>
  <c r="AJ747" i="3" s="1"/>
  <c r="AM747" i="3" s="1"/>
  <c r="M611" i="2"/>
  <c r="AJ751" i="3" s="1"/>
  <c r="AM751" i="3" s="1"/>
  <c r="M615" i="2"/>
  <c r="AJ755" i="3" s="1"/>
  <c r="AM755" i="3" s="1"/>
  <c r="M619" i="2"/>
  <c r="AJ759" i="3" s="1"/>
  <c r="AM759" i="3" s="1"/>
  <c r="M623" i="2"/>
  <c r="AJ763" i="3" s="1"/>
  <c r="AM763" i="3" s="1"/>
  <c r="M627" i="2"/>
  <c r="AJ767" i="3" s="1"/>
  <c r="AM767" i="3" s="1"/>
  <c r="M631" i="2"/>
  <c r="AJ771" i="3" s="1"/>
  <c r="AM771" i="3" s="1"/>
  <c r="M635" i="2"/>
  <c r="AJ775" i="3" s="1"/>
  <c r="AM775" i="3" s="1"/>
  <c r="M639" i="2"/>
  <c r="AJ779" i="3" s="1"/>
  <c r="AM779" i="3" s="1"/>
  <c r="M643" i="2"/>
  <c r="AJ783" i="3" s="1"/>
  <c r="AM783" i="3" s="1"/>
  <c r="M647" i="2"/>
  <c r="AJ787" i="3" s="1"/>
  <c r="AM787" i="3" s="1"/>
  <c r="M651" i="2"/>
  <c r="AJ791" i="3" s="1"/>
  <c r="AM791" i="3" s="1"/>
  <c r="M655" i="2"/>
  <c r="AJ795" i="3" s="1"/>
  <c r="AM795" i="3" s="1"/>
  <c r="M659" i="2"/>
  <c r="AJ799" i="3" s="1"/>
  <c r="AM799" i="3" s="1"/>
  <c r="M663" i="2"/>
  <c r="AJ803" i="3" s="1"/>
  <c r="AM803" i="3" s="1"/>
  <c r="M667" i="2"/>
  <c r="AJ807" i="3" s="1"/>
  <c r="AM807" i="3" s="1"/>
  <c r="M661" i="2"/>
  <c r="AJ801" i="3" s="1"/>
  <c r="AM801" i="3" s="1"/>
  <c r="M665" i="2"/>
  <c r="AJ805" i="3" s="1"/>
  <c r="AM805" i="3" s="1"/>
  <c r="AJ808" i="3"/>
  <c r="AM808" i="3" s="1"/>
  <c r="AJ810" i="3"/>
  <c r="AM810" i="3" s="1"/>
  <c r="AJ813" i="3"/>
  <c r="AM813" i="3" s="1"/>
  <c r="AJ816" i="3"/>
  <c r="AM816" i="3" s="1"/>
  <c r="AJ819" i="3"/>
  <c r="AM819" i="3" s="1"/>
  <c r="AJ826" i="3"/>
  <c r="AM826" i="3" s="1"/>
  <c r="AJ831" i="3"/>
  <c r="AM831" i="3" s="1"/>
  <c r="AJ832" i="3"/>
  <c r="AM832" i="3" s="1"/>
  <c r="AJ839" i="3"/>
  <c r="AM839" i="3" s="1"/>
  <c r="AJ854" i="3"/>
  <c r="AM854" i="3" s="1"/>
  <c r="AJ859" i="3"/>
  <c r="AM859" i="3" s="1"/>
  <c r="AJ862" i="3"/>
  <c r="AM862" i="3" s="1"/>
  <c r="AJ864" i="3"/>
  <c r="AM864" i="3" s="1"/>
  <c r="AJ866" i="3"/>
  <c r="AM866" i="3" s="1"/>
  <c r="AJ868" i="3"/>
  <c r="AM868" i="3" s="1"/>
  <c r="AJ875" i="3"/>
  <c r="AM875" i="3" s="1"/>
  <c r="AJ877" i="3"/>
  <c r="AM877" i="3" s="1"/>
  <c r="AJ879" i="3"/>
  <c r="AM879" i="3" s="1"/>
  <c r="AJ886" i="3"/>
  <c r="AM886" i="3" s="1"/>
  <c r="AJ891" i="3"/>
  <c r="AM891" i="3" s="1"/>
  <c r="AJ896" i="3"/>
  <c r="AM896" i="3" s="1"/>
  <c r="AJ901" i="3"/>
  <c r="AM901" i="3" s="1"/>
  <c r="AJ906" i="3"/>
  <c r="AM906" i="3" s="1"/>
  <c r="AJ911" i="3"/>
  <c r="AM911" i="3" s="1"/>
  <c r="AJ918" i="3"/>
  <c r="AM918" i="3" s="1"/>
  <c r="AJ920" i="3"/>
  <c r="AM920" i="3" s="1"/>
  <c r="AJ922" i="3"/>
  <c r="AM922" i="3" s="1"/>
  <c r="AJ924" i="3"/>
  <c r="AM924" i="3" s="1"/>
  <c r="AJ926" i="3"/>
  <c r="AM926" i="3" s="1"/>
  <c r="AJ928" i="3"/>
  <c r="AM928" i="3" s="1"/>
  <c r="AJ930" i="3"/>
  <c r="AM930" i="3" s="1"/>
  <c r="AJ932" i="3"/>
  <c r="AM932" i="3" s="1"/>
  <c r="AJ934" i="3"/>
  <c r="AM934" i="3" s="1"/>
  <c r="AJ936" i="3"/>
  <c r="AM936" i="3" s="1"/>
  <c r="AJ938" i="3"/>
  <c r="AM938" i="3" s="1"/>
  <c r="AJ940" i="3"/>
  <c r="AM940" i="3" s="1"/>
  <c r="AJ942" i="3"/>
  <c r="AM942" i="3" s="1"/>
  <c r="AJ944" i="3"/>
  <c r="AM944" i="3" s="1"/>
  <c r="AJ949" i="3"/>
  <c r="AM949" i="3" s="1"/>
  <c r="AJ951" i="3"/>
  <c r="AM951" i="3" s="1"/>
  <c r="AJ953" i="3"/>
  <c r="AM953" i="3" s="1"/>
  <c r="AJ958" i="3"/>
  <c r="AM958" i="3" s="1"/>
  <c r="AJ960" i="3"/>
  <c r="AM960" i="3" s="1"/>
  <c r="AJ963" i="3"/>
  <c r="AM963" i="3" s="1"/>
  <c r="AJ965" i="3"/>
  <c r="AM965" i="3" s="1"/>
  <c r="AJ968" i="3"/>
  <c r="AM968" i="3" s="1"/>
  <c r="AJ970" i="3"/>
  <c r="AM970" i="3" s="1"/>
  <c r="AJ973" i="3"/>
  <c r="AM973" i="3" s="1"/>
  <c r="AJ976" i="3"/>
  <c r="AM976" i="3" s="1"/>
  <c r="AJ979" i="3"/>
  <c r="AM979" i="3" s="1"/>
  <c r="AJ982" i="3"/>
  <c r="AM982" i="3" s="1"/>
  <c r="AJ989" i="3"/>
  <c r="AM989" i="3" s="1"/>
  <c r="AJ992" i="3"/>
  <c r="AM992" i="3" s="1"/>
  <c r="AJ995" i="3"/>
  <c r="AM995" i="3" s="1"/>
  <c r="AJ998" i="3"/>
  <c r="AM998" i="3" s="1"/>
  <c r="AJ1005" i="3"/>
  <c r="AM1005" i="3" s="1"/>
  <c r="J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X2" i="5" l="1"/>
  <c r="AA8" i="5" s="1"/>
  <c r="AI8" i="5" s="1"/>
  <c r="AJ2" i="3"/>
  <c r="AM2" i="3" s="1"/>
  <c r="O31" i="5"/>
  <c r="N31" i="5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<sst xmlns="http://schemas.openxmlformats.org/spreadsheetml/2006/main" count="919" uniqueCount="164">
  <si>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</si>
  <si>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</si>
  <si>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</si>
  <si>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</si>
  <si>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</si>
  <si>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</si>
  <si>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</si>
  <si>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</si>
  <si>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</si>
  <si>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</si>
  <si>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</si>
  <si>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</si>
  <si>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</si>
  <si>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</si>
  <si>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</si>
  <si>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</si>
  <si>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</si>
  <si>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</si>
  <si>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</si>
  <si>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</si>
  <si>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</si>
  <si>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</si>
  <si>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</si>
  <si>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</si>
  <si>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</si>
  <si>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</si>
  <si>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</si>
  <si>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</si>
  <si>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</si>
  <si>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</si>
  <si>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</si>
  <si>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</si>
  <si>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</si>
  <si>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</si>
  <si>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</si>
  <si>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</si>
  <si>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</si>
  <si>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</si>
  <si>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</si>
  <si>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</si>
  <si>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</si>
  <si>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</si>
  <si>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</si>
  <si>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</si>
  <si>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</si>
  <si>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</si>
  <si>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</si>
  <si>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</si>
  <si>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</si>
  <si>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</si>
  <si>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</si>
  <si>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</si>
  <si>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</si>
  <si>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</si>
  <si>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</si>
  <si>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</si>
  <si>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</si>
  <si>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</si>
  <si>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</si>
  <si>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</si>
  <si>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</si>
  <si>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</si>
  <si>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</si>
  <si>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</si>
  <si>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</si>
  <si>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</si>
  <si>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</si>
  <si>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</si>
  <si>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</si>
  <si>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</si>
  <si>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</si>
  <si>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</si>
  <si>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</si>
  <si>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</si>
  <si>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</si>
  <si>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</si>
  <si>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</si>
  <si>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</si>
  <si>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</si>
  <si>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</si>
  <si>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</si>
  <si>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</si>
  <si>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</si>
  <si>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</si>
  <si>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</si>
  <si>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</si>
  <si>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</si>
  <si>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</si>
  <si>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</si>
  <si>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</si>
  <si>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</si>
  <si>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</si>
  <si>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</si>
  <si>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</si>
  <si>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</si>
  <si>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</si>
  <si>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</si>
  <si>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</si>
  <si>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</si>
  <si>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</si>
  <si>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</si>
  <si>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</si>
  <si>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</si>
  <si>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</si>
  <si>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</si>
  <si>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</si>
  <si>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</si>
  <si>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</si>
  <si>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</si>
  <si>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</si>
  <si>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</si>
  <si>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</si>
  <si>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</si>
  <si>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</si>
  <si>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</si>
  <si>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</si>
  <si>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</si>
  <si>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</si>
  <si>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</si>
  <si>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</si>
  <si>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</si>
  <si>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</si>
  <si>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</si>
  <si>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</si>
  <si>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</si>
  <si>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</si>
  <si>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</si>
  <si>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</si>
  <si>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</si>
  <si>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</si>
  <si>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</si>
  <si>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</si>
  <si>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</si>
  <si>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</si>
  <si>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</si>
  <si>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</si>
  <si>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</si>
  <si>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</si>
  <si>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</si>
  <si>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</si>
  <si>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</si>
  <si>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</si>
  <si>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</si>
  <si>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</si>
  <si>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</si>
  <si>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</si>
  <si>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</si>
  <si>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</si>
  <si>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</si>
  <si>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</si>
  <si>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101767</t>
  </si>
  <si>
    <t>Amir Ahmed</t>
  </si>
  <si>
    <t>Justin Mieszerski</t>
  </si>
  <si>
    <t>NYCMNYLK</t>
  </si>
  <si>
    <t>New York,NY</t>
  </si>
  <si>
    <t>165 Broadway</t>
  </si>
  <si>
    <t>MOPE</t>
  </si>
  <si>
    <t>NY-1LP</t>
  </si>
  <si>
    <t>NY-1LP: 9999-RISER-4</t>
  </si>
  <si>
    <t>TBD</t>
  </si>
  <si>
    <t>1</t>
  </si>
  <si>
    <t>ISO-0175688 </t>
  </si>
  <si>
    <t>From 29th Floor SEP-101769</t>
  </si>
  <si>
    <t>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</si>
</sst>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102</v>
      </c>
      <c r="L4" s="475"/>
    </row>
    <row r="5" spans="1:22">
      <c r="A5" s="475" t="s">
        <v>103</v>
      </c>
      <c r="B5" s="475"/>
      <c r="K5" s="475"/>
      <c r="L5" s="475"/>
    </row>
    <row r="6" spans="1:22">
      <c r="A6" s="475"/>
      <c r="B6" s="475"/>
    </row>
    <row r="45" spans="1:2">
      <c r="A45" s="475" t="s">
        <v>104</v>
      </c>
      <c r="B45" s="475"/>
    </row>
    <row r="46" spans="1:2">
      <c r="A46" s="475"/>
      <c r="B46" s="475"/>
    </row>
    <row r="60" spans="1:2">
      <c r="A60" s="475" t="s">
        <v>105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J10" sqref="J10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510" t="s">
        <v>71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0" t="s">
        <v>81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150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163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97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79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NY-1LP: 9999-RISER-4</v>
      </c>
      <c r="K32" s="51"/>
      <c r="L32" s="51"/>
      <c r="M32" s="51"/>
      <c r="N32" s="37" t="str">
        <f t="shared" si="22"/>
        <v xml:space="preserve">NY-1LP: 9999-RISER-4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TBD</v>
      </c>
      <c r="K33" s="51"/>
      <c r="L33" s="51"/>
      <c r="M33" s="51"/>
      <c r="N33" s="37" t="str">
        <f t="shared" si="22"/>
        <v xml:space="preserve">TBD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85" t="s">
        <v>155</v>
      </c>
      <c r="C41" s="485" t="s">
        <v>154</v>
      </c>
      <c r="D41" s="485">
        <v>24</v>
      </c>
      <c r="E41" s="485" t="s">
        <v>156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30</v>
      </c>
      <c r="C43" s="59"/>
      <c r="D43" s="297" t="s">
        <v>137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0" t="s">
        <v>153</v>
      </c>
      <c r="C44" s="491"/>
      <c r="D44" s="508" t="s">
        <v>157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0"/>
      <c r="C47" s="491"/>
      <c r="D47" s="494" t="str">
        <f>CONCATENATE('Cable Info'!C11,"  ",'Cable Info'!C18,"   ",'Cable Info'!C25,"  ",'Cable Info'!C32,"   ",'Cable Info'!C39,"   ",'Cable Info'!C46)</f>
        <v xml:space="preserve">NY-1LP: 9999-RISER-4  TBD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498" t="s">
        <v>151</v>
      </c>
      <c r="C50" s="500">
        <v>42720</v>
      </c>
      <c r="D50" s="502" t="s">
        <v>152</v>
      </c>
      <c r="E50" s="503" t="str">
        <f>J10</f>
        <v>1.1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21</v>
      </c>
      <c r="C53" s="68" t="s">
        <v>28</v>
      </c>
      <c r="D53" s="476" t="str">
        <f>J8</f>
        <v>101767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31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024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70" zoomScaleNormal="70" zoomScaleSheetLayoutView="85" workbookViewId="0">
      <selection activeCell="D11" sqref="D11:F11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53</v>
      </c>
      <c r="J1" s="182" t="s">
        <v>55</v>
      </c>
      <c r="L1" s="182" t="s">
        <v>12</v>
      </c>
      <c r="M1" s="183"/>
      <c r="N1" s="183" t="s">
        <v>13</v>
      </c>
      <c r="P1" s="182" t="s">
        <v>49</v>
      </c>
      <c r="R1" s="182" t="s">
        <v>50</v>
      </c>
      <c r="T1" s="182" t="s">
        <v>51</v>
      </c>
      <c r="V1" s="182" t="s">
        <v>52</v>
      </c>
    </row>
    <row r="2" spans="1:147" s="90" customFormat="1" ht="15" thickBot="1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44</v>
      </c>
      <c r="J2" s="182" t="s">
        <v>54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30" t="str">
        <f>'Cover - Location Info'!J8</f>
        <v>101767</v>
      </c>
      <c r="C3" s="28"/>
      <c r="D3" s="28"/>
      <c r="E3" s="533" t="str">
        <f>'Cover - Location Info'!J10</f>
        <v>1.1</v>
      </c>
      <c r="F3" s="534"/>
      <c r="G3" s="92"/>
      <c r="I3" s="182" t="s">
        <v>45</v>
      </c>
      <c r="J3" s="182" t="s">
        <v>56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31"/>
      <c r="C4" s="28"/>
      <c r="D4" s="28"/>
      <c r="E4" s="535"/>
      <c r="F4" s="536"/>
      <c r="G4" s="92"/>
      <c r="I4" s="182" t="s">
        <v>46</v>
      </c>
      <c r="J4" s="182" t="s">
        <v>57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48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60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61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62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34</v>
      </c>
      <c r="C10" s="95" t="s">
        <v>32</v>
      </c>
      <c r="D10" s="520" t="s">
        <v>33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12</v>
      </c>
      <c r="C11" s="4" t="s">
        <v>158</v>
      </c>
      <c r="D11" s="523" t="s">
        <v>162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142</v>
      </c>
      <c r="C12" s="97" t="s">
        <v>35</v>
      </c>
      <c r="D12" s="98" t="s">
        <v>63</v>
      </c>
      <c r="E12" s="526" t="s">
        <v>40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14" t="s">
        <v>159</v>
      </c>
      <c r="C13" s="517" t="s">
        <v>159</v>
      </c>
      <c r="D13" s="111"/>
      <c r="E13" s="99" t="s">
        <v>43</v>
      </c>
      <c r="F13" s="100" t="s">
        <v>47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15"/>
      <c r="C14" s="518"/>
      <c r="D14" s="98" t="s">
        <v>59</v>
      </c>
      <c r="E14" s="114" t="s">
        <v>53</v>
      </c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34</v>
      </c>
      <c r="C17" s="95" t="s">
        <v>32</v>
      </c>
      <c r="D17" s="520" t="s">
        <v>33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13</v>
      </c>
      <c r="C18" s="4" t="s">
        <v>159</v>
      </c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142</v>
      </c>
      <c r="C19" s="97" t="s">
        <v>35</v>
      </c>
      <c r="D19" s="98" t="s">
        <v>63</v>
      </c>
      <c r="E19" s="526" t="s">
        <v>40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14"/>
      <c r="C20" s="517"/>
      <c r="D20" s="111"/>
      <c r="E20" s="99" t="s">
        <v>43</v>
      </c>
      <c r="F20" s="100" t="s">
        <v>47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15"/>
      <c r="C21" s="518"/>
      <c r="D21" s="98" t="s">
        <v>59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34</v>
      </c>
      <c r="C24" s="95" t="s">
        <v>32</v>
      </c>
      <c r="D24" s="520" t="s">
        <v>33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49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142</v>
      </c>
      <c r="C26" s="97" t="s">
        <v>35</v>
      </c>
      <c r="D26" s="98" t="s">
        <v>63</v>
      </c>
      <c r="E26" s="526" t="s">
        <v>40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14"/>
      <c r="C27" s="517"/>
      <c r="D27" s="111"/>
      <c r="E27" s="99" t="s">
        <v>43</v>
      </c>
      <c r="F27" s="100" t="s">
        <v>47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15"/>
      <c r="C28" s="518"/>
      <c r="D28" s="98" t="s">
        <v>59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34</v>
      </c>
      <c r="C31" s="95" t="s">
        <v>32</v>
      </c>
      <c r="D31" s="520" t="s">
        <v>33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50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142</v>
      </c>
      <c r="C33" s="97" t="s">
        <v>35</v>
      </c>
      <c r="D33" s="98" t="s">
        <v>63</v>
      </c>
      <c r="E33" s="526" t="s">
        <v>40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14"/>
      <c r="C34" s="517"/>
      <c r="D34" s="111"/>
      <c r="E34" s="99" t="s">
        <v>43</v>
      </c>
      <c r="F34" s="100" t="s">
        <v>47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15"/>
      <c r="C35" s="518"/>
      <c r="D35" s="98" t="s">
        <v>59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34</v>
      </c>
      <c r="C38" s="95" t="s">
        <v>32</v>
      </c>
      <c r="D38" s="520" t="s">
        <v>33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51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142</v>
      </c>
      <c r="C40" s="97" t="s">
        <v>35</v>
      </c>
      <c r="D40" s="98" t="s">
        <v>63</v>
      </c>
      <c r="E40" s="526" t="s">
        <v>40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14"/>
      <c r="C41" s="517"/>
      <c r="D41" s="111"/>
      <c r="E41" s="99" t="s">
        <v>43</v>
      </c>
      <c r="F41" s="100" t="s">
        <v>47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15"/>
      <c r="C42" s="518"/>
      <c r="D42" s="98" t="s">
        <v>59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34</v>
      </c>
      <c r="C45" s="95" t="s">
        <v>32</v>
      </c>
      <c r="D45" s="520" t="s">
        <v>33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52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142</v>
      </c>
      <c r="C47" s="97" t="s">
        <v>35</v>
      </c>
      <c r="D47" s="98" t="s">
        <v>63</v>
      </c>
      <c r="E47" s="526" t="s">
        <v>40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14"/>
      <c r="C48" s="517"/>
      <c r="D48" s="111"/>
      <c r="E48" s="99" t="s">
        <v>43</v>
      </c>
      <c r="F48" s="100" t="s">
        <v>47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15"/>
      <c r="C49" s="518"/>
      <c r="D49" s="98" t="s">
        <v>59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>
        <f t="shared" si="0"/>
        <v>49</v>
      </c>
      <c r="M50" s="182" t="e">
        <f t="shared" si="1"/>
        <v>#N/A</v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>
        <f t="shared" si="0"/>
        <v>50</v>
      </c>
      <c r="M51" s="182" t="e">
        <f t="shared" si="1"/>
        <v>#N/A</v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>
        <f t="shared" si="0"/>
        <v>51</v>
      </c>
      <c r="M52" s="182" t="e">
        <f t="shared" si="1"/>
        <v>#N/A</v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>
        <f t="shared" si="0"/>
        <v>52</v>
      </c>
      <c r="M53" s="182" t="e">
        <f t="shared" si="1"/>
        <v>#N/A</v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>
        <f t="shared" si="0"/>
        <v>53</v>
      </c>
      <c r="M54" s="182" t="e">
        <f t="shared" si="1"/>
        <v>#N/A</v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>
        <f t="shared" si="0"/>
        <v>54</v>
      </c>
      <c r="M55" s="182" t="e">
        <f t="shared" si="1"/>
        <v>#N/A</v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>
        <f t="shared" si="0"/>
        <v>55</v>
      </c>
      <c r="M56" s="182" t="e">
        <f t="shared" si="1"/>
        <v>#N/A</v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>
        <f t="shared" si="0"/>
        <v>56</v>
      </c>
      <c r="M57" s="182" t="e">
        <f t="shared" si="1"/>
        <v>#N/A</v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>
        <f t="shared" si="0"/>
        <v>57</v>
      </c>
      <c r="M58" s="182" t="e">
        <f t="shared" si="1"/>
        <v>#N/A</v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>
        <f t="shared" si="0"/>
        <v>58</v>
      </c>
      <c r="M59" s="182" t="e">
        <f t="shared" si="1"/>
        <v>#N/A</v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>
        <f t="shared" si="0"/>
        <v>59</v>
      </c>
      <c r="M60" s="182" t="e">
        <f t="shared" si="1"/>
        <v>#N/A</v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>
        <f t="shared" si="0"/>
        <v>60</v>
      </c>
      <c r="M61" s="182" t="e">
        <f t="shared" si="1"/>
        <v>#N/A</v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>
        <f t="shared" si="0"/>
        <v>61</v>
      </c>
      <c r="M62" s="182" t="e">
        <f t="shared" si="1"/>
        <v>#N/A</v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>
        <f t="shared" si="0"/>
        <v>62</v>
      </c>
      <c r="M63" s="182" t="e">
        <f t="shared" si="1"/>
        <v>#N/A</v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>
        <f t="shared" si="0"/>
        <v>63</v>
      </c>
      <c r="M64" s="182" t="e">
        <f t="shared" si="1"/>
        <v>#N/A</v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>
        <f t="shared" si="0"/>
        <v>64</v>
      </c>
      <c r="M65" s="182" t="e">
        <f t="shared" si="1"/>
        <v>#N/A</v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>
        <f t="shared" si="0"/>
        <v>65</v>
      </c>
      <c r="M66" s="182" t="e">
        <f t="shared" si="1"/>
        <v>#N/A</v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>
        <f t="shared" ref="L67:L130" si="12">IF($B$13&gt;=K67,K67,"")</f>
        <v>66</v>
      </c>
      <c r="M67" s="182" t="e">
        <f t="shared" ref="M67:M130" si="13">IF(L67="","",IF(L67&lt;=$E$15,VLOOKUP($E$14,$I$1:$J$4,2,FALSE),VLOOKUP($F$14,$I$1:$J$4,2,FALSE)))</f>
        <v>#N/A</v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>
        <f t="shared" si="12"/>
        <v>67</v>
      </c>
      <c r="M68" s="182" t="e">
        <f t="shared" si="13"/>
        <v>#N/A</v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>
        <f t="shared" si="12"/>
        <v>68</v>
      </c>
      <c r="M69" s="182" t="e">
        <f t="shared" si="13"/>
        <v>#N/A</v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>
        <f t="shared" si="12"/>
        <v>69</v>
      </c>
      <c r="M70" s="182" t="e">
        <f t="shared" si="13"/>
        <v>#N/A</v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>
        <f t="shared" si="12"/>
        <v>70</v>
      </c>
      <c r="M71" s="182" t="e">
        <f t="shared" si="13"/>
        <v>#N/A</v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>
        <f t="shared" si="12"/>
        <v>71</v>
      </c>
      <c r="M72" s="182" t="e">
        <f t="shared" si="13"/>
        <v>#N/A</v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>
        <f t="shared" si="12"/>
        <v>72</v>
      </c>
      <c r="M73" s="182" t="e">
        <f t="shared" si="13"/>
        <v>#N/A</v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>
        <f t="shared" si="12"/>
        <v>73</v>
      </c>
      <c r="M74" s="182" t="e">
        <f t="shared" si="13"/>
        <v>#N/A</v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>
        <f t="shared" si="12"/>
        <v>74</v>
      </c>
      <c r="M75" s="182" t="e">
        <f t="shared" si="13"/>
        <v>#N/A</v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>
        <f t="shared" si="12"/>
        <v>75</v>
      </c>
      <c r="M76" s="182" t="e">
        <f t="shared" si="13"/>
        <v>#N/A</v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>
        <f t="shared" si="12"/>
        <v>76</v>
      </c>
      <c r="M77" s="182" t="e">
        <f t="shared" si="13"/>
        <v>#N/A</v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>
        <f t="shared" si="12"/>
        <v>77</v>
      </c>
      <c r="M78" s="182" t="e">
        <f t="shared" si="13"/>
        <v>#N/A</v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>
        <f t="shared" si="12"/>
        <v>78</v>
      </c>
      <c r="M79" s="182" t="e">
        <f t="shared" si="13"/>
        <v>#N/A</v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>
        <f t="shared" si="12"/>
        <v>79</v>
      </c>
      <c r="M80" s="182" t="e">
        <f t="shared" si="13"/>
        <v>#N/A</v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>
        <f t="shared" si="12"/>
        <v>80</v>
      </c>
      <c r="M81" s="182" t="e">
        <f t="shared" si="13"/>
        <v>#N/A</v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>
        <f t="shared" si="12"/>
        <v>81</v>
      </c>
      <c r="M82" s="182" t="e">
        <f t="shared" si="13"/>
        <v>#N/A</v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>
        <f t="shared" si="12"/>
        <v>82</v>
      </c>
      <c r="M83" s="182" t="e">
        <f t="shared" si="13"/>
        <v>#N/A</v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>
        <f t="shared" si="12"/>
        <v>83</v>
      </c>
      <c r="M84" s="182" t="e">
        <f t="shared" si="13"/>
        <v>#N/A</v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>
        <f t="shared" si="12"/>
        <v>84</v>
      </c>
      <c r="M85" s="182" t="e">
        <f t="shared" si="13"/>
        <v>#N/A</v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>
        <f t="shared" si="12"/>
        <v>85</v>
      </c>
      <c r="M86" s="182" t="e">
        <f t="shared" si="13"/>
        <v>#N/A</v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>
        <f t="shared" si="12"/>
        <v>86</v>
      </c>
      <c r="M87" s="182" t="e">
        <f t="shared" si="13"/>
        <v>#N/A</v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>
        <f t="shared" si="12"/>
        <v>87</v>
      </c>
      <c r="M88" s="182" t="e">
        <f t="shared" si="13"/>
        <v>#N/A</v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>
        <f t="shared" si="12"/>
        <v>88</v>
      </c>
      <c r="M89" s="182" t="e">
        <f t="shared" si="13"/>
        <v>#N/A</v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>
        <f t="shared" si="12"/>
        <v>89</v>
      </c>
      <c r="M90" s="182" t="e">
        <f t="shared" si="13"/>
        <v>#N/A</v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>
        <f t="shared" si="12"/>
        <v>90</v>
      </c>
      <c r="M91" s="182" t="e">
        <f t="shared" si="13"/>
        <v>#N/A</v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>
        <f t="shared" si="12"/>
        <v>91</v>
      </c>
      <c r="M92" s="182" t="e">
        <f t="shared" si="13"/>
        <v>#N/A</v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>
        <f t="shared" si="12"/>
        <v>92</v>
      </c>
      <c r="M93" s="182" t="e">
        <f t="shared" si="13"/>
        <v>#N/A</v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>
        <f t="shared" si="12"/>
        <v>93</v>
      </c>
      <c r="M94" s="182" t="e">
        <f t="shared" si="13"/>
        <v>#N/A</v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>
        <f t="shared" si="12"/>
        <v>94</v>
      </c>
      <c r="M95" s="182" t="e">
        <f t="shared" si="13"/>
        <v>#N/A</v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>
        <f t="shared" si="12"/>
        <v>95</v>
      </c>
      <c r="M96" s="182" t="e">
        <f t="shared" si="13"/>
        <v>#N/A</v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>
        <f t="shared" si="12"/>
        <v>96</v>
      </c>
      <c r="M97" s="182" t="e">
        <f t="shared" si="13"/>
        <v>#N/A</v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>
        <f t="shared" si="12"/>
        <v>97</v>
      </c>
      <c r="M98" s="182" t="e">
        <f t="shared" si="13"/>
        <v>#N/A</v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>
        <f t="shared" si="12"/>
        <v>98</v>
      </c>
      <c r="M99" s="182" t="e">
        <f t="shared" si="13"/>
        <v>#N/A</v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>
        <f t="shared" si="12"/>
        <v>99</v>
      </c>
      <c r="M100" s="182" t="e">
        <f t="shared" si="13"/>
        <v>#N/A</v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>
        <f t="shared" si="12"/>
        <v>100</v>
      </c>
      <c r="M101" s="182" t="e">
        <f t="shared" si="13"/>
        <v>#N/A</v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>
        <f t="shared" si="12"/>
        <v>101</v>
      </c>
      <c r="M102" s="182" t="e">
        <f t="shared" si="13"/>
        <v>#N/A</v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>
        <f t="shared" si="12"/>
        <v>102</v>
      </c>
      <c r="M103" s="182" t="e">
        <f t="shared" si="13"/>
        <v>#N/A</v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>
        <f t="shared" si="12"/>
        <v>103</v>
      </c>
      <c r="M104" s="182" t="e">
        <f t="shared" si="13"/>
        <v>#N/A</v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>
        <f t="shared" si="12"/>
        <v>104</v>
      </c>
      <c r="M105" s="182" t="e">
        <f t="shared" si="13"/>
        <v>#N/A</v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>
        <f t="shared" si="12"/>
        <v>105</v>
      </c>
      <c r="M106" s="182" t="e">
        <f t="shared" si="13"/>
        <v>#N/A</v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>
        <f t="shared" si="12"/>
        <v>106</v>
      </c>
      <c r="M107" s="182" t="e">
        <f t="shared" si="13"/>
        <v>#N/A</v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>
        <f t="shared" si="12"/>
        <v>107</v>
      </c>
      <c r="M108" s="182" t="e">
        <f t="shared" si="13"/>
        <v>#N/A</v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>
        <f t="shared" si="12"/>
        <v>108</v>
      </c>
      <c r="M109" s="182" t="e">
        <f t="shared" si="13"/>
        <v>#N/A</v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>
        <f t="shared" si="12"/>
        <v>109</v>
      </c>
      <c r="M110" s="182" t="e">
        <f t="shared" si="13"/>
        <v>#N/A</v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>
        <f t="shared" si="12"/>
        <v>110</v>
      </c>
      <c r="M111" s="182" t="e">
        <f t="shared" si="13"/>
        <v>#N/A</v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>
        <f t="shared" si="12"/>
        <v>111</v>
      </c>
      <c r="M112" s="182" t="e">
        <f t="shared" si="13"/>
        <v>#N/A</v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>
        <f t="shared" si="12"/>
        <v>112</v>
      </c>
      <c r="M113" s="182" t="e">
        <f t="shared" si="13"/>
        <v>#N/A</v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>
        <f t="shared" si="12"/>
        <v>113</v>
      </c>
      <c r="M114" s="182" t="e">
        <f t="shared" si="13"/>
        <v>#N/A</v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>
        <f t="shared" si="12"/>
        <v>114</v>
      </c>
      <c r="M115" s="182" t="e">
        <f t="shared" si="13"/>
        <v>#N/A</v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>
        <f t="shared" si="12"/>
        <v>115</v>
      </c>
      <c r="M116" s="182" t="e">
        <f t="shared" si="13"/>
        <v>#N/A</v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>
        <f t="shared" si="12"/>
        <v>116</v>
      </c>
      <c r="M117" s="182" t="e">
        <f t="shared" si="13"/>
        <v>#N/A</v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>
        <f t="shared" si="12"/>
        <v>117</v>
      </c>
      <c r="M118" s="182" t="e">
        <f t="shared" si="13"/>
        <v>#N/A</v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>
        <f t="shared" si="12"/>
        <v>118</v>
      </c>
      <c r="M119" s="182" t="e">
        <f t="shared" si="13"/>
        <v>#N/A</v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>
        <f t="shared" si="12"/>
        <v>119</v>
      </c>
      <c r="M120" s="182" t="e">
        <f t="shared" si="13"/>
        <v>#N/A</v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>
        <f t="shared" si="12"/>
        <v>120</v>
      </c>
      <c r="M121" s="182" t="e">
        <f t="shared" si="13"/>
        <v>#N/A</v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>
        <f t="shared" si="12"/>
        <v>121</v>
      </c>
      <c r="M122" s="182" t="e">
        <f t="shared" si="13"/>
        <v>#N/A</v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>
        <f t="shared" si="12"/>
        <v>122</v>
      </c>
      <c r="M123" s="182" t="e">
        <f t="shared" si="13"/>
        <v>#N/A</v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>
        <f t="shared" si="12"/>
        <v>123</v>
      </c>
      <c r="M124" s="182" t="e">
        <f t="shared" si="13"/>
        <v>#N/A</v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>
        <f t="shared" si="12"/>
        <v>124</v>
      </c>
      <c r="M125" s="182" t="e">
        <f t="shared" si="13"/>
        <v>#N/A</v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>
        <f t="shared" si="12"/>
        <v>125</v>
      </c>
      <c r="M126" s="182" t="e">
        <f t="shared" si="13"/>
        <v>#N/A</v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>
        <f t="shared" si="12"/>
        <v>126</v>
      </c>
      <c r="M127" s="182" t="e">
        <f t="shared" si="13"/>
        <v>#N/A</v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>
        <f t="shared" si="12"/>
        <v>127</v>
      </c>
      <c r="M128" s="182" t="e">
        <f t="shared" si="13"/>
        <v>#N/A</v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>
        <f t="shared" si="12"/>
        <v>128</v>
      </c>
      <c r="M129" s="182" t="e">
        <f t="shared" si="13"/>
        <v>#N/A</v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>
        <f t="shared" si="12"/>
        <v>129</v>
      </c>
      <c r="M130" s="182" t="e">
        <f t="shared" si="13"/>
        <v>#N/A</v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>
        <f t="shared" ref="L131:L194" si="24">IF($B$13&gt;=K131,K131,"")</f>
        <v>130</v>
      </c>
      <c r="M131" s="182" t="e">
        <f t="shared" ref="M131:M194" si="25">IF(L131="","",IF(L131&lt;=$E$15,VLOOKUP($E$14,$I$1:$J$4,2,FALSE),VLOOKUP($F$14,$I$1:$J$4,2,FALSE)))</f>
        <v>#N/A</v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>
        <f t="shared" si="24"/>
        <v>131</v>
      </c>
      <c r="M132" s="182" t="e">
        <f t="shared" si="25"/>
        <v>#N/A</v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>
        <f t="shared" si="24"/>
        <v>132</v>
      </c>
      <c r="M133" s="182" t="e">
        <f t="shared" si="25"/>
        <v>#N/A</v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>
        <f t="shared" si="24"/>
        <v>133</v>
      </c>
      <c r="M134" s="182" t="e">
        <f t="shared" si="25"/>
        <v>#N/A</v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>
        <f t="shared" si="24"/>
        <v>134</v>
      </c>
      <c r="M135" s="182" t="e">
        <f t="shared" si="25"/>
        <v>#N/A</v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>
        <f t="shared" si="24"/>
        <v>135</v>
      </c>
      <c r="M136" s="182" t="e">
        <f t="shared" si="25"/>
        <v>#N/A</v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>
        <f t="shared" si="24"/>
        <v>136</v>
      </c>
      <c r="M137" s="182" t="e">
        <f t="shared" si="25"/>
        <v>#N/A</v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>
        <f t="shared" si="24"/>
        <v>137</v>
      </c>
      <c r="M138" s="182" t="e">
        <f t="shared" si="25"/>
        <v>#N/A</v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>
        <f t="shared" si="24"/>
        <v>138</v>
      </c>
      <c r="M139" s="182" t="e">
        <f t="shared" si="25"/>
        <v>#N/A</v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>
        <f t="shared" si="24"/>
        <v>139</v>
      </c>
      <c r="M140" s="182" t="e">
        <f t="shared" si="25"/>
        <v>#N/A</v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>
        <f t="shared" si="24"/>
        <v>140</v>
      </c>
      <c r="M141" s="182" t="e">
        <f t="shared" si="25"/>
        <v>#N/A</v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>
        <f t="shared" si="24"/>
        <v>141</v>
      </c>
      <c r="M142" s="182" t="e">
        <f t="shared" si="25"/>
        <v>#N/A</v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>
        <f t="shared" si="24"/>
        <v>142</v>
      </c>
      <c r="M143" s="182" t="e">
        <f t="shared" si="25"/>
        <v>#N/A</v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>
        <f t="shared" si="24"/>
        <v>143</v>
      </c>
      <c r="M144" s="182" t="e">
        <f t="shared" si="25"/>
        <v>#N/A</v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>
        <f t="shared" si="24"/>
        <v>144</v>
      </c>
      <c r="M145" s="182" t="e">
        <f t="shared" si="25"/>
        <v>#N/A</v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>
        <f t="shared" si="24"/>
        <v>145</v>
      </c>
      <c r="M146" s="182" t="e">
        <f t="shared" si="25"/>
        <v>#N/A</v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>
        <f t="shared" si="24"/>
        <v>146</v>
      </c>
      <c r="M147" s="182" t="e">
        <f t="shared" si="25"/>
        <v>#N/A</v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>
        <f t="shared" si="24"/>
        <v>147</v>
      </c>
      <c r="M148" s="182" t="e">
        <f t="shared" si="25"/>
        <v>#N/A</v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>
        <f t="shared" si="24"/>
        <v>148</v>
      </c>
      <c r="M149" s="182" t="e">
        <f t="shared" si="25"/>
        <v>#N/A</v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>
        <f t="shared" si="24"/>
        <v>149</v>
      </c>
      <c r="M150" s="182" t="e">
        <f t="shared" si="25"/>
        <v>#N/A</v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>
        <f t="shared" si="24"/>
        <v>150</v>
      </c>
      <c r="M151" s="182" t="e">
        <f t="shared" si="25"/>
        <v>#N/A</v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>
        <f t="shared" si="24"/>
        <v>151</v>
      </c>
      <c r="M152" s="182" t="e">
        <f t="shared" si="25"/>
        <v>#N/A</v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>
        <f t="shared" si="24"/>
        <v>152</v>
      </c>
      <c r="M153" s="182" t="e">
        <f t="shared" si="25"/>
        <v>#N/A</v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>
        <f t="shared" si="24"/>
        <v>153</v>
      </c>
      <c r="M154" s="182" t="e">
        <f t="shared" si="25"/>
        <v>#N/A</v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>
        <f t="shared" si="24"/>
        <v>154</v>
      </c>
      <c r="M155" s="182" t="e">
        <f t="shared" si="25"/>
        <v>#N/A</v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>
        <f t="shared" si="24"/>
        <v>155</v>
      </c>
      <c r="M156" s="182" t="e">
        <f t="shared" si="25"/>
        <v>#N/A</v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>
        <f t="shared" si="24"/>
        <v>156</v>
      </c>
      <c r="M157" s="182" t="e">
        <f t="shared" si="25"/>
        <v>#N/A</v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>
        <f t="shared" si="24"/>
        <v>157</v>
      </c>
      <c r="M158" s="182" t="e">
        <f t="shared" si="25"/>
        <v>#N/A</v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>
        <f t="shared" si="24"/>
        <v>158</v>
      </c>
      <c r="M159" s="182" t="e">
        <f t="shared" si="25"/>
        <v>#N/A</v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>
        <f t="shared" si="24"/>
        <v>159</v>
      </c>
      <c r="M160" s="182" t="e">
        <f t="shared" si="25"/>
        <v>#N/A</v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>
        <f t="shared" si="24"/>
        <v>160</v>
      </c>
      <c r="M161" s="182" t="e">
        <f t="shared" si="25"/>
        <v>#N/A</v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>
        <f t="shared" si="24"/>
        <v>161</v>
      </c>
      <c r="M162" s="182" t="e">
        <f t="shared" si="25"/>
        <v>#N/A</v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>
        <f t="shared" si="24"/>
        <v>162</v>
      </c>
      <c r="M163" s="182" t="e">
        <f t="shared" si="25"/>
        <v>#N/A</v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>
        <f t="shared" si="24"/>
        <v>163</v>
      </c>
      <c r="M164" s="182" t="e">
        <f t="shared" si="25"/>
        <v>#N/A</v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>
        <f t="shared" si="24"/>
        <v>164</v>
      </c>
      <c r="M165" s="182" t="e">
        <f t="shared" si="25"/>
        <v>#N/A</v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>
        <f t="shared" si="24"/>
        <v>165</v>
      </c>
      <c r="M166" s="182" t="e">
        <f t="shared" si="25"/>
        <v>#N/A</v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>
        <f t="shared" si="24"/>
        <v>166</v>
      </c>
      <c r="M167" s="182" t="e">
        <f t="shared" si="25"/>
        <v>#N/A</v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>
        <f t="shared" si="24"/>
        <v>167</v>
      </c>
      <c r="M168" s="182" t="e">
        <f t="shared" si="25"/>
        <v>#N/A</v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>
        <f t="shared" si="24"/>
        <v>168</v>
      </c>
      <c r="M169" s="182" t="e">
        <f t="shared" si="25"/>
        <v>#N/A</v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>
        <f t="shared" si="24"/>
        <v>169</v>
      </c>
      <c r="M170" s="182" t="e">
        <f t="shared" si="25"/>
        <v>#N/A</v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>
        <f t="shared" si="24"/>
        <v>170</v>
      </c>
      <c r="M171" s="182" t="e">
        <f t="shared" si="25"/>
        <v>#N/A</v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>
        <f t="shared" si="24"/>
        <v>171</v>
      </c>
      <c r="M172" s="182" t="e">
        <f t="shared" si="25"/>
        <v>#N/A</v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>
        <f t="shared" si="24"/>
        <v>172</v>
      </c>
      <c r="M173" s="182" t="e">
        <f t="shared" si="25"/>
        <v>#N/A</v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>
        <f t="shared" si="24"/>
        <v>173</v>
      </c>
      <c r="M174" s="182" t="e">
        <f t="shared" si="25"/>
        <v>#N/A</v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>
        <f t="shared" si="24"/>
        <v>174</v>
      </c>
      <c r="M175" s="182" t="e">
        <f t="shared" si="25"/>
        <v>#N/A</v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>
        <f t="shared" si="24"/>
        <v>175</v>
      </c>
      <c r="M176" s="182" t="e">
        <f t="shared" si="25"/>
        <v>#N/A</v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>
        <f t="shared" si="24"/>
        <v>176</v>
      </c>
      <c r="M177" s="182" t="e">
        <f t="shared" si="25"/>
        <v>#N/A</v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>
        <f t="shared" si="24"/>
        <v>177</v>
      </c>
      <c r="M178" s="182" t="e">
        <f t="shared" si="25"/>
        <v>#N/A</v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>
        <f t="shared" si="24"/>
        <v>178</v>
      </c>
      <c r="M179" s="182" t="e">
        <f t="shared" si="25"/>
        <v>#N/A</v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>
        <f t="shared" si="24"/>
        <v>179</v>
      </c>
      <c r="M180" s="182" t="e">
        <f t="shared" si="25"/>
        <v>#N/A</v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>
        <f t="shared" si="24"/>
        <v>180</v>
      </c>
      <c r="M181" s="182" t="e">
        <f t="shared" si="25"/>
        <v>#N/A</v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>
        <f t="shared" si="24"/>
        <v>181</v>
      </c>
      <c r="M182" s="182" t="e">
        <f t="shared" si="25"/>
        <v>#N/A</v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>
        <f t="shared" si="24"/>
        <v>182</v>
      </c>
      <c r="M183" s="182" t="e">
        <f t="shared" si="25"/>
        <v>#N/A</v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>
        <f t="shared" si="24"/>
        <v>183</v>
      </c>
      <c r="M184" s="182" t="e">
        <f t="shared" si="25"/>
        <v>#N/A</v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>
        <f t="shared" si="24"/>
        <v>184</v>
      </c>
      <c r="M185" s="182" t="e">
        <f t="shared" si="25"/>
        <v>#N/A</v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>
        <f t="shared" si="24"/>
        <v>185</v>
      </c>
      <c r="M186" s="182" t="e">
        <f t="shared" si="25"/>
        <v>#N/A</v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>
        <f t="shared" si="24"/>
        <v>186</v>
      </c>
      <c r="M187" s="182" t="e">
        <f t="shared" si="25"/>
        <v>#N/A</v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>
        <f t="shared" si="24"/>
        <v>187</v>
      </c>
      <c r="M188" s="182" t="e">
        <f t="shared" si="25"/>
        <v>#N/A</v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>
        <f t="shared" si="24"/>
        <v>188</v>
      </c>
      <c r="M189" s="182" t="e">
        <f t="shared" si="25"/>
        <v>#N/A</v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>
        <f t="shared" si="24"/>
        <v>189</v>
      </c>
      <c r="M190" s="182" t="e">
        <f t="shared" si="25"/>
        <v>#N/A</v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>
        <f t="shared" si="24"/>
        <v>190</v>
      </c>
      <c r="M191" s="182" t="e">
        <f t="shared" si="25"/>
        <v>#N/A</v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>
        <f t="shared" si="24"/>
        <v>191</v>
      </c>
      <c r="M192" s="182" t="e">
        <f t="shared" si="25"/>
        <v>#N/A</v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>
        <f t="shared" si="24"/>
        <v>192</v>
      </c>
      <c r="M193" s="182" t="e">
        <f t="shared" si="25"/>
        <v>#N/A</v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>
        <f t="shared" si="24"/>
        <v>193</v>
      </c>
      <c r="M194" s="182" t="e">
        <f t="shared" si="25"/>
        <v>#N/A</v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>
        <f t="shared" ref="L195:L258" si="36">IF($B$13&gt;=K195,K195,"")</f>
        <v>194</v>
      </c>
      <c r="M195" s="182" t="e">
        <f t="shared" ref="M195:M258" si="37">IF(L195="","",IF(L195&lt;=$E$15,VLOOKUP($E$14,$I$1:$J$4,2,FALSE),VLOOKUP($F$14,$I$1:$J$4,2,FALSE)))</f>
        <v>#N/A</v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>
        <f t="shared" si="36"/>
        <v>195</v>
      </c>
      <c r="M196" s="182" t="e">
        <f t="shared" si="37"/>
        <v>#N/A</v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>
        <f t="shared" si="36"/>
        <v>196</v>
      </c>
      <c r="M197" s="182" t="e">
        <f t="shared" si="37"/>
        <v>#N/A</v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>
        <f t="shared" si="36"/>
        <v>197</v>
      </c>
      <c r="M198" s="182" t="e">
        <f t="shared" si="37"/>
        <v>#N/A</v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>
        <f t="shared" si="36"/>
        <v>198</v>
      </c>
      <c r="M199" s="182" t="e">
        <f t="shared" si="37"/>
        <v>#N/A</v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>
        <f t="shared" si="36"/>
        <v>199</v>
      </c>
      <c r="M200" s="182" t="e">
        <f t="shared" si="37"/>
        <v>#N/A</v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>
        <f t="shared" si="36"/>
        <v>200</v>
      </c>
      <c r="M201" s="182" t="e">
        <f t="shared" si="37"/>
        <v>#N/A</v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>
        <f t="shared" si="36"/>
        <v>201</v>
      </c>
      <c r="M202" s="182" t="e">
        <f t="shared" si="37"/>
        <v>#N/A</v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>
        <f t="shared" si="36"/>
        <v>202</v>
      </c>
      <c r="M203" s="182" t="e">
        <f t="shared" si="37"/>
        <v>#N/A</v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>
        <f t="shared" si="36"/>
        <v>203</v>
      </c>
      <c r="M204" s="182" t="e">
        <f t="shared" si="37"/>
        <v>#N/A</v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>
        <f t="shared" si="36"/>
        <v>204</v>
      </c>
      <c r="M205" s="182" t="e">
        <f t="shared" si="37"/>
        <v>#N/A</v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>
        <f t="shared" si="36"/>
        <v>205</v>
      </c>
      <c r="M206" s="182" t="e">
        <f t="shared" si="37"/>
        <v>#N/A</v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>
        <f t="shared" si="36"/>
        <v>206</v>
      </c>
      <c r="M207" s="182" t="e">
        <f t="shared" si="37"/>
        <v>#N/A</v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>
        <f t="shared" si="36"/>
        <v>207</v>
      </c>
      <c r="M208" s="182" t="e">
        <f t="shared" si="37"/>
        <v>#N/A</v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>
        <f t="shared" si="36"/>
        <v>208</v>
      </c>
      <c r="M209" s="182" t="e">
        <f t="shared" si="37"/>
        <v>#N/A</v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>
        <f t="shared" si="36"/>
        <v>209</v>
      </c>
      <c r="M210" s="182" t="e">
        <f t="shared" si="37"/>
        <v>#N/A</v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>
        <f t="shared" si="36"/>
        <v>210</v>
      </c>
      <c r="M211" s="182" t="e">
        <f t="shared" si="37"/>
        <v>#N/A</v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>
        <f t="shared" si="36"/>
        <v>211</v>
      </c>
      <c r="M212" s="182" t="e">
        <f t="shared" si="37"/>
        <v>#N/A</v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>
        <f t="shared" si="36"/>
        <v>212</v>
      </c>
      <c r="M213" s="182" t="e">
        <f t="shared" si="37"/>
        <v>#N/A</v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>
        <f t="shared" si="36"/>
        <v>213</v>
      </c>
      <c r="M214" s="182" t="e">
        <f t="shared" si="37"/>
        <v>#N/A</v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>
        <f t="shared" si="36"/>
        <v>214</v>
      </c>
      <c r="M215" s="182" t="e">
        <f t="shared" si="37"/>
        <v>#N/A</v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>
        <f t="shared" si="36"/>
        <v>215</v>
      </c>
      <c r="M216" s="182" t="e">
        <f t="shared" si="37"/>
        <v>#N/A</v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>
        <f t="shared" si="36"/>
        <v>216</v>
      </c>
      <c r="M217" s="182" t="e">
        <f t="shared" si="37"/>
        <v>#N/A</v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>
        <f t="shared" si="36"/>
        <v>217</v>
      </c>
      <c r="M218" s="182" t="e">
        <f t="shared" si="37"/>
        <v>#N/A</v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>
        <f t="shared" si="36"/>
        <v>218</v>
      </c>
      <c r="M219" s="182" t="e">
        <f t="shared" si="37"/>
        <v>#N/A</v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>
        <f t="shared" si="36"/>
        <v>219</v>
      </c>
      <c r="M220" s="182" t="e">
        <f t="shared" si="37"/>
        <v>#N/A</v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>
        <f t="shared" si="36"/>
        <v>220</v>
      </c>
      <c r="M221" s="182" t="e">
        <f t="shared" si="37"/>
        <v>#N/A</v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>
        <f t="shared" si="36"/>
        <v>221</v>
      </c>
      <c r="M222" s="182" t="e">
        <f t="shared" si="37"/>
        <v>#N/A</v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>
        <f t="shared" si="36"/>
        <v>222</v>
      </c>
      <c r="M223" s="182" t="e">
        <f t="shared" si="37"/>
        <v>#N/A</v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>
        <f t="shared" si="36"/>
        <v>223</v>
      </c>
      <c r="M224" s="182" t="e">
        <f t="shared" si="37"/>
        <v>#N/A</v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>
        <f t="shared" si="36"/>
        <v>224</v>
      </c>
      <c r="M225" s="182" t="e">
        <f t="shared" si="37"/>
        <v>#N/A</v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>
        <f t="shared" si="36"/>
        <v>225</v>
      </c>
      <c r="M226" s="182" t="e">
        <f t="shared" si="37"/>
        <v>#N/A</v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>
        <f t="shared" si="36"/>
        <v>226</v>
      </c>
      <c r="M227" s="182" t="e">
        <f t="shared" si="37"/>
        <v>#N/A</v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>
        <f t="shared" si="36"/>
        <v>227</v>
      </c>
      <c r="M228" s="182" t="e">
        <f t="shared" si="37"/>
        <v>#N/A</v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>
        <f t="shared" si="36"/>
        <v>228</v>
      </c>
      <c r="M229" s="182" t="e">
        <f t="shared" si="37"/>
        <v>#N/A</v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>
        <f t="shared" si="36"/>
        <v>229</v>
      </c>
      <c r="M230" s="182" t="e">
        <f t="shared" si="37"/>
        <v>#N/A</v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>
        <f t="shared" si="36"/>
        <v>230</v>
      </c>
      <c r="M231" s="182" t="e">
        <f t="shared" si="37"/>
        <v>#N/A</v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>
        <f t="shared" si="36"/>
        <v>231</v>
      </c>
      <c r="M232" s="182" t="e">
        <f t="shared" si="37"/>
        <v>#N/A</v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>
        <f t="shared" si="36"/>
        <v>232</v>
      </c>
      <c r="M233" s="182" t="e">
        <f t="shared" si="37"/>
        <v>#N/A</v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>
        <f t="shared" si="36"/>
        <v>233</v>
      </c>
      <c r="M234" s="182" t="e">
        <f t="shared" si="37"/>
        <v>#N/A</v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>
        <f t="shared" si="36"/>
        <v>234</v>
      </c>
      <c r="M235" s="182" t="e">
        <f t="shared" si="37"/>
        <v>#N/A</v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>
        <f t="shared" si="36"/>
        <v>235</v>
      </c>
      <c r="M236" s="182" t="e">
        <f t="shared" si="37"/>
        <v>#N/A</v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>
        <f t="shared" si="36"/>
        <v>236</v>
      </c>
      <c r="M237" s="182" t="e">
        <f t="shared" si="37"/>
        <v>#N/A</v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>
        <f t="shared" si="36"/>
        <v>237</v>
      </c>
      <c r="M238" s="182" t="e">
        <f t="shared" si="37"/>
        <v>#N/A</v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>
        <f t="shared" si="36"/>
        <v>238</v>
      </c>
      <c r="M239" s="182" t="e">
        <f t="shared" si="37"/>
        <v>#N/A</v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>
        <f t="shared" si="36"/>
        <v>239</v>
      </c>
      <c r="M240" s="182" t="e">
        <f t="shared" si="37"/>
        <v>#N/A</v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>
        <f t="shared" si="36"/>
        <v>240</v>
      </c>
      <c r="M241" s="182" t="e">
        <f t="shared" si="37"/>
        <v>#N/A</v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>
        <f t="shared" si="36"/>
        <v>241</v>
      </c>
      <c r="M242" s="182" t="e">
        <f t="shared" si="37"/>
        <v>#N/A</v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>
        <f t="shared" si="36"/>
        <v>242</v>
      </c>
      <c r="M243" s="182" t="e">
        <f t="shared" si="37"/>
        <v>#N/A</v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>
        <f t="shared" si="36"/>
        <v>243</v>
      </c>
      <c r="M244" s="182" t="e">
        <f t="shared" si="37"/>
        <v>#N/A</v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>
        <f t="shared" si="36"/>
        <v>244</v>
      </c>
      <c r="M245" s="182" t="e">
        <f t="shared" si="37"/>
        <v>#N/A</v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>
        <f t="shared" si="36"/>
        <v>245</v>
      </c>
      <c r="M246" s="182" t="e">
        <f t="shared" si="37"/>
        <v>#N/A</v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>
        <f t="shared" si="36"/>
        <v>246</v>
      </c>
      <c r="M247" s="182" t="e">
        <f t="shared" si="37"/>
        <v>#N/A</v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>
        <f t="shared" si="36"/>
        <v>247</v>
      </c>
      <c r="M248" s="182" t="e">
        <f t="shared" si="37"/>
        <v>#N/A</v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>
        <f t="shared" si="36"/>
        <v>248</v>
      </c>
      <c r="M249" s="182" t="e">
        <f t="shared" si="37"/>
        <v>#N/A</v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>
        <f t="shared" si="36"/>
        <v>249</v>
      </c>
      <c r="M250" s="182" t="e">
        <f t="shared" si="37"/>
        <v>#N/A</v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>
        <f t="shared" si="36"/>
        <v>250</v>
      </c>
      <c r="M251" s="182" t="e">
        <f t="shared" si="37"/>
        <v>#N/A</v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>
        <f t="shared" si="36"/>
        <v>251</v>
      </c>
      <c r="M252" s="182" t="e">
        <f t="shared" si="37"/>
        <v>#N/A</v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>
        <f t="shared" si="36"/>
        <v>252</v>
      </c>
      <c r="M253" s="182" t="e">
        <f t="shared" si="37"/>
        <v>#N/A</v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>
        <f t="shared" si="36"/>
        <v>253</v>
      </c>
      <c r="M254" s="182" t="e">
        <f t="shared" si="37"/>
        <v>#N/A</v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>
        <f t="shared" si="36"/>
        <v>254</v>
      </c>
      <c r="M255" s="182" t="e">
        <f t="shared" si="37"/>
        <v>#N/A</v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>
        <f t="shared" si="36"/>
        <v>255</v>
      </c>
      <c r="M256" s="182" t="e">
        <f t="shared" si="37"/>
        <v>#N/A</v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>
        <f t="shared" si="36"/>
        <v>256</v>
      </c>
      <c r="M257" s="182" t="e">
        <f t="shared" si="37"/>
        <v>#N/A</v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>
        <f t="shared" si="36"/>
        <v>257</v>
      </c>
      <c r="M258" s="182" t="e">
        <f t="shared" si="37"/>
        <v>#N/A</v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>
        <f t="shared" ref="L259:L322" si="48">IF($B$13&gt;=K259,K259,"")</f>
        <v>258</v>
      </c>
      <c r="M259" s="182" t="e">
        <f t="shared" ref="M259:M322" si="49">IF(L259="","",IF(L259&lt;=$E$15,VLOOKUP($E$14,$I$1:$J$4,2,FALSE),VLOOKUP($F$14,$I$1:$J$4,2,FALSE)))</f>
        <v>#N/A</v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>
        <f t="shared" si="48"/>
        <v>259</v>
      </c>
      <c r="M260" s="182" t="e">
        <f t="shared" si="49"/>
        <v>#N/A</v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>
        <f t="shared" si="48"/>
        <v>260</v>
      </c>
      <c r="M261" s="182" t="e">
        <f t="shared" si="49"/>
        <v>#N/A</v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>
        <f t="shared" si="48"/>
        <v>261</v>
      </c>
      <c r="M262" s="182" t="e">
        <f t="shared" si="49"/>
        <v>#N/A</v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>
        <f t="shared" si="48"/>
        <v>262</v>
      </c>
      <c r="M263" s="182" t="e">
        <f t="shared" si="49"/>
        <v>#N/A</v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>
        <f t="shared" si="48"/>
        <v>263</v>
      </c>
      <c r="M264" s="182" t="e">
        <f t="shared" si="49"/>
        <v>#N/A</v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>
        <f t="shared" si="48"/>
        <v>264</v>
      </c>
      <c r="M265" s="182" t="e">
        <f t="shared" si="49"/>
        <v>#N/A</v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>
        <f t="shared" si="48"/>
        <v>265</v>
      </c>
      <c r="M266" s="182" t="e">
        <f t="shared" si="49"/>
        <v>#N/A</v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>
        <f t="shared" si="48"/>
        <v>266</v>
      </c>
      <c r="M267" s="182" t="e">
        <f t="shared" si="49"/>
        <v>#N/A</v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>
        <f t="shared" si="48"/>
        <v>267</v>
      </c>
      <c r="M268" s="182" t="e">
        <f t="shared" si="49"/>
        <v>#N/A</v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>
        <f t="shared" si="48"/>
        <v>268</v>
      </c>
      <c r="M269" s="182" t="e">
        <f t="shared" si="49"/>
        <v>#N/A</v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>
        <f t="shared" si="48"/>
        <v>269</v>
      </c>
      <c r="M270" s="182" t="e">
        <f t="shared" si="49"/>
        <v>#N/A</v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>
        <f t="shared" si="48"/>
        <v>270</v>
      </c>
      <c r="M271" s="182" t="e">
        <f t="shared" si="49"/>
        <v>#N/A</v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>
        <f t="shared" si="48"/>
        <v>271</v>
      </c>
      <c r="M272" s="182" t="e">
        <f t="shared" si="49"/>
        <v>#N/A</v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>
        <f t="shared" si="48"/>
        <v>272</v>
      </c>
      <c r="M273" s="182" t="e">
        <f t="shared" si="49"/>
        <v>#N/A</v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>
        <f t="shared" si="48"/>
        <v>273</v>
      </c>
      <c r="M274" s="182" t="e">
        <f t="shared" si="49"/>
        <v>#N/A</v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>
        <f t="shared" si="48"/>
        <v>274</v>
      </c>
      <c r="M275" s="182" t="e">
        <f t="shared" si="49"/>
        <v>#N/A</v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>
        <f t="shared" si="48"/>
        <v>275</v>
      </c>
      <c r="M276" s="182" t="e">
        <f t="shared" si="49"/>
        <v>#N/A</v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>
        <f t="shared" si="48"/>
        <v>276</v>
      </c>
      <c r="M277" s="182" t="e">
        <f t="shared" si="49"/>
        <v>#N/A</v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>
        <f t="shared" si="48"/>
        <v>277</v>
      </c>
      <c r="M278" s="182" t="e">
        <f t="shared" si="49"/>
        <v>#N/A</v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>
        <f t="shared" si="48"/>
        <v>278</v>
      </c>
      <c r="M279" s="182" t="e">
        <f t="shared" si="49"/>
        <v>#N/A</v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>
        <f t="shared" si="48"/>
        <v>279</v>
      </c>
      <c r="M280" s="182" t="e">
        <f t="shared" si="49"/>
        <v>#N/A</v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>
        <f t="shared" si="48"/>
        <v>280</v>
      </c>
      <c r="M281" s="182" t="e">
        <f t="shared" si="49"/>
        <v>#N/A</v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>
        <f t="shared" si="48"/>
        <v>281</v>
      </c>
      <c r="M282" s="182" t="e">
        <f t="shared" si="49"/>
        <v>#N/A</v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>
        <f t="shared" si="48"/>
        <v>282</v>
      </c>
      <c r="M283" s="182" t="e">
        <f t="shared" si="49"/>
        <v>#N/A</v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>
        <f t="shared" si="48"/>
        <v>283</v>
      </c>
      <c r="M284" s="182" t="e">
        <f t="shared" si="49"/>
        <v>#N/A</v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>
        <f t="shared" si="48"/>
        <v>284</v>
      </c>
      <c r="M285" s="182" t="e">
        <f t="shared" si="49"/>
        <v>#N/A</v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>
        <f t="shared" si="48"/>
        <v>285</v>
      </c>
      <c r="M286" s="182" t="e">
        <f t="shared" si="49"/>
        <v>#N/A</v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>
        <f t="shared" si="48"/>
        <v>286</v>
      </c>
      <c r="M287" s="182" t="e">
        <f t="shared" si="49"/>
        <v>#N/A</v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>
        <f t="shared" si="48"/>
        <v>287</v>
      </c>
      <c r="M288" s="182" t="e">
        <f t="shared" si="49"/>
        <v>#N/A</v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>
        <f t="shared" si="48"/>
        <v>288</v>
      </c>
      <c r="M289" s="182" t="e">
        <f t="shared" si="49"/>
        <v>#N/A</v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>
        <f t="shared" si="48"/>
        <v>289</v>
      </c>
      <c r="M290" s="182" t="e">
        <f t="shared" si="49"/>
        <v>#N/A</v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>
        <f t="shared" si="48"/>
        <v>290</v>
      </c>
      <c r="M291" s="182" t="e">
        <f t="shared" si="49"/>
        <v>#N/A</v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>
        <f t="shared" si="48"/>
        <v>291</v>
      </c>
      <c r="M292" s="182" t="e">
        <f t="shared" si="49"/>
        <v>#N/A</v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>
        <f t="shared" si="48"/>
        <v>292</v>
      </c>
      <c r="M293" s="182" t="e">
        <f t="shared" si="49"/>
        <v>#N/A</v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>
        <f t="shared" si="48"/>
        <v>293</v>
      </c>
      <c r="M294" s="182" t="e">
        <f t="shared" si="49"/>
        <v>#N/A</v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>
        <f t="shared" si="48"/>
        <v>294</v>
      </c>
      <c r="M295" s="182" t="e">
        <f t="shared" si="49"/>
        <v>#N/A</v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>
        <f t="shared" si="48"/>
        <v>295</v>
      </c>
      <c r="M296" s="182" t="e">
        <f t="shared" si="49"/>
        <v>#N/A</v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>
        <f t="shared" si="48"/>
        <v>296</v>
      </c>
      <c r="M297" s="182" t="e">
        <f t="shared" si="49"/>
        <v>#N/A</v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>
        <f t="shared" si="48"/>
        <v>297</v>
      </c>
      <c r="M298" s="182" t="e">
        <f t="shared" si="49"/>
        <v>#N/A</v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>
        <f t="shared" si="48"/>
        <v>298</v>
      </c>
      <c r="M299" s="182" t="e">
        <f t="shared" si="49"/>
        <v>#N/A</v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>
        <f t="shared" si="48"/>
        <v>299</v>
      </c>
      <c r="M300" s="182" t="e">
        <f t="shared" si="49"/>
        <v>#N/A</v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>
        <f t="shared" si="48"/>
        <v>300</v>
      </c>
      <c r="M301" s="182" t="e">
        <f t="shared" si="49"/>
        <v>#N/A</v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>
        <f t="shared" si="48"/>
        <v>301</v>
      </c>
      <c r="M302" s="182" t="e">
        <f t="shared" si="49"/>
        <v>#N/A</v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>
        <f t="shared" si="48"/>
        <v>302</v>
      </c>
      <c r="M303" s="182" t="e">
        <f t="shared" si="49"/>
        <v>#N/A</v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>
        <f t="shared" si="48"/>
        <v>303</v>
      </c>
      <c r="M304" s="182" t="e">
        <f t="shared" si="49"/>
        <v>#N/A</v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>
        <f t="shared" si="48"/>
        <v>304</v>
      </c>
      <c r="M305" s="182" t="e">
        <f t="shared" si="49"/>
        <v>#N/A</v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>
        <f t="shared" si="48"/>
        <v>305</v>
      </c>
      <c r="M306" s="182" t="e">
        <f t="shared" si="49"/>
        <v>#N/A</v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>
        <f t="shared" si="48"/>
        <v>306</v>
      </c>
      <c r="M307" s="182" t="e">
        <f t="shared" si="49"/>
        <v>#N/A</v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>
        <f t="shared" si="48"/>
        <v>307</v>
      </c>
      <c r="M308" s="182" t="e">
        <f t="shared" si="49"/>
        <v>#N/A</v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>
        <f t="shared" si="48"/>
        <v>308</v>
      </c>
      <c r="M309" s="182" t="e">
        <f t="shared" si="49"/>
        <v>#N/A</v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>
        <f t="shared" si="48"/>
        <v>309</v>
      </c>
      <c r="M310" s="182" t="e">
        <f t="shared" si="49"/>
        <v>#N/A</v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>
        <f t="shared" si="48"/>
        <v>310</v>
      </c>
      <c r="M311" s="182" t="e">
        <f t="shared" si="49"/>
        <v>#N/A</v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>
        <f t="shared" si="48"/>
        <v>311</v>
      </c>
      <c r="M312" s="182" t="e">
        <f t="shared" si="49"/>
        <v>#N/A</v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>
        <f t="shared" si="48"/>
        <v>312</v>
      </c>
      <c r="M313" s="182" t="e">
        <f t="shared" si="49"/>
        <v>#N/A</v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>
        <f t="shared" si="48"/>
        <v>313</v>
      </c>
      <c r="M314" s="182" t="e">
        <f t="shared" si="49"/>
        <v>#N/A</v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>
        <f t="shared" si="48"/>
        <v>314</v>
      </c>
      <c r="M315" s="182" t="e">
        <f t="shared" si="49"/>
        <v>#N/A</v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>
        <f t="shared" si="48"/>
        <v>315</v>
      </c>
      <c r="M316" s="182" t="e">
        <f t="shared" si="49"/>
        <v>#N/A</v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>
        <f t="shared" si="48"/>
        <v>316</v>
      </c>
      <c r="M317" s="182" t="e">
        <f t="shared" si="49"/>
        <v>#N/A</v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>
        <f t="shared" si="48"/>
        <v>317</v>
      </c>
      <c r="M318" s="182" t="e">
        <f t="shared" si="49"/>
        <v>#N/A</v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>
        <f t="shared" si="48"/>
        <v>318</v>
      </c>
      <c r="M319" s="182" t="e">
        <f t="shared" si="49"/>
        <v>#N/A</v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>
        <f t="shared" si="48"/>
        <v>319</v>
      </c>
      <c r="M320" s="182" t="e">
        <f t="shared" si="49"/>
        <v>#N/A</v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>
        <f t="shared" si="48"/>
        <v>320</v>
      </c>
      <c r="M321" s="182" t="e">
        <f t="shared" si="49"/>
        <v>#N/A</v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>
        <f t="shared" si="48"/>
        <v>321</v>
      </c>
      <c r="M322" s="182" t="e">
        <f t="shared" si="49"/>
        <v>#N/A</v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>
        <f t="shared" ref="L323:L386" si="60">IF($B$13&gt;=K323,K323,"")</f>
        <v>322</v>
      </c>
      <c r="M323" s="182" t="e">
        <f t="shared" ref="M323:M386" si="61">IF(L323="","",IF(L323&lt;=$E$15,VLOOKUP($E$14,$I$1:$J$4,2,FALSE),VLOOKUP($F$14,$I$1:$J$4,2,FALSE)))</f>
        <v>#N/A</v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>
        <f t="shared" si="60"/>
        <v>323</v>
      </c>
      <c r="M324" s="182" t="e">
        <f t="shared" si="61"/>
        <v>#N/A</v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>
        <f t="shared" si="60"/>
        <v>324</v>
      </c>
      <c r="M325" s="182" t="e">
        <f t="shared" si="61"/>
        <v>#N/A</v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>
        <f t="shared" si="60"/>
        <v>325</v>
      </c>
      <c r="M326" s="182" t="e">
        <f t="shared" si="61"/>
        <v>#N/A</v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>
        <f t="shared" si="60"/>
        <v>326</v>
      </c>
      <c r="M327" s="182" t="e">
        <f t="shared" si="61"/>
        <v>#N/A</v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>
        <f t="shared" si="60"/>
        <v>327</v>
      </c>
      <c r="M328" s="182" t="e">
        <f t="shared" si="61"/>
        <v>#N/A</v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>
        <f t="shared" si="60"/>
        <v>328</v>
      </c>
      <c r="M329" s="182" t="e">
        <f t="shared" si="61"/>
        <v>#N/A</v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>
        <f t="shared" si="60"/>
        <v>329</v>
      </c>
      <c r="M330" s="182" t="e">
        <f t="shared" si="61"/>
        <v>#N/A</v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>
        <f t="shared" si="60"/>
        <v>330</v>
      </c>
      <c r="M331" s="182" t="e">
        <f t="shared" si="61"/>
        <v>#N/A</v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>
        <f t="shared" si="60"/>
        <v>331</v>
      </c>
      <c r="M332" s="182" t="e">
        <f t="shared" si="61"/>
        <v>#N/A</v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>
        <f t="shared" si="60"/>
        <v>332</v>
      </c>
      <c r="M333" s="182" t="e">
        <f t="shared" si="61"/>
        <v>#N/A</v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>
        <f t="shared" si="60"/>
        <v>333</v>
      </c>
      <c r="M334" s="182" t="e">
        <f t="shared" si="61"/>
        <v>#N/A</v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>
        <f t="shared" si="60"/>
        <v>334</v>
      </c>
      <c r="M335" s="182" t="e">
        <f t="shared" si="61"/>
        <v>#N/A</v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>
        <f t="shared" si="60"/>
        <v>335</v>
      </c>
      <c r="M336" s="182" t="e">
        <f t="shared" si="61"/>
        <v>#N/A</v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>
        <f t="shared" si="60"/>
        <v>336</v>
      </c>
      <c r="M337" s="182" t="e">
        <f t="shared" si="61"/>
        <v>#N/A</v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>
        <f t="shared" si="60"/>
        <v>337</v>
      </c>
      <c r="M338" s="182" t="e">
        <f t="shared" si="61"/>
        <v>#N/A</v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>
        <f t="shared" si="60"/>
        <v>338</v>
      </c>
      <c r="M339" s="182" t="e">
        <f t="shared" si="61"/>
        <v>#N/A</v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>
        <f t="shared" si="60"/>
        <v>339</v>
      </c>
      <c r="M340" s="182" t="e">
        <f t="shared" si="61"/>
        <v>#N/A</v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>
        <f t="shared" si="60"/>
        <v>340</v>
      </c>
      <c r="M341" s="182" t="e">
        <f t="shared" si="61"/>
        <v>#N/A</v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>
        <f t="shared" si="60"/>
        <v>341</v>
      </c>
      <c r="M342" s="182" t="e">
        <f t="shared" si="61"/>
        <v>#N/A</v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>
        <f t="shared" si="60"/>
        <v>342</v>
      </c>
      <c r="M343" s="182" t="e">
        <f t="shared" si="61"/>
        <v>#N/A</v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>
        <f t="shared" si="60"/>
        <v>343</v>
      </c>
      <c r="M344" s="182" t="e">
        <f t="shared" si="61"/>
        <v>#N/A</v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>
        <f t="shared" si="60"/>
        <v>344</v>
      </c>
      <c r="M345" s="182" t="e">
        <f t="shared" si="61"/>
        <v>#N/A</v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>
        <f t="shared" si="60"/>
        <v>345</v>
      </c>
      <c r="M346" s="182" t="e">
        <f t="shared" si="61"/>
        <v>#N/A</v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>
        <f t="shared" si="60"/>
        <v>346</v>
      </c>
      <c r="M347" s="182" t="e">
        <f t="shared" si="61"/>
        <v>#N/A</v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>
        <f t="shared" si="60"/>
        <v>347</v>
      </c>
      <c r="M348" s="182" t="e">
        <f t="shared" si="61"/>
        <v>#N/A</v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>
        <f t="shared" si="60"/>
        <v>348</v>
      </c>
      <c r="M349" s="182" t="e">
        <f t="shared" si="61"/>
        <v>#N/A</v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>
        <f t="shared" si="60"/>
        <v>349</v>
      </c>
      <c r="M350" s="182" t="e">
        <f t="shared" si="61"/>
        <v>#N/A</v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>
        <f t="shared" si="60"/>
        <v>350</v>
      </c>
      <c r="M351" s="182" t="e">
        <f t="shared" si="61"/>
        <v>#N/A</v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>
        <f t="shared" si="60"/>
        <v>351</v>
      </c>
      <c r="M352" s="182" t="e">
        <f t="shared" si="61"/>
        <v>#N/A</v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>
        <f t="shared" si="60"/>
        <v>352</v>
      </c>
      <c r="M353" s="182" t="e">
        <f t="shared" si="61"/>
        <v>#N/A</v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>
        <f t="shared" si="60"/>
        <v>353</v>
      </c>
      <c r="M354" s="182" t="e">
        <f t="shared" si="61"/>
        <v>#N/A</v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>
        <f t="shared" si="60"/>
        <v>354</v>
      </c>
      <c r="M355" s="182" t="e">
        <f t="shared" si="61"/>
        <v>#N/A</v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>
        <f t="shared" si="60"/>
        <v>355</v>
      </c>
      <c r="M356" s="182" t="e">
        <f t="shared" si="61"/>
        <v>#N/A</v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>
        <f t="shared" si="60"/>
        <v>356</v>
      </c>
      <c r="M357" s="182" t="e">
        <f t="shared" si="61"/>
        <v>#N/A</v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>
        <f t="shared" si="60"/>
        <v>357</v>
      </c>
      <c r="M358" s="182" t="e">
        <f t="shared" si="61"/>
        <v>#N/A</v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>
        <f t="shared" si="60"/>
        <v>358</v>
      </c>
      <c r="M359" s="182" t="e">
        <f t="shared" si="61"/>
        <v>#N/A</v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>
        <f t="shared" si="60"/>
        <v>359</v>
      </c>
      <c r="M360" s="182" t="e">
        <f t="shared" si="61"/>
        <v>#N/A</v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>
        <f t="shared" si="60"/>
        <v>360</v>
      </c>
      <c r="M361" s="182" t="e">
        <f t="shared" si="61"/>
        <v>#N/A</v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>
        <f t="shared" si="60"/>
        <v>361</v>
      </c>
      <c r="M362" s="182" t="e">
        <f t="shared" si="61"/>
        <v>#N/A</v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>
        <f t="shared" si="60"/>
        <v>362</v>
      </c>
      <c r="M363" s="182" t="e">
        <f t="shared" si="61"/>
        <v>#N/A</v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>
        <f t="shared" si="60"/>
        <v>363</v>
      </c>
      <c r="M364" s="182" t="e">
        <f t="shared" si="61"/>
        <v>#N/A</v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>
        <f t="shared" si="60"/>
        <v>364</v>
      </c>
      <c r="M365" s="182" t="e">
        <f t="shared" si="61"/>
        <v>#N/A</v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>
        <f t="shared" si="60"/>
        <v>365</v>
      </c>
      <c r="M366" s="182" t="e">
        <f t="shared" si="61"/>
        <v>#N/A</v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>
        <f t="shared" si="60"/>
        <v>366</v>
      </c>
      <c r="M367" s="182" t="e">
        <f t="shared" si="61"/>
        <v>#N/A</v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>
        <f t="shared" si="60"/>
        <v>367</v>
      </c>
      <c r="M368" s="182" t="e">
        <f t="shared" si="61"/>
        <v>#N/A</v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>
        <f t="shared" si="60"/>
        <v>368</v>
      </c>
      <c r="M369" s="182" t="e">
        <f t="shared" si="61"/>
        <v>#N/A</v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>
        <f t="shared" si="60"/>
        <v>369</v>
      </c>
      <c r="M370" s="182" t="e">
        <f t="shared" si="61"/>
        <v>#N/A</v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>
        <f t="shared" si="60"/>
        <v>370</v>
      </c>
      <c r="M371" s="182" t="e">
        <f t="shared" si="61"/>
        <v>#N/A</v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>
        <f t="shared" si="60"/>
        <v>371</v>
      </c>
      <c r="M372" s="182" t="e">
        <f t="shared" si="61"/>
        <v>#N/A</v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>
        <f t="shared" si="60"/>
        <v>372</v>
      </c>
      <c r="M373" s="182" t="e">
        <f t="shared" si="61"/>
        <v>#N/A</v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>
        <f t="shared" si="60"/>
        <v>373</v>
      </c>
      <c r="M374" s="182" t="e">
        <f t="shared" si="61"/>
        <v>#N/A</v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>
        <f t="shared" si="60"/>
        <v>374</v>
      </c>
      <c r="M375" s="182" t="e">
        <f t="shared" si="61"/>
        <v>#N/A</v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>
        <f t="shared" si="60"/>
        <v>375</v>
      </c>
      <c r="M376" s="182" t="e">
        <f t="shared" si="61"/>
        <v>#N/A</v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>
        <f t="shared" si="60"/>
        <v>376</v>
      </c>
      <c r="M377" s="182" t="e">
        <f t="shared" si="61"/>
        <v>#N/A</v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>
        <f t="shared" si="60"/>
        <v>377</v>
      </c>
      <c r="M378" s="182" t="e">
        <f t="shared" si="61"/>
        <v>#N/A</v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>
        <f t="shared" si="60"/>
        <v>378</v>
      </c>
      <c r="M379" s="182" t="e">
        <f t="shared" si="61"/>
        <v>#N/A</v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>
        <f t="shared" si="60"/>
        <v>379</v>
      </c>
      <c r="M380" s="182" t="e">
        <f t="shared" si="61"/>
        <v>#N/A</v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>
        <f t="shared" si="60"/>
        <v>380</v>
      </c>
      <c r="M381" s="182" t="e">
        <f t="shared" si="61"/>
        <v>#N/A</v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>
        <f t="shared" si="60"/>
        <v>381</v>
      </c>
      <c r="M382" s="182" t="e">
        <f t="shared" si="61"/>
        <v>#N/A</v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>
        <f t="shared" si="60"/>
        <v>382</v>
      </c>
      <c r="M383" s="182" t="e">
        <f t="shared" si="61"/>
        <v>#N/A</v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>
        <f t="shared" si="60"/>
        <v>383</v>
      </c>
      <c r="M384" s="182" t="e">
        <f t="shared" si="61"/>
        <v>#N/A</v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>
        <f t="shared" si="60"/>
        <v>384</v>
      </c>
      <c r="M385" s="182" t="e">
        <f t="shared" si="61"/>
        <v>#N/A</v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>
        <f t="shared" si="60"/>
        <v>385</v>
      </c>
      <c r="M386" s="182" t="e">
        <f t="shared" si="61"/>
        <v>#N/A</v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>
        <f t="shared" ref="L387:L450" si="72">IF($B$13&gt;=K387,K387,"")</f>
        <v>386</v>
      </c>
      <c r="M387" s="182" t="e">
        <f t="shared" ref="M387:M450" si="73">IF(L387="","",IF(L387&lt;=$E$15,VLOOKUP($E$14,$I$1:$J$4,2,FALSE),VLOOKUP($F$14,$I$1:$J$4,2,FALSE)))</f>
        <v>#N/A</v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>
        <f t="shared" si="72"/>
        <v>387</v>
      </c>
      <c r="M388" s="182" t="e">
        <f t="shared" si="73"/>
        <v>#N/A</v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>
        <f t="shared" si="72"/>
        <v>388</v>
      </c>
      <c r="M389" s="182" t="e">
        <f t="shared" si="73"/>
        <v>#N/A</v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>
        <f t="shared" si="72"/>
        <v>389</v>
      </c>
      <c r="M390" s="182" t="e">
        <f t="shared" si="73"/>
        <v>#N/A</v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>
        <f t="shared" si="72"/>
        <v>390</v>
      </c>
      <c r="M391" s="182" t="e">
        <f t="shared" si="73"/>
        <v>#N/A</v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>
        <f t="shared" si="72"/>
        <v>391</v>
      </c>
      <c r="M392" s="182" t="e">
        <f t="shared" si="73"/>
        <v>#N/A</v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>
        <f t="shared" si="72"/>
        <v>392</v>
      </c>
      <c r="M393" s="182" t="e">
        <f t="shared" si="73"/>
        <v>#N/A</v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>
        <f t="shared" si="72"/>
        <v>393</v>
      </c>
      <c r="M394" s="182" t="e">
        <f t="shared" si="73"/>
        <v>#N/A</v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>
        <f t="shared" si="72"/>
        <v>394</v>
      </c>
      <c r="M395" s="182" t="e">
        <f t="shared" si="73"/>
        <v>#N/A</v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>
        <f t="shared" si="72"/>
        <v>395</v>
      </c>
      <c r="M396" s="182" t="e">
        <f t="shared" si="73"/>
        <v>#N/A</v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>
        <f t="shared" si="72"/>
        <v>396</v>
      </c>
      <c r="M397" s="182" t="e">
        <f t="shared" si="73"/>
        <v>#N/A</v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>
        <f t="shared" si="72"/>
        <v>397</v>
      </c>
      <c r="M398" s="182" t="e">
        <f t="shared" si="73"/>
        <v>#N/A</v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>
        <f t="shared" si="72"/>
        <v>398</v>
      </c>
      <c r="M399" s="182" t="e">
        <f t="shared" si="73"/>
        <v>#N/A</v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>
        <f t="shared" si="72"/>
        <v>399</v>
      </c>
      <c r="M400" s="182" t="e">
        <f t="shared" si="73"/>
        <v>#N/A</v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>
        <f t="shared" si="72"/>
        <v>400</v>
      </c>
      <c r="M401" s="182" t="e">
        <f t="shared" si="73"/>
        <v>#N/A</v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>
        <f t="shared" si="72"/>
        <v>401</v>
      </c>
      <c r="M402" s="182" t="e">
        <f t="shared" si="73"/>
        <v>#N/A</v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>
        <f t="shared" si="72"/>
        <v>402</v>
      </c>
      <c r="M403" s="182" t="e">
        <f t="shared" si="73"/>
        <v>#N/A</v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>
        <f t="shared" si="72"/>
        <v>403</v>
      </c>
      <c r="M404" s="182" t="e">
        <f t="shared" si="73"/>
        <v>#N/A</v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>
        <f t="shared" si="72"/>
        <v>404</v>
      </c>
      <c r="M405" s="182" t="e">
        <f t="shared" si="73"/>
        <v>#N/A</v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>
        <f t="shared" si="72"/>
        <v>405</v>
      </c>
      <c r="M406" s="182" t="e">
        <f t="shared" si="73"/>
        <v>#N/A</v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>
        <f t="shared" si="72"/>
        <v>406</v>
      </c>
      <c r="M407" s="182" t="e">
        <f t="shared" si="73"/>
        <v>#N/A</v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>
        <f t="shared" si="72"/>
        <v>407</v>
      </c>
      <c r="M408" s="182" t="e">
        <f t="shared" si="73"/>
        <v>#N/A</v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>
        <f t="shared" si="72"/>
        <v>408</v>
      </c>
      <c r="M409" s="182" t="e">
        <f t="shared" si="73"/>
        <v>#N/A</v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>
        <f t="shared" si="72"/>
        <v>409</v>
      </c>
      <c r="M410" s="182" t="e">
        <f t="shared" si="73"/>
        <v>#N/A</v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>
        <f t="shared" si="72"/>
        <v>410</v>
      </c>
      <c r="M411" s="182" t="e">
        <f t="shared" si="73"/>
        <v>#N/A</v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>
        <f t="shared" si="72"/>
        <v>411</v>
      </c>
      <c r="M412" s="182" t="e">
        <f t="shared" si="73"/>
        <v>#N/A</v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>
        <f t="shared" si="72"/>
        <v>412</v>
      </c>
      <c r="M413" s="182" t="e">
        <f t="shared" si="73"/>
        <v>#N/A</v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>
        <f t="shared" si="72"/>
        <v>413</v>
      </c>
      <c r="M414" s="182" t="e">
        <f t="shared" si="73"/>
        <v>#N/A</v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>
        <f t="shared" si="72"/>
        <v>414</v>
      </c>
      <c r="M415" s="182" t="e">
        <f t="shared" si="73"/>
        <v>#N/A</v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>
        <f t="shared" si="72"/>
        <v>415</v>
      </c>
      <c r="M416" s="182" t="e">
        <f t="shared" si="73"/>
        <v>#N/A</v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>
        <f t="shared" si="72"/>
        <v>416</v>
      </c>
      <c r="M417" s="182" t="e">
        <f t="shared" si="73"/>
        <v>#N/A</v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>
        <f t="shared" si="72"/>
        <v>417</v>
      </c>
      <c r="M418" s="182" t="e">
        <f t="shared" si="73"/>
        <v>#N/A</v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>
        <f t="shared" si="72"/>
        <v>418</v>
      </c>
      <c r="M419" s="182" t="e">
        <f t="shared" si="73"/>
        <v>#N/A</v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>
        <f t="shared" si="72"/>
        <v>419</v>
      </c>
      <c r="M420" s="182" t="e">
        <f t="shared" si="73"/>
        <v>#N/A</v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>
        <f t="shared" si="72"/>
        <v>420</v>
      </c>
      <c r="M421" s="182" t="e">
        <f t="shared" si="73"/>
        <v>#N/A</v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>
        <f t="shared" si="72"/>
        <v>421</v>
      </c>
      <c r="M422" s="182" t="e">
        <f t="shared" si="73"/>
        <v>#N/A</v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>
        <f t="shared" si="72"/>
        <v>422</v>
      </c>
      <c r="M423" s="182" t="e">
        <f t="shared" si="73"/>
        <v>#N/A</v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>
        <f t="shared" si="72"/>
        <v>423</v>
      </c>
      <c r="M424" s="182" t="e">
        <f t="shared" si="73"/>
        <v>#N/A</v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>
        <f t="shared" si="72"/>
        <v>424</v>
      </c>
      <c r="M425" s="182" t="e">
        <f t="shared" si="73"/>
        <v>#N/A</v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>
        <f t="shared" si="72"/>
        <v>425</v>
      </c>
      <c r="M426" s="182" t="e">
        <f t="shared" si="73"/>
        <v>#N/A</v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>
        <f t="shared" si="72"/>
        <v>426</v>
      </c>
      <c r="M427" s="182" t="e">
        <f t="shared" si="73"/>
        <v>#N/A</v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>
        <f t="shared" si="72"/>
        <v>427</v>
      </c>
      <c r="M428" s="182" t="e">
        <f t="shared" si="73"/>
        <v>#N/A</v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>
        <f t="shared" si="72"/>
        <v>428</v>
      </c>
      <c r="M429" s="182" t="e">
        <f t="shared" si="73"/>
        <v>#N/A</v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>
        <f t="shared" si="72"/>
        <v>429</v>
      </c>
      <c r="M430" s="182" t="e">
        <f t="shared" si="73"/>
        <v>#N/A</v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>
        <f t="shared" si="72"/>
        <v>430</v>
      </c>
      <c r="M431" s="182" t="e">
        <f t="shared" si="73"/>
        <v>#N/A</v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>
        <f t="shared" si="72"/>
        <v>431</v>
      </c>
      <c r="M432" s="182" t="e">
        <f t="shared" si="73"/>
        <v>#N/A</v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>
        <f t="shared" si="72"/>
        <v>432</v>
      </c>
      <c r="M433" s="182" t="e">
        <f t="shared" si="73"/>
        <v>#N/A</v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>
        <f t="shared" si="72"/>
        <v>433</v>
      </c>
      <c r="M434" s="182" t="e">
        <f t="shared" si="73"/>
        <v>#N/A</v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>
        <f t="shared" si="72"/>
        <v>434</v>
      </c>
      <c r="M435" s="182" t="e">
        <f t="shared" si="73"/>
        <v>#N/A</v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>
        <f t="shared" si="72"/>
        <v>435</v>
      </c>
      <c r="M436" s="182" t="e">
        <f t="shared" si="73"/>
        <v>#N/A</v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>
        <f t="shared" si="72"/>
        <v>436</v>
      </c>
      <c r="M437" s="182" t="e">
        <f t="shared" si="73"/>
        <v>#N/A</v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>
        <f t="shared" si="72"/>
        <v>437</v>
      </c>
      <c r="M438" s="182" t="e">
        <f t="shared" si="73"/>
        <v>#N/A</v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>
        <f t="shared" si="72"/>
        <v>438</v>
      </c>
      <c r="M439" s="182" t="e">
        <f t="shared" si="73"/>
        <v>#N/A</v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>
        <f t="shared" si="72"/>
        <v>439</v>
      </c>
      <c r="M440" s="182" t="e">
        <f t="shared" si="73"/>
        <v>#N/A</v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>
        <f t="shared" si="72"/>
        <v>440</v>
      </c>
      <c r="M441" s="182" t="e">
        <f t="shared" si="73"/>
        <v>#N/A</v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>
        <f t="shared" si="72"/>
        <v>441</v>
      </c>
      <c r="M442" s="182" t="e">
        <f t="shared" si="73"/>
        <v>#N/A</v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>
        <f t="shared" si="72"/>
        <v>442</v>
      </c>
      <c r="M443" s="182" t="e">
        <f t="shared" si="73"/>
        <v>#N/A</v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>
        <f t="shared" si="72"/>
        <v>443</v>
      </c>
      <c r="M444" s="182" t="e">
        <f t="shared" si="73"/>
        <v>#N/A</v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>
        <f t="shared" si="72"/>
        <v>444</v>
      </c>
      <c r="M445" s="182" t="e">
        <f t="shared" si="73"/>
        <v>#N/A</v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>
        <f t="shared" si="72"/>
        <v>445</v>
      </c>
      <c r="M446" s="182" t="e">
        <f t="shared" si="73"/>
        <v>#N/A</v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>
        <f t="shared" si="72"/>
        <v>446</v>
      </c>
      <c r="M447" s="182" t="e">
        <f t="shared" si="73"/>
        <v>#N/A</v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>
        <f t="shared" si="72"/>
        <v>447</v>
      </c>
      <c r="M448" s="182" t="e">
        <f t="shared" si="73"/>
        <v>#N/A</v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>
        <f t="shared" si="72"/>
        <v>448</v>
      </c>
      <c r="M449" s="182" t="e">
        <f t="shared" si="73"/>
        <v>#N/A</v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>
        <f t="shared" si="72"/>
        <v>449</v>
      </c>
      <c r="M450" s="182" t="e">
        <f t="shared" si="73"/>
        <v>#N/A</v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>
        <f t="shared" ref="L451:L514" si="84">IF($B$13&gt;=K451,K451,"")</f>
        <v>450</v>
      </c>
      <c r="M451" s="182" t="e">
        <f t="shared" ref="M451:M514" si="85">IF(L451="","",IF(L451&lt;=$E$15,VLOOKUP($E$14,$I$1:$J$4,2,FALSE),VLOOKUP($F$14,$I$1:$J$4,2,FALSE)))</f>
        <v>#N/A</v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>
        <f t="shared" si="84"/>
        <v>451</v>
      </c>
      <c r="M452" s="182" t="e">
        <f t="shared" si="85"/>
        <v>#N/A</v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>
        <f t="shared" si="84"/>
        <v>452</v>
      </c>
      <c r="M453" s="182" t="e">
        <f t="shared" si="85"/>
        <v>#N/A</v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>
        <f t="shared" si="84"/>
        <v>453</v>
      </c>
      <c r="M454" s="182" t="e">
        <f t="shared" si="85"/>
        <v>#N/A</v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>
        <f t="shared" si="84"/>
        <v>454</v>
      </c>
      <c r="M455" s="182" t="e">
        <f t="shared" si="85"/>
        <v>#N/A</v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>
        <f t="shared" si="84"/>
        <v>455</v>
      </c>
      <c r="M456" s="182" t="e">
        <f t="shared" si="85"/>
        <v>#N/A</v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>
        <f t="shared" si="84"/>
        <v>456</v>
      </c>
      <c r="M457" s="182" t="e">
        <f t="shared" si="85"/>
        <v>#N/A</v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>
        <f t="shared" si="84"/>
        <v>457</v>
      </c>
      <c r="M458" s="182" t="e">
        <f t="shared" si="85"/>
        <v>#N/A</v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>
        <f t="shared" si="84"/>
        <v>458</v>
      </c>
      <c r="M459" s="182" t="e">
        <f t="shared" si="85"/>
        <v>#N/A</v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>
        <f t="shared" si="84"/>
        <v>459</v>
      </c>
      <c r="M460" s="182" t="e">
        <f t="shared" si="85"/>
        <v>#N/A</v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>
        <f t="shared" si="84"/>
        <v>460</v>
      </c>
      <c r="M461" s="182" t="e">
        <f t="shared" si="85"/>
        <v>#N/A</v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>
        <f t="shared" si="84"/>
        <v>461</v>
      </c>
      <c r="M462" s="182" t="e">
        <f t="shared" si="85"/>
        <v>#N/A</v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>
        <f t="shared" si="84"/>
        <v>462</v>
      </c>
      <c r="M463" s="182" t="e">
        <f t="shared" si="85"/>
        <v>#N/A</v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>
        <f t="shared" si="84"/>
        <v>463</v>
      </c>
      <c r="M464" s="182" t="e">
        <f t="shared" si="85"/>
        <v>#N/A</v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>
        <f t="shared" si="84"/>
        <v>464</v>
      </c>
      <c r="M465" s="182" t="e">
        <f t="shared" si="85"/>
        <v>#N/A</v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>
        <f t="shared" si="84"/>
        <v>465</v>
      </c>
      <c r="M466" s="182" t="e">
        <f t="shared" si="85"/>
        <v>#N/A</v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>
        <f t="shared" si="84"/>
        <v>466</v>
      </c>
      <c r="M467" s="182" t="e">
        <f t="shared" si="85"/>
        <v>#N/A</v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>
        <f t="shared" si="84"/>
        <v>467</v>
      </c>
      <c r="M468" s="182" t="e">
        <f t="shared" si="85"/>
        <v>#N/A</v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>
        <f t="shared" si="84"/>
        <v>468</v>
      </c>
      <c r="M469" s="182" t="e">
        <f t="shared" si="85"/>
        <v>#N/A</v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>
        <f t="shared" si="84"/>
        <v>469</v>
      </c>
      <c r="M470" s="182" t="e">
        <f t="shared" si="85"/>
        <v>#N/A</v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>
        <f t="shared" si="84"/>
        <v>470</v>
      </c>
      <c r="M471" s="182" t="e">
        <f t="shared" si="85"/>
        <v>#N/A</v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>
        <f t="shared" si="84"/>
        <v>471</v>
      </c>
      <c r="M472" s="182" t="e">
        <f t="shared" si="85"/>
        <v>#N/A</v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>
        <f t="shared" si="84"/>
        <v>472</v>
      </c>
      <c r="M473" s="182" t="e">
        <f t="shared" si="85"/>
        <v>#N/A</v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>
        <f t="shared" si="84"/>
        <v>473</v>
      </c>
      <c r="M474" s="182" t="e">
        <f t="shared" si="85"/>
        <v>#N/A</v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>
        <f t="shared" si="84"/>
        <v>474</v>
      </c>
      <c r="M475" s="182" t="e">
        <f t="shared" si="85"/>
        <v>#N/A</v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>
        <f t="shared" si="84"/>
        <v>475</v>
      </c>
      <c r="M476" s="182" t="e">
        <f t="shared" si="85"/>
        <v>#N/A</v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>
        <f t="shared" si="84"/>
        <v>476</v>
      </c>
      <c r="M477" s="182" t="e">
        <f t="shared" si="85"/>
        <v>#N/A</v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>
        <f t="shared" si="84"/>
        <v>477</v>
      </c>
      <c r="M478" s="182" t="e">
        <f t="shared" si="85"/>
        <v>#N/A</v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>
        <f t="shared" si="84"/>
        <v>478</v>
      </c>
      <c r="M479" s="182" t="e">
        <f t="shared" si="85"/>
        <v>#N/A</v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>
        <f t="shared" si="84"/>
        <v>479</v>
      </c>
      <c r="M480" s="182" t="e">
        <f t="shared" si="85"/>
        <v>#N/A</v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>
        <f t="shared" si="84"/>
        <v>480</v>
      </c>
      <c r="M481" s="182" t="e">
        <f t="shared" si="85"/>
        <v>#N/A</v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>
        <f t="shared" si="84"/>
        <v>481</v>
      </c>
      <c r="M482" s="182" t="e">
        <f t="shared" si="85"/>
        <v>#N/A</v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>
        <f t="shared" si="84"/>
        <v>482</v>
      </c>
      <c r="M483" s="182" t="e">
        <f t="shared" si="85"/>
        <v>#N/A</v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>
        <f t="shared" si="84"/>
        <v>483</v>
      </c>
      <c r="M484" s="182" t="e">
        <f t="shared" si="85"/>
        <v>#N/A</v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>
        <f t="shared" si="84"/>
        <v>484</v>
      </c>
      <c r="M485" s="182" t="e">
        <f t="shared" si="85"/>
        <v>#N/A</v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>
        <f t="shared" si="84"/>
        <v>485</v>
      </c>
      <c r="M486" s="182" t="e">
        <f t="shared" si="85"/>
        <v>#N/A</v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>
        <f t="shared" si="84"/>
        <v>486</v>
      </c>
      <c r="M487" s="182" t="e">
        <f t="shared" si="85"/>
        <v>#N/A</v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>
        <f t="shared" si="84"/>
        <v>487</v>
      </c>
      <c r="M488" s="182" t="e">
        <f t="shared" si="85"/>
        <v>#N/A</v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>
        <f t="shared" si="84"/>
        <v>488</v>
      </c>
      <c r="M489" s="182" t="e">
        <f t="shared" si="85"/>
        <v>#N/A</v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>
        <f t="shared" si="84"/>
        <v>489</v>
      </c>
      <c r="M490" s="182" t="e">
        <f t="shared" si="85"/>
        <v>#N/A</v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>
        <f t="shared" si="84"/>
        <v>490</v>
      </c>
      <c r="M491" s="182" t="e">
        <f t="shared" si="85"/>
        <v>#N/A</v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>
        <f t="shared" si="84"/>
        <v>491</v>
      </c>
      <c r="M492" s="182" t="e">
        <f t="shared" si="85"/>
        <v>#N/A</v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>
        <f t="shared" si="84"/>
        <v>492</v>
      </c>
      <c r="M493" s="182" t="e">
        <f t="shared" si="85"/>
        <v>#N/A</v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>
        <f t="shared" si="84"/>
        <v>493</v>
      </c>
      <c r="M494" s="182" t="e">
        <f t="shared" si="85"/>
        <v>#N/A</v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>
        <f t="shared" si="84"/>
        <v>494</v>
      </c>
      <c r="M495" s="182" t="e">
        <f t="shared" si="85"/>
        <v>#N/A</v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>
        <f t="shared" si="84"/>
        <v>495</v>
      </c>
      <c r="M496" s="182" t="e">
        <f t="shared" si="85"/>
        <v>#N/A</v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>
        <f t="shared" si="84"/>
        <v>496</v>
      </c>
      <c r="M497" s="182" t="e">
        <f t="shared" si="85"/>
        <v>#N/A</v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>
        <f t="shared" si="84"/>
        <v>497</v>
      </c>
      <c r="M498" s="182" t="e">
        <f t="shared" si="85"/>
        <v>#N/A</v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>
        <f t="shared" si="84"/>
        <v>498</v>
      </c>
      <c r="M499" s="182" t="e">
        <f t="shared" si="85"/>
        <v>#N/A</v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>
        <f t="shared" si="84"/>
        <v>499</v>
      </c>
      <c r="M500" s="182" t="e">
        <f t="shared" si="85"/>
        <v>#N/A</v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>
        <f t="shared" si="84"/>
        <v>500</v>
      </c>
      <c r="M501" s="182" t="e">
        <f t="shared" si="85"/>
        <v>#N/A</v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>
        <f t="shared" si="84"/>
        <v>501</v>
      </c>
      <c r="M502" s="182" t="e">
        <f t="shared" si="85"/>
        <v>#N/A</v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>
        <f t="shared" si="84"/>
        <v>502</v>
      </c>
      <c r="M503" s="182" t="e">
        <f t="shared" si="85"/>
        <v>#N/A</v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>
        <f t="shared" si="84"/>
        <v>503</v>
      </c>
      <c r="M504" s="182" t="e">
        <f t="shared" si="85"/>
        <v>#N/A</v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>
        <f t="shared" si="84"/>
        <v>504</v>
      </c>
      <c r="M505" s="182" t="e">
        <f t="shared" si="85"/>
        <v>#N/A</v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>
        <f t="shared" si="84"/>
        <v>505</v>
      </c>
      <c r="M506" s="182" t="e">
        <f t="shared" si="85"/>
        <v>#N/A</v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>
        <f t="shared" si="84"/>
        <v>506</v>
      </c>
      <c r="M507" s="182" t="e">
        <f t="shared" si="85"/>
        <v>#N/A</v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>
        <f t="shared" si="84"/>
        <v>507</v>
      </c>
      <c r="M508" s="182" t="e">
        <f t="shared" si="85"/>
        <v>#N/A</v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>
        <f t="shared" si="84"/>
        <v>508</v>
      </c>
      <c r="M509" s="182" t="e">
        <f t="shared" si="85"/>
        <v>#N/A</v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>
        <f t="shared" si="84"/>
        <v>509</v>
      </c>
      <c r="M510" s="182" t="e">
        <f t="shared" si="85"/>
        <v>#N/A</v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>
        <f t="shared" si="84"/>
        <v>510</v>
      </c>
      <c r="M511" s="182" t="e">
        <f t="shared" si="85"/>
        <v>#N/A</v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>
        <f t="shared" si="84"/>
        <v>511</v>
      </c>
      <c r="M512" s="182" t="e">
        <f t="shared" si="85"/>
        <v>#N/A</v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>
        <f t="shared" si="84"/>
        <v>512</v>
      </c>
      <c r="M513" s="182" t="e">
        <f t="shared" si="85"/>
        <v>#N/A</v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>
        <f t="shared" si="84"/>
        <v>513</v>
      </c>
      <c r="M514" s="182" t="e">
        <f t="shared" si="85"/>
        <v>#N/A</v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>
        <f t="shared" ref="L515:L578" si="96">IF($B$13&gt;=K515,K515,"")</f>
        <v>514</v>
      </c>
      <c r="M515" s="182" t="e">
        <f t="shared" ref="M515:M578" si="97">IF(L515="","",IF(L515&lt;=$E$15,VLOOKUP($E$14,$I$1:$J$4,2,FALSE),VLOOKUP($F$14,$I$1:$J$4,2,FALSE)))</f>
        <v>#N/A</v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>
        <f t="shared" si="96"/>
        <v>515</v>
      </c>
      <c r="M516" s="182" t="e">
        <f t="shared" si="97"/>
        <v>#N/A</v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>
        <f t="shared" si="96"/>
        <v>516</v>
      </c>
      <c r="M517" s="182" t="e">
        <f t="shared" si="97"/>
        <v>#N/A</v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>
        <f t="shared" si="96"/>
        <v>517</v>
      </c>
      <c r="M518" s="182" t="e">
        <f t="shared" si="97"/>
        <v>#N/A</v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>
        <f t="shared" si="96"/>
        <v>518</v>
      </c>
      <c r="M519" s="182" t="e">
        <f t="shared" si="97"/>
        <v>#N/A</v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>
        <f t="shared" si="96"/>
        <v>519</v>
      </c>
      <c r="M520" s="182" t="e">
        <f t="shared" si="97"/>
        <v>#N/A</v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>
        <f t="shared" si="96"/>
        <v>520</v>
      </c>
      <c r="M521" s="182" t="e">
        <f t="shared" si="97"/>
        <v>#N/A</v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>
        <f t="shared" si="96"/>
        <v>521</v>
      </c>
      <c r="M522" s="182" t="e">
        <f t="shared" si="97"/>
        <v>#N/A</v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>
        <f t="shared" si="96"/>
        <v>522</v>
      </c>
      <c r="M523" s="182" t="e">
        <f t="shared" si="97"/>
        <v>#N/A</v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>
        <f t="shared" si="96"/>
        <v>523</v>
      </c>
      <c r="M524" s="182" t="e">
        <f t="shared" si="97"/>
        <v>#N/A</v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>
        <f t="shared" si="96"/>
        <v>524</v>
      </c>
      <c r="M525" s="182" t="e">
        <f t="shared" si="97"/>
        <v>#N/A</v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>
        <f t="shared" si="96"/>
        <v>525</v>
      </c>
      <c r="M526" s="182" t="e">
        <f t="shared" si="97"/>
        <v>#N/A</v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>
        <f t="shared" si="96"/>
        <v>526</v>
      </c>
      <c r="M527" s="182" t="e">
        <f t="shared" si="97"/>
        <v>#N/A</v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>
        <f t="shared" si="96"/>
        <v>527</v>
      </c>
      <c r="M528" s="182" t="e">
        <f t="shared" si="97"/>
        <v>#N/A</v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>
        <f t="shared" si="96"/>
        <v>528</v>
      </c>
      <c r="M529" s="182" t="e">
        <f t="shared" si="97"/>
        <v>#N/A</v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>
        <f t="shared" si="96"/>
        <v>529</v>
      </c>
      <c r="M530" s="182" t="e">
        <f t="shared" si="97"/>
        <v>#N/A</v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>
        <f t="shared" si="96"/>
        <v>530</v>
      </c>
      <c r="M531" s="182" t="e">
        <f t="shared" si="97"/>
        <v>#N/A</v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>
        <f t="shared" si="96"/>
        <v>531</v>
      </c>
      <c r="M532" s="182" t="e">
        <f t="shared" si="97"/>
        <v>#N/A</v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>
        <f t="shared" si="96"/>
        <v>532</v>
      </c>
      <c r="M533" s="182" t="e">
        <f t="shared" si="97"/>
        <v>#N/A</v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>
        <f t="shared" si="96"/>
        <v>533</v>
      </c>
      <c r="M534" s="182" t="e">
        <f t="shared" si="97"/>
        <v>#N/A</v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>
        <f t="shared" si="96"/>
        <v>534</v>
      </c>
      <c r="M535" s="182" t="e">
        <f t="shared" si="97"/>
        <v>#N/A</v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>
        <f t="shared" si="96"/>
        <v>535</v>
      </c>
      <c r="M536" s="182" t="e">
        <f t="shared" si="97"/>
        <v>#N/A</v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>
        <f t="shared" si="96"/>
        <v>536</v>
      </c>
      <c r="M537" s="182" t="e">
        <f t="shared" si="97"/>
        <v>#N/A</v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>
        <f t="shared" si="96"/>
        <v>537</v>
      </c>
      <c r="M538" s="182" t="e">
        <f t="shared" si="97"/>
        <v>#N/A</v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>
        <f t="shared" si="96"/>
        <v>538</v>
      </c>
      <c r="M539" s="182" t="e">
        <f t="shared" si="97"/>
        <v>#N/A</v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>
        <f t="shared" si="96"/>
        <v>539</v>
      </c>
      <c r="M540" s="182" t="e">
        <f t="shared" si="97"/>
        <v>#N/A</v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>
        <f t="shared" si="96"/>
        <v>540</v>
      </c>
      <c r="M541" s="182" t="e">
        <f t="shared" si="97"/>
        <v>#N/A</v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>
        <f t="shared" si="96"/>
        <v>541</v>
      </c>
      <c r="M542" s="182" t="e">
        <f t="shared" si="97"/>
        <v>#N/A</v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>
        <f t="shared" si="96"/>
        <v>542</v>
      </c>
      <c r="M543" s="182" t="e">
        <f t="shared" si="97"/>
        <v>#N/A</v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>
        <f t="shared" si="96"/>
        <v>543</v>
      </c>
      <c r="M544" s="182" t="e">
        <f t="shared" si="97"/>
        <v>#N/A</v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>
        <f t="shared" si="96"/>
        <v>544</v>
      </c>
      <c r="M545" s="182" t="e">
        <f t="shared" si="97"/>
        <v>#N/A</v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>
        <f t="shared" si="96"/>
        <v>545</v>
      </c>
      <c r="M546" s="182" t="e">
        <f t="shared" si="97"/>
        <v>#N/A</v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>
        <f t="shared" si="96"/>
        <v>546</v>
      </c>
      <c r="M547" s="182" t="e">
        <f t="shared" si="97"/>
        <v>#N/A</v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>
        <f t="shared" si="96"/>
        <v>547</v>
      </c>
      <c r="M548" s="182" t="e">
        <f t="shared" si="97"/>
        <v>#N/A</v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>
        <f t="shared" si="96"/>
        <v>548</v>
      </c>
      <c r="M549" s="182" t="e">
        <f t="shared" si="97"/>
        <v>#N/A</v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>
        <f t="shared" si="96"/>
        <v>549</v>
      </c>
      <c r="M550" s="182" t="e">
        <f t="shared" si="97"/>
        <v>#N/A</v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>
        <f t="shared" si="96"/>
        <v>550</v>
      </c>
      <c r="M551" s="182" t="e">
        <f t="shared" si="97"/>
        <v>#N/A</v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>
        <f t="shared" si="96"/>
        <v>551</v>
      </c>
      <c r="M552" s="182" t="e">
        <f t="shared" si="97"/>
        <v>#N/A</v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>
        <f t="shared" si="96"/>
        <v>552</v>
      </c>
      <c r="M553" s="182" t="e">
        <f t="shared" si="97"/>
        <v>#N/A</v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>
        <f t="shared" si="96"/>
        <v>553</v>
      </c>
      <c r="M554" s="182" t="e">
        <f t="shared" si="97"/>
        <v>#N/A</v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>
        <f t="shared" si="96"/>
        <v>554</v>
      </c>
      <c r="M555" s="182" t="e">
        <f t="shared" si="97"/>
        <v>#N/A</v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>
        <f t="shared" si="96"/>
        <v>555</v>
      </c>
      <c r="M556" s="182" t="e">
        <f t="shared" si="97"/>
        <v>#N/A</v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>
        <f t="shared" si="96"/>
        <v>556</v>
      </c>
      <c r="M557" s="182" t="e">
        <f t="shared" si="97"/>
        <v>#N/A</v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>
        <f t="shared" si="96"/>
        <v>557</v>
      </c>
      <c r="M558" s="182" t="e">
        <f t="shared" si="97"/>
        <v>#N/A</v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>
        <f t="shared" si="96"/>
        <v>558</v>
      </c>
      <c r="M559" s="182" t="e">
        <f t="shared" si="97"/>
        <v>#N/A</v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>
        <f t="shared" si="96"/>
        <v>559</v>
      </c>
      <c r="M560" s="182" t="e">
        <f t="shared" si="97"/>
        <v>#N/A</v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>
        <f t="shared" si="96"/>
        <v>560</v>
      </c>
      <c r="M561" s="182" t="e">
        <f t="shared" si="97"/>
        <v>#N/A</v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>
        <f t="shared" si="96"/>
        <v>561</v>
      </c>
      <c r="M562" s="182" t="e">
        <f t="shared" si="97"/>
        <v>#N/A</v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>
        <f t="shared" si="96"/>
        <v>562</v>
      </c>
      <c r="M563" s="182" t="e">
        <f t="shared" si="97"/>
        <v>#N/A</v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>
        <f t="shared" si="96"/>
        <v>563</v>
      </c>
      <c r="M564" s="182" t="e">
        <f t="shared" si="97"/>
        <v>#N/A</v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>
        <f t="shared" si="96"/>
        <v>564</v>
      </c>
      <c r="M565" s="182" t="e">
        <f t="shared" si="97"/>
        <v>#N/A</v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>
        <f t="shared" si="96"/>
        <v>565</v>
      </c>
      <c r="M566" s="182" t="e">
        <f t="shared" si="97"/>
        <v>#N/A</v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>
        <f t="shared" si="96"/>
        <v>566</v>
      </c>
      <c r="M567" s="182" t="e">
        <f t="shared" si="97"/>
        <v>#N/A</v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>
        <f t="shared" si="96"/>
        <v>567</v>
      </c>
      <c r="M568" s="182" t="e">
        <f t="shared" si="97"/>
        <v>#N/A</v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>
        <f t="shared" si="96"/>
        <v>568</v>
      </c>
      <c r="M569" s="182" t="e">
        <f t="shared" si="97"/>
        <v>#N/A</v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>
        <f t="shared" si="96"/>
        <v>569</v>
      </c>
      <c r="M570" s="182" t="e">
        <f t="shared" si="97"/>
        <v>#N/A</v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>
        <f t="shared" si="96"/>
        <v>570</v>
      </c>
      <c r="M571" s="182" t="e">
        <f t="shared" si="97"/>
        <v>#N/A</v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>
        <f t="shared" si="96"/>
        <v>571</v>
      </c>
      <c r="M572" s="182" t="e">
        <f t="shared" si="97"/>
        <v>#N/A</v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>
        <f t="shared" si="96"/>
        <v>572</v>
      </c>
      <c r="M573" s="182" t="e">
        <f t="shared" si="97"/>
        <v>#N/A</v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>
        <f t="shared" si="96"/>
        <v>573</v>
      </c>
      <c r="M574" s="182" t="e">
        <f t="shared" si="97"/>
        <v>#N/A</v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>
        <f t="shared" si="96"/>
        <v>574</v>
      </c>
      <c r="M575" s="182" t="e">
        <f t="shared" si="97"/>
        <v>#N/A</v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>
        <f t="shared" si="96"/>
        <v>575</v>
      </c>
      <c r="M576" s="182" t="e">
        <f t="shared" si="97"/>
        <v>#N/A</v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>
        <f t="shared" si="96"/>
        <v>576</v>
      </c>
      <c r="M577" s="182" t="e">
        <f t="shared" si="97"/>
        <v>#N/A</v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>
        <f t="shared" si="96"/>
        <v>577</v>
      </c>
      <c r="M578" s="182" t="e">
        <f t="shared" si="97"/>
        <v>#N/A</v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>
        <f t="shared" ref="L579:L642" si="108">IF($B$13&gt;=K579,K579,"")</f>
        <v>578</v>
      </c>
      <c r="M579" s="182" t="e">
        <f t="shared" ref="M579:M642" si="109">IF(L579="","",IF(L579&lt;=$E$15,VLOOKUP($E$14,$I$1:$J$4,2,FALSE),VLOOKUP($F$14,$I$1:$J$4,2,FALSE)))</f>
        <v>#N/A</v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>
        <f t="shared" si="108"/>
        <v>579</v>
      </c>
      <c r="M580" s="182" t="e">
        <f t="shared" si="109"/>
        <v>#N/A</v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>
        <f t="shared" si="108"/>
        <v>580</v>
      </c>
      <c r="M581" s="182" t="e">
        <f t="shared" si="109"/>
        <v>#N/A</v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>
        <f t="shared" si="108"/>
        <v>581</v>
      </c>
      <c r="M582" s="182" t="e">
        <f t="shared" si="109"/>
        <v>#N/A</v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>
        <f t="shared" si="108"/>
        <v>582</v>
      </c>
      <c r="M583" s="182" t="e">
        <f t="shared" si="109"/>
        <v>#N/A</v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>
        <f t="shared" si="108"/>
        <v>583</v>
      </c>
      <c r="M584" s="182" t="e">
        <f t="shared" si="109"/>
        <v>#N/A</v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>
        <f t="shared" si="108"/>
        <v>584</v>
      </c>
      <c r="M585" s="182" t="e">
        <f t="shared" si="109"/>
        <v>#N/A</v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>
        <f t="shared" si="108"/>
        <v>585</v>
      </c>
      <c r="M586" s="182" t="e">
        <f t="shared" si="109"/>
        <v>#N/A</v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>
        <f t="shared" si="108"/>
        <v>586</v>
      </c>
      <c r="M587" s="182" t="e">
        <f t="shared" si="109"/>
        <v>#N/A</v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>
        <f t="shared" si="108"/>
        <v>587</v>
      </c>
      <c r="M588" s="182" t="e">
        <f t="shared" si="109"/>
        <v>#N/A</v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>
        <f t="shared" si="108"/>
        <v>588</v>
      </c>
      <c r="M589" s="182" t="e">
        <f t="shared" si="109"/>
        <v>#N/A</v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>
        <f t="shared" si="108"/>
        <v>589</v>
      </c>
      <c r="M590" s="182" t="e">
        <f t="shared" si="109"/>
        <v>#N/A</v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>
        <f t="shared" si="108"/>
        <v>590</v>
      </c>
      <c r="M591" s="182" t="e">
        <f t="shared" si="109"/>
        <v>#N/A</v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>
        <f t="shared" si="108"/>
        <v>591</v>
      </c>
      <c r="M592" s="182" t="e">
        <f t="shared" si="109"/>
        <v>#N/A</v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>
        <f t="shared" si="108"/>
        <v>592</v>
      </c>
      <c r="M593" s="182" t="e">
        <f t="shared" si="109"/>
        <v>#N/A</v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>
        <f t="shared" si="108"/>
        <v>593</v>
      </c>
      <c r="M594" s="182" t="e">
        <f t="shared" si="109"/>
        <v>#N/A</v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>
        <f t="shared" si="108"/>
        <v>594</v>
      </c>
      <c r="M595" s="182" t="e">
        <f t="shared" si="109"/>
        <v>#N/A</v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>
        <f t="shared" si="108"/>
        <v>595</v>
      </c>
      <c r="M596" s="182" t="e">
        <f t="shared" si="109"/>
        <v>#N/A</v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>
        <f t="shared" si="108"/>
        <v>596</v>
      </c>
      <c r="M597" s="182" t="e">
        <f t="shared" si="109"/>
        <v>#N/A</v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>
        <f t="shared" si="108"/>
        <v>597</v>
      </c>
      <c r="M598" s="182" t="e">
        <f t="shared" si="109"/>
        <v>#N/A</v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>
        <f t="shared" si="108"/>
        <v>598</v>
      </c>
      <c r="M599" s="182" t="e">
        <f t="shared" si="109"/>
        <v>#N/A</v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>
        <f t="shared" si="108"/>
        <v>599</v>
      </c>
      <c r="M600" s="182" t="e">
        <f t="shared" si="109"/>
        <v>#N/A</v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>
        <f t="shared" si="108"/>
        <v>600</v>
      </c>
      <c r="M601" s="182" t="e">
        <f t="shared" si="109"/>
        <v>#N/A</v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>
        <f t="shared" si="108"/>
        <v>601</v>
      </c>
      <c r="M602" s="182" t="e">
        <f t="shared" si="109"/>
        <v>#N/A</v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>
        <f t="shared" si="108"/>
        <v>602</v>
      </c>
      <c r="M603" s="182" t="e">
        <f t="shared" si="109"/>
        <v>#N/A</v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>
        <f t="shared" si="108"/>
        <v>603</v>
      </c>
      <c r="M604" s="182" t="e">
        <f t="shared" si="109"/>
        <v>#N/A</v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>
        <f t="shared" si="108"/>
        <v>604</v>
      </c>
      <c r="M605" s="182" t="e">
        <f t="shared" si="109"/>
        <v>#N/A</v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>
        <f t="shared" si="108"/>
        <v>605</v>
      </c>
      <c r="M606" s="182" t="e">
        <f t="shared" si="109"/>
        <v>#N/A</v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>
        <f t="shared" si="108"/>
        <v>606</v>
      </c>
      <c r="M607" s="182" t="e">
        <f t="shared" si="109"/>
        <v>#N/A</v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>
        <f t="shared" si="108"/>
        <v>607</v>
      </c>
      <c r="M608" s="182" t="e">
        <f t="shared" si="109"/>
        <v>#N/A</v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>
        <f t="shared" si="108"/>
        <v>608</v>
      </c>
      <c r="M609" s="182" t="e">
        <f t="shared" si="109"/>
        <v>#N/A</v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>
        <f t="shared" si="108"/>
        <v>609</v>
      </c>
      <c r="M610" s="182" t="e">
        <f t="shared" si="109"/>
        <v>#N/A</v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>
        <f t="shared" si="108"/>
        <v>610</v>
      </c>
      <c r="M611" s="182" t="e">
        <f t="shared" si="109"/>
        <v>#N/A</v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>
        <f t="shared" si="108"/>
        <v>611</v>
      </c>
      <c r="M612" s="182" t="e">
        <f t="shared" si="109"/>
        <v>#N/A</v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>
        <f t="shared" si="108"/>
        <v>612</v>
      </c>
      <c r="M613" s="182" t="e">
        <f t="shared" si="109"/>
        <v>#N/A</v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>
        <f t="shared" si="108"/>
        <v>613</v>
      </c>
      <c r="M614" s="182" t="e">
        <f t="shared" si="109"/>
        <v>#N/A</v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>
        <f t="shared" si="108"/>
        <v>614</v>
      </c>
      <c r="M615" s="182" t="e">
        <f t="shared" si="109"/>
        <v>#N/A</v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>
        <f t="shared" si="108"/>
        <v>615</v>
      </c>
      <c r="M616" s="182" t="e">
        <f t="shared" si="109"/>
        <v>#N/A</v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>
        <f t="shared" si="108"/>
        <v>616</v>
      </c>
      <c r="M617" s="182" t="e">
        <f t="shared" si="109"/>
        <v>#N/A</v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>
        <f t="shared" si="108"/>
        <v>617</v>
      </c>
      <c r="M618" s="182" t="e">
        <f t="shared" si="109"/>
        <v>#N/A</v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>
        <f t="shared" si="108"/>
        <v>618</v>
      </c>
      <c r="M619" s="182" t="e">
        <f t="shared" si="109"/>
        <v>#N/A</v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>
        <f t="shared" si="108"/>
        <v>619</v>
      </c>
      <c r="M620" s="182" t="e">
        <f t="shared" si="109"/>
        <v>#N/A</v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>
        <f t="shared" si="108"/>
        <v>620</v>
      </c>
      <c r="M621" s="182" t="e">
        <f t="shared" si="109"/>
        <v>#N/A</v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>
        <f t="shared" si="108"/>
        <v>621</v>
      </c>
      <c r="M622" s="182" t="e">
        <f t="shared" si="109"/>
        <v>#N/A</v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>
        <f t="shared" si="108"/>
        <v>622</v>
      </c>
      <c r="M623" s="182" t="e">
        <f t="shared" si="109"/>
        <v>#N/A</v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>
        <f t="shared" si="108"/>
        <v>623</v>
      </c>
      <c r="M624" s="182" t="e">
        <f t="shared" si="109"/>
        <v>#N/A</v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>
        <f t="shared" si="108"/>
        <v>624</v>
      </c>
      <c r="M625" s="182" t="e">
        <f t="shared" si="109"/>
        <v>#N/A</v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>
        <f t="shared" si="108"/>
        <v>625</v>
      </c>
      <c r="M626" s="182" t="e">
        <f t="shared" si="109"/>
        <v>#N/A</v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>
        <f t="shared" si="108"/>
        <v>626</v>
      </c>
      <c r="M627" s="182" t="e">
        <f t="shared" si="109"/>
        <v>#N/A</v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>
        <f t="shared" si="108"/>
        <v>627</v>
      </c>
      <c r="M628" s="182" t="e">
        <f t="shared" si="109"/>
        <v>#N/A</v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>
        <f t="shared" si="108"/>
        <v>628</v>
      </c>
      <c r="M629" s="182" t="e">
        <f t="shared" si="109"/>
        <v>#N/A</v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>
        <f t="shared" si="108"/>
        <v>629</v>
      </c>
      <c r="M630" s="182" t="e">
        <f t="shared" si="109"/>
        <v>#N/A</v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>
        <f t="shared" si="108"/>
        <v>630</v>
      </c>
      <c r="M631" s="182" t="e">
        <f t="shared" si="109"/>
        <v>#N/A</v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>
        <f t="shared" si="108"/>
        <v>631</v>
      </c>
      <c r="M632" s="182" t="e">
        <f t="shared" si="109"/>
        <v>#N/A</v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>
        <f t="shared" si="108"/>
        <v>632</v>
      </c>
      <c r="M633" s="182" t="e">
        <f t="shared" si="109"/>
        <v>#N/A</v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>
        <f t="shared" si="108"/>
        <v>633</v>
      </c>
      <c r="M634" s="182" t="e">
        <f t="shared" si="109"/>
        <v>#N/A</v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>
        <f t="shared" si="108"/>
        <v>634</v>
      </c>
      <c r="M635" s="182" t="e">
        <f t="shared" si="109"/>
        <v>#N/A</v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>
        <f t="shared" si="108"/>
        <v>635</v>
      </c>
      <c r="M636" s="182" t="e">
        <f t="shared" si="109"/>
        <v>#N/A</v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>
        <f t="shared" si="108"/>
        <v>636</v>
      </c>
      <c r="M637" s="182" t="e">
        <f t="shared" si="109"/>
        <v>#N/A</v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>
        <f t="shared" si="108"/>
        <v>637</v>
      </c>
      <c r="M638" s="182" t="e">
        <f t="shared" si="109"/>
        <v>#N/A</v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>
        <f t="shared" si="108"/>
        <v>638</v>
      </c>
      <c r="M639" s="182" t="e">
        <f t="shared" si="109"/>
        <v>#N/A</v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>
        <f t="shared" si="108"/>
        <v>639</v>
      </c>
      <c r="M640" s="182" t="e">
        <f t="shared" si="109"/>
        <v>#N/A</v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>
        <f t="shared" si="108"/>
        <v>640</v>
      </c>
      <c r="M641" s="182" t="e">
        <f t="shared" si="109"/>
        <v>#N/A</v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>
        <f t="shared" si="108"/>
        <v>641</v>
      </c>
      <c r="M642" s="182" t="e">
        <f t="shared" si="109"/>
        <v>#N/A</v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>
        <f t="shared" ref="L643:L706" si="120">IF($B$13&gt;=K643,K643,"")</f>
        <v>642</v>
      </c>
      <c r="M643" s="182" t="e">
        <f t="shared" ref="M643:M706" si="121">IF(L643="","",IF(L643&lt;=$E$15,VLOOKUP($E$14,$I$1:$J$4,2,FALSE),VLOOKUP($F$14,$I$1:$J$4,2,FALSE)))</f>
        <v>#N/A</v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>
        <f t="shared" si="120"/>
        <v>643</v>
      </c>
      <c r="M644" s="182" t="e">
        <f t="shared" si="121"/>
        <v>#N/A</v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>
        <f t="shared" si="120"/>
        <v>644</v>
      </c>
      <c r="M645" s="182" t="e">
        <f t="shared" si="121"/>
        <v>#N/A</v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>
        <f t="shared" si="120"/>
        <v>645</v>
      </c>
      <c r="M646" s="182" t="e">
        <f t="shared" si="121"/>
        <v>#N/A</v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>
        <f t="shared" si="120"/>
        <v>646</v>
      </c>
      <c r="M647" s="182" t="e">
        <f t="shared" si="121"/>
        <v>#N/A</v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>
        <f t="shared" si="120"/>
        <v>647</v>
      </c>
      <c r="M648" s="182" t="e">
        <f t="shared" si="121"/>
        <v>#N/A</v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>
        <f t="shared" si="120"/>
        <v>648</v>
      </c>
      <c r="M649" s="182" t="e">
        <f t="shared" si="121"/>
        <v>#N/A</v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>
        <f t="shared" si="120"/>
        <v>649</v>
      </c>
      <c r="M650" s="182" t="e">
        <f t="shared" si="121"/>
        <v>#N/A</v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>
        <f t="shared" si="120"/>
        <v>650</v>
      </c>
      <c r="M651" s="182" t="e">
        <f t="shared" si="121"/>
        <v>#N/A</v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>
        <f t="shared" si="120"/>
        <v>651</v>
      </c>
      <c r="M652" s="182" t="e">
        <f t="shared" si="121"/>
        <v>#N/A</v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>
        <f t="shared" si="120"/>
        <v>652</v>
      </c>
      <c r="M653" s="182" t="e">
        <f t="shared" si="121"/>
        <v>#N/A</v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>
        <f t="shared" si="120"/>
        <v>653</v>
      </c>
      <c r="M654" s="182" t="e">
        <f t="shared" si="121"/>
        <v>#N/A</v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>
        <f t="shared" si="120"/>
        <v>654</v>
      </c>
      <c r="M655" s="182" t="e">
        <f t="shared" si="121"/>
        <v>#N/A</v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>
        <f t="shared" si="120"/>
        <v>655</v>
      </c>
      <c r="M656" s="182" t="e">
        <f t="shared" si="121"/>
        <v>#N/A</v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>
        <f t="shared" si="120"/>
        <v>656</v>
      </c>
      <c r="M657" s="182" t="e">
        <f t="shared" si="121"/>
        <v>#N/A</v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>
        <f t="shared" si="120"/>
        <v>657</v>
      </c>
      <c r="M658" s="182" t="e">
        <f t="shared" si="121"/>
        <v>#N/A</v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>
        <f t="shared" si="120"/>
        <v>658</v>
      </c>
      <c r="M659" s="182" t="e">
        <f t="shared" si="121"/>
        <v>#N/A</v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>
        <f t="shared" si="120"/>
        <v>659</v>
      </c>
      <c r="M660" s="182" t="e">
        <f t="shared" si="121"/>
        <v>#N/A</v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>
        <f t="shared" si="120"/>
        <v>660</v>
      </c>
      <c r="M661" s="182" t="e">
        <f t="shared" si="121"/>
        <v>#N/A</v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>
        <f t="shared" si="120"/>
        <v>661</v>
      </c>
      <c r="M662" s="182" t="e">
        <f t="shared" si="121"/>
        <v>#N/A</v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>
        <f t="shared" si="120"/>
        <v>662</v>
      </c>
      <c r="M663" s="182" t="e">
        <f t="shared" si="121"/>
        <v>#N/A</v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>
        <f t="shared" si="120"/>
        <v>663</v>
      </c>
      <c r="M664" s="182" t="e">
        <f t="shared" si="121"/>
        <v>#N/A</v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>
        <f t="shared" si="120"/>
        <v>664</v>
      </c>
      <c r="M665" s="182" t="e">
        <f t="shared" si="121"/>
        <v>#N/A</v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>
        <f t="shared" si="120"/>
        <v>665</v>
      </c>
      <c r="M666" s="182" t="e">
        <f t="shared" si="121"/>
        <v>#N/A</v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>
        <f t="shared" si="120"/>
        <v>666</v>
      </c>
      <c r="M667" s="182" t="e">
        <f t="shared" si="121"/>
        <v>#N/A</v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>
        <f t="shared" si="120"/>
        <v>667</v>
      </c>
      <c r="M668" s="182" t="e">
        <f t="shared" si="121"/>
        <v>#N/A</v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>
        <f t="shared" si="120"/>
        <v>668</v>
      </c>
      <c r="M669" s="182" t="e">
        <f t="shared" si="121"/>
        <v>#N/A</v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>
        <f t="shared" si="120"/>
        <v>669</v>
      </c>
      <c r="M670" s="182" t="e">
        <f t="shared" si="121"/>
        <v>#N/A</v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>
        <f t="shared" si="120"/>
        <v>670</v>
      </c>
      <c r="M671" s="182" t="e">
        <f t="shared" si="121"/>
        <v>#N/A</v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>
        <f t="shared" si="120"/>
        <v>671</v>
      </c>
      <c r="M672" s="182" t="e">
        <f t="shared" si="121"/>
        <v>#N/A</v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>
        <f t="shared" si="120"/>
        <v>672</v>
      </c>
      <c r="M673" s="182" t="e">
        <f t="shared" si="121"/>
        <v>#N/A</v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>
        <f t="shared" si="120"/>
        <v>673</v>
      </c>
      <c r="M674" s="182" t="e">
        <f t="shared" si="121"/>
        <v>#N/A</v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>
        <f t="shared" si="120"/>
        <v>674</v>
      </c>
      <c r="M675" s="182" t="e">
        <f t="shared" si="121"/>
        <v>#N/A</v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>
        <f t="shared" si="120"/>
        <v>675</v>
      </c>
      <c r="M676" s="182" t="e">
        <f t="shared" si="121"/>
        <v>#N/A</v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>
        <f t="shared" si="120"/>
        <v>676</v>
      </c>
      <c r="M677" s="182" t="e">
        <f t="shared" si="121"/>
        <v>#N/A</v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>
        <f t="shared" si="120"/>
        <v>677</v>
      </c>
      <c r="M678" s="182" t="e">
        <f t="shared" si="121"/>
        <v>#N/A</v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>
        <f t="shared" si="120"/>
        <v>678</v>
      </c>
      <c r="M679" s="182" t="e">
        <f t="shared" si="121"/>
        <v>#N/A</v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>
        <f t="shared" si="120"/>
        <v>679</v>
      </c>
      <c r="M680" s="182" t="e">
        <f t="shared" si="121"/>
        <v>#N/A</v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>
        <f t="shared" si="120"/>
        <v>680</v>
      </c>
      <c r="M681" s="182" t="e">
        <f t="shared" si="121"/>
        <v>#N/A</v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>
        <f t="shared" si="120"/>
        <v>681</v>
      </c>
      <c r="M682" s="182" t="e">
        <f t="shared" si="121"/>
        <v>#N/A</v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>
        <f t="shared" si="120"/>
        <v>682</v>
      </c>
      <c r="M683" s="182" t="e">
        <f t="shared" si="121"/>
        <v>#N/A</v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>
        <f t="shared" si="120"/>
        <v>683</v>
      </c>
      <c r="M684" s="182" t="e">
        <f t="shared" si="121"/>
        <v>#N/A</v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>
        <f t="shared" si="120"/>
        <v>684</v>
      </c>
      <c r="M685" s="182" t="e">
        <f t="shared" si="121"/>
        <v>#N/A</v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>
        <f t="shared" si="120"/>
        <v>685</v>
      </c>
      <c r="M686" s="182" t="e">
        <f t="shared" si="121"/>
        <v>#N/A</v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>
        <f t="shared" si="120"/>
        <v>686</v>
      </c>
      <c r="M687" s="182" t="e">
        <f t="shared" si="121"/>
        <v>#N/A</v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>
        <f t="shared" si="120"/>
        <v>687</v>
      </c>
      <c r="M688" s="182" t="e">
        <f t="shared" si="121"/>
        <v>#N/A</v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>
        <f t="shared" si="120"/>
        <v>688</v>
      </c>
      <c r="M689" s="182" t="e">
        <f t="shared" si="121"/>
        <v>#N/A</v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>
        <f t="shared" si="120"/>
        <v>689</v>
      </c>
      <c r="M690" s="182" t="e">
        <f t="shared" si="121"/>
        <v>#N/A</v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>
        <f t="shared" si="120"/>
        <v>690</v>
      </c>
      <c r="M691" s="182" t="e">
        <f t="shared" si="121"/>
        <v>#N/A</v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>
        <f t="shared" si="120"/>
        <v>691</v>
      </c>
      <c r="M692" s="182" t="e">
        <f t="shared" si="121"/>
        <v>#N/A</v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>
        <f t="shared" si="120"/>
        <v>692</v>
      </c>
      <c r="M693" s="182" t="e">
        <f t="shared" si="121"/>
        <v>#N/A</v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>
        <f t="shared" si="120"/>
        <v>693</v>
      </c>
      <c r="M694" s="182" t="e">
        <f t="shared" si="121"/>
        <v>#N/A</v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>
        <f t="shared" si="120"/>
        <v>694</v>
      </c>
      <c r="M695" s="182" t="e">
        <f t="shared" si="121"/>
        <v>#N/A</v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>
        <f t="shared" si="120"/>
        <v>695</v>
      </c>
      <c r="M696" s="182" t="e">
        <f t="shared" si="121"/>
        <v>#N/A</v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>
        <f t="shared" si="120"/>
        <v>696</v>
      </c>
      <c r="M697" s="182" t="e">
        <f t="shared" si="121"/>
        <v>#N/A</v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>
        <f t="shared" si="120"/>
        <v>697</v>
      </c>
      <c r="M698" s="182" t="e">
        <f t="shared" si="121"/>
        <v>#N/A</v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>
        <f t="shared" si="120"/>
        <v>698</v>
      </c>
      <c r="M699" s="182" t="e">
        <f t="shared" si="121"/>
        <v>#N/A</v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>
        <f t="shared" si="120"/>
        <v>699</v>
      </c>
      <c r="M700" s="182" t="e">
        <f t="shared" si="121"/>
        <v>#N/A</v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>
        <f t="shared" si="120"/>
        <v>700</v>
      </c>
      <c r="M701" s="182" t="e">
        <f t="shared" si="121"/>
        <v>#N/A</v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>
        <f t="shared" si="120"/>
        <v>701</v>
      </c>
      <c r="M702" s="182" t="e">
        <f t="shared" si="121"/>
        <v>#N/A</v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>
        <f t="shared" si="120"/>
        <v>702</v>
      </c>
      <c r="M703" s="182" t="e">
        <f t="shared" si="121"/>
        <v>#N/A</v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>
        <f t="shared" si="120"/>
        <v>703</v>
      </c>
      <c r="M704" s="182" t="e">
        <f t="shared" si="121"/>
        <v>#N/A</v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>
        <f t="shared" si="120"/>
        <v>704</v>
      </c>
      <c r="M705" s="182" t="e">
        <f t="shared" si="121"/>
        <v>#N/A</v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>
        <f t="shared" si="120"/>
        <v>705</v>
      </c>
      <c r="M706" s="182" t="e">
        <f t="shared" si="121"/>
        <v>#N/A</v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>
        <f t="shared" ref="L707:L770" si="132">IF($B$13&gt;=K707,K707,"")</f>
        <v>706</v>
      </c>
      <c r="M707" s="182" t="e">
        <f t="shared" ref="M707:M770" si="133">IF(L707="","",IF(L707&lt;=$E$15,VLOOKUP($E$14,$I$1:$J$4,2,FALSE),VLOOKUP($F$14,$I$1:$J$4,2,FALSE)))</f>
        <v>#N/A</v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>
        <f t="shared" si="132"/>
        <v>707</v>
      </c>
      <c r="M708" s="182" t="e">
        <f t="shared" si="133"/>
        <v>#N/A</v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>
        <f t="shared" si="132"/>
        <v>708</v>
      </c>
      <c r="M709" s="182" t="e">
        <f t="shared" si="133"/>
        <v>#N/A</v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>
        <f t="shared" si="132"/>
        <v>709</v>
      </c>
      <c r="M710" s="182" t="e">
        <f t="shared" si="133"/>
        <v>#N/A</v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>
        <f t="shared" si="132"/>
        <v>710</v>
      </c>
      <c r="M711" s="182" t="e">
        <f t="shared" si="133"/>
        <v>#N/A</v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>
        <f t="shared" si="132"/>
        <v>711</v>
      </c>
      <c r="M712" s="182" t="e">
        <f t="shared" si="133"/>
        <v>#N/A</v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>
        <f t="shared" si="132"/>
        <v>712</v>
      </c>
      <c r="M713" s="182" t="e">
        <f t="shared" si="133"/>
        <v>#N/A</v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>
        <f t="shared" si="132"/>
        <v>713</v>
      </c>
      <c r="M714" s="182" t="e">
        <f t="shared" si="133"/>
        <v>#N/A</v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>
        <f t="shared" si="132"/>
        <v>714</v>
      </c>
      <c r="M715" s="182" t="e">
        <f t="shared" si="133"/>
        <v>#N/A</v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>
        <f t="shared" si="132"/>
        <v>715</v>
      </c>
      <c r="M716" s="182" t="e">
        <f t="shared" si="133"/>
        <v>#N/A</v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>
        <f t="shared" si="132"/>
        <v>716</v>
      </c>
      <c r="M717" s="182" t="e">
        <f t="shared" si="133"/>
        <v>#N/A</v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>
        <f t="shared" si="132"/>
        <v>717</v>
      </c>
      <c r="M718" s="182" t="e">
        <f t="shared" si="133"/>
        <v>#N/A</v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>
        <f t="shared" si="132"/>
        <v>718</v>
      </c>
      <c r="M719" s="182" t="e">
        <f t="shared" si="133"/>
        <v>#N/A</v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>
        <f t="shared" si="132"/>
        <v>719</v>
      </c>
      <c r="M720" s="182" t="e">
        <f t="shared" si="133"/>
        <v>#N/A</v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>
        <f t="shared" si="132"/>
        <v>720</v>
      </c>
      <c r="M721" s="182" t="e">
        <f t="shared" si="133"/>
        <v>#N/A</v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>
        <f t="shared" si="132"/>
        <v>721</v>
      </c>
      <c r="M722" s="182" t="e">
        <f t="shared" si="133"/>
        <v>#N/A</v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>
        <f t="shared" si="132"/>
        <v>722</v>
      </c>
      <c r="M723" s="182" t="e">
        <f t="shared" si="133"/>
        <v>#N/A</v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>
        <f t="shared" si="132"/>
        <v>723</v>
      </c>
      <c r="M724" s="182" t="e">
        <f t="shared" si="133"/>
        <v>#N/A</v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>
        <f t="shared" si="132"/>
        <v>724</v>
      </c>
      <c r="M725" s="182" t="e">
        <f t="shared" si="133"/>
        <v>#N/A</v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>
        <f t="shared" si="132"/>
        <v>725</v>
      </c>
      <c r="M726" s="182" t="e">
        <f t="shared" si="133"/>
        <v>#N/A</v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>
        <f t="shared" si="132"/>
        <v>726</v>
      </c>
      <c r="M727" s="182" t="e">
        <f t="shared" si="133"/>
        <v>#N/A</v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>
        <f t="shared" si="132"/>
        <v>727</v>
      </c>
      <c r="M728" s="182" t="e">
        <f t="shared" si="133"/>
        <v>#N/A</v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>
        <f t="shared" si="132"/>
        <v>728</v>
      </c>
      <c r="M729" s="182" t="e">
        <f t="shared" si="133"/>
        <v>#N/A</v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>
        <f t="shared" si="132"/>
        <v>729</v>
      </c>
      <c r="M730" s="182" t="e">
        <f t="shared" si="133"/>
        <v>#N/A</v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>
        <f t="shared" si="132"/>
        <v>730</v>
      </c>
      <c r="M731" s="182" t="e">
        <f t="shared" si="133"/>
        <v>#N/A</v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>
        <f t="shared" si="132"/>
        <v>731</v>
      </c>
      <c r="M732" s="182" t="e">
        <f t="shared" si="133"/>
        <v>#N/A</v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>
        <f t="shared" si="132"/>
        <v>732</v>
      </c>
      <c r="M733" s="182" t="e">
        <f t="shared" si="133"/>
        <v>#N/A</v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>
        <f t="shared" si="132"/>
        <v>733</v>
      </c>
      <c r="M734" s="182" t="e">
        <f t="shared" si="133"/>
        <v>#N/A</v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>
        <f t="shared" si="132"/>
        <v>734</v>
      </c>
      <c r="M735" s="182" t="e">
        <f t="shared" si="133"/>
        <v>#N/A</v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>
        <f t="shared" si="132"/>
        <v>735</v>
      </c>
      <c r="M736" s="182" t="e">
        <f t="shared" si="133"/>
        <v>#N/A</v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>
        <f t="shared" si="132"/>
        <v>736</v>
      </c>
      <c r="M737" s="182" t="e">
        <f t="shared" si="133"/>
        <v>#N/A</v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>
        <f t="shared" si="132"/>
        <v>737</v>
      </c>
      <c r="M738" s="182" t="e">
        <f t="shared" si="133"/>
        <v>#N/A</v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>
        <f t="shared" si="132"/>
        <v>738</v>
      </c>
      <c r="M739" s="182" t="e">
        <f t="shared" si="133"/>
        <v>#N/A</v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>
        <f t="shared" si="132"/>
        <v>739</v>
      </c>
      <c r="M740" s="182" t="e">
        <f t="shared" si="133"/>
        <v>#N/A</v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>
        <f t="shared" si="132"/>
        <v>740</v>
      </c>
      <c r="M741" s="182" t="e">
        <f t="shared" si="133"/>
        <v>#N/A</v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>
        <f t="shared" si="132"/>
        <v>741</v>
      </c>
      <c r="M742" s="182" t="e">
        <f t="shared" si="133"/>
        <v>#N/A</v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>
        <f t="shared" si="132"/>
        <v>742</v>
      </c>
      <c r="M743" s="182" t="e">
        <f t="shared" si="133"/>
        <v>#N/A</v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>
        <f t="shared" si="132"/>
        <v>743</v>
      </c>
      <c r="M744" s="182" t="e">
        <f t="shared" si="133"/>
        <v>#N/A</v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>
        <f t="shared" si="132"/>
        <v>744</v>
      </c>
      <c r="M745" s="182" t="e">
        <f t="shared" si="133"/>
        <v>#N/A</v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>
        <f t="shared" si="132"/>
        <v>745</v>
      </c>
      <c r="M746" s="182" t="e">
        <f t="shared" si="133"/>
        <v>#N/A</v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>
        <f t="shared" si="132"/>
        <v>746</v>
      </c>
      <c r="M747" s="182" t="e">
        <f t="shared" si="133"/>
        <v>#N/A</v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>
        <f t="shared" si="132"/>
        <v>747</v>
      </c>
      <c r="M748" s="182" t="e">
        <f t="shared" si="133"/>
        <v>#N/A</v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>
        <f t="shared" si="132"/>
        <v>748</v>
      </c>
      <c r="M749" s="182" t="e">
        <f t="shared" si="133"/>
        <v>#N/A</v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>
        <f t="shared" si="132"/>
        <v>749</v>
      </c>
      <c r="M750" s="182" t="e">
        <f t="shared" si="133"/>
        <v>#N/A</v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>
        <f t="shared" si="132"/>
        <v>750</v>
      </c>
      <c r="M751" s="182" t="e">
        <f t="shared" si="133"/>
        <v>#N/A</v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>
        <f t="shared" si="132"/>
        <v>751</v>
      </c>
      <c r="M752" s="182" t="e">
        <f t="shared" si="133"/>
        <v>#N/A</v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>
        <f t="shared" si="132"/>
        <v>752</v>
      </c>
      <c r="M753" s="182" t="e">
        <f t="shared" si="133"/>
        <v>#N/A</v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>
        <f t="shared" si="132"/>
        <v>753</v>
      </c>
      <c r="M754" s="182" t="e">
        <f t="shared" si="133"/>
        <v>#N/A</v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>
        <f t="shared" si="132"/>
        <v>754</v>
      </c>
      <c r="M755" s="182" t="e">
        <f t="shared" si="133"/>
        <v>#N/A</v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>
        <f t="shared" si="132"/>
        <v>755</v>
      </c>
      <c r="M756" s="182" t="e">
        <f t="shared" si="133"/>
        <v>#N/A</v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>
        <f t="shared" si="132"/>
        <v>756</v>
      </c>
      <c r="M757" s="182" t="e">
        <f t="shared" si="133"/>
        <v>#N/A</v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>
        <f t="shared" si="132"/>
        <v>757</v>
      </c>
      <c r="M758" s="182" t="e">
        <f t="shared" si="133"/>
        <v>#N/A</v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>
        <f t="shared" si="132"/>
        <v>758</v>
      </c>
      <c r="M759" s="182" t="e">
        <f t="shared" si="133"/>
        <v>#N/A</v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>
        <f t="shared" si="132"/>
        <v>759</v>
      </c>
      <c r="M760" s="182" t="e">
        <f t="shared" si="133"/>
        <v>#N/A</v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>
        <f t="shared" si="132"/>
        <v>760</v>
      </c>
      <c r="M761" s="182" t="e">
        <f t="shared" si="133"/>
        <v>#N/A</v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>
        <f t="shared" si="132"/>
        <v>761</v>
      </c>
      <c r="M762" s="182" t="e">
        <f t="shared" si="133"/>
        <v>#N/A</v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>
        <f t="shared" si="132"/>
        <v>762</v>
      </c>
      <c r="M763" s="182" t="e">
        <f t="shared" si="133"/>
        <v>#N/A</v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>
        <f t="shared" si="132"/>
        <v>763</v>
      </c>
      <c r="M764" s="182" t="e">
        <f t="shared" si="133"/>
        <v>#N/A</v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>
        <f t="shared" si="132"/>
        <v>764</v>
      </c>
      <c r="M765" s="182" t="e">
        <f t="shared" si="133"/>
        <v>#N/A</v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>
        <f t="shared" si="132"/>
        <v>765</v>
      </c>
      <c r="M766" s="182" t="e">
        <f t="shared" si="133"/>
        <v>#N/A</v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>
        <f t="shared" si="132"/>
        <v>766</v>
      </c>
      <c r="M767" s="182" t="e">
        <f t="shared" si="133"/>
        <v>#N/A</v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>
        <f t="shared" si="132"/>
        <v>767</v>
      </c>
      <c r="M768" s="182" t="e">
        <f t="shared" si="133"/>
        <v>#N/A</v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>
        <f t="shared" si="132"/>
        <v>768</v>
      </c>
      <c r="M769" s="182" t="e">
        <f t="shared" si="133"/>
        <v>#N/A</v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>
        <f t="shared" si="132"/>
        <v>769</v>
      </c>
      <c r="M770" s="182" t="e">
        <f t="shared" si="133"/>
        <v>#N/A</v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>
        <f t="shared" ref="L771:L834" si="144">IF($B$13&gt;=K771,K771,"")</f>
        <v>770</v>
      </c>
      <c r="M771" s="182" t="e">
        <f t="shared" ref="M771:M834" si="145">IF(L771="","",IF(L771&lt;=$E$15,VLOOKUP($E$14,$I$1:$J$4,2,FALSE),VLOOKUP($F$14,$I$1:$J$4,2,FALSE)))</f>
        <v>#N/A</v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>
        <f t="shared" si="144"/>
        <v>771</v>
      </c>
      <c r="M772" s="182" t="e">
        <f t="shared" si="145"/>
        <v>#N/A</v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>
        <f t="shared" si="144"/>
        <v>772</v>
      </c>
      <c r="M773" s="182" t="e">
        <f t="shared" si="145"/>
        <v>#N/A</v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>
        <f t="shared" si="144"/>
        <v>773</v>
      </c>
      <c r="M774" s="182" t="e">
        <f t="shared" si="145"/>
        <v>#N/A</v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>
        <f t="shared" si="144"/>
        <v>774</v>
      </c>
      <c r="M775" s="182" t="e">
        <f t="shared" si="145"/>
        <v>#N/A</v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>
        <f t="shared" si="144"/>
        <v>775</v>
      </c>
      <c r="M776" s="182" t="e">
        <f t="shared" si="145"/>
        <v>#N/A</v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>
        <f t="shared" si="144"/>
        <v>776</v>
      </c>
      <c r="M777" s="182" t="e">
        <f t="shared" si="145"/>
        <v>#N/A</v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>
        <f t="shared" si="144"/>
        <v>777</v>
      </c>
      <c r="M778" s="182" t="e">
        <f t="shared" si="145"/>
        <v>#N/A</v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>
        <f t="shared" si="144"/>
        <v>778</v>
      </c>
      <c r="M779" s="182" t="e">
        <f t="shared" si="145"/>
        <v>#N/A</v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>
        <f t="shared" si="144"/>
        <v>779</v>
      </c>
      <c r="M780" s="182" t="e">
        <f t="shared" si="145"/>
        <v>#N/A</v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>
        <f t="shared" si="144"/>
        <v>780</v>
      </c>
      <c r="M781" s="182" t="e">
        <f t="shared" si="145"/>
        <v>#N/A</v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>
        <f t="shared" si="144"/>
        <v>781</v>
      </c>
      <c r="M782" s="182" t="e">
        <f t="shared" si="145"/>
        <v>#N/A</v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>
        <f t="shared" si="144"/>
        <v>782</v>
      </c>
      <c r="M783" s="182" t="e">
        <f t="shared" si="145"/>
        <v>#N/A</v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>
        <f t="shared" si="144"/>
        <v>783</v>
      </c>
      <c r="M784" s="182" t="e">
        <f t="shared" si="145"/>
        <v>#N/A</v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>
        <f t="shared" si="144"/>
        <v>784</v>
      </c>
      <c r="M785" s="182" t="e">
        <f t="shared" si="145"/>
        <v>#N/A</v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>
        <f t="shared" si="144"/>
        <v>785</v>
      </c>
      <c r="M786" s="182" t="e">
        <f t="shared" si="145"/>
        <v>#N/A</v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>
        <f t="shared" si="144"/>
        <v>786</v>
      </c>
      <c r="M787" s="182" t="e">
        <f t="shared" si="145"/>
        <v>#N/A</v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>
        <f t="shared" si="144"/>
        <v>787</v>
      </c>
      <c r="M788" s="182" t="e">
        <f t="shared" si="145"/>
        <v>#N/A</v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>
        <f t="shared" si="144"/>
        <v>788</v>
      </c>
      <c r="M789" s="182" t="e">
        <f t="shared" si="145"/>
        <v>#N/A</v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>
        <f t="shared" si="144"/>
        <v>789</v>
      </c>
      <c r="M790" s="182" t="e">
        <f t="shared" si="145"/>
        <v>#N/A</v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>
        <f t="shared" si="144"/>
        <v>790</v>
      </c>
      <c r="M791" s="182" t="e">
        <f t="shared" si="145"/>
        <v>#N/A</v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>
        <f t="shared" si="144"/>
        <v>791</v>
      </c>
      <c r="M792" s="182" t="e">
        <f t="shared" si="145"/>
        <v>#N/A</v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>
        <f t="shared" si="144"/>
        <v>792</v>
      </c>
      <c r="M793" s="182" t="e">
        <f t="shared" si="145"/>
        <v>#N/A</v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>
        <f t="shared" si="144"/>
        <v>793</v>
      </c>
      <c r="M794" s="182" t="e">
        <f t="shared" si="145"/>
        <v>#N/A</v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>
        <f t="shared" si="144"/>
        <v>794</v>
      </c>
      <c r="M795" s="182" t="e">
        <f t="shared" si="145"/>
        <v>#N/A</v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>
        <f t="shared" si="144"/>
        <v>795</v>
      </c>
      <c r="M796" s="182" t="e">
        <f t="shared" si="145"/>
        <v>#N/A</v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>
        <f t="shared" si="144"/>
        <v>796</v>
      </c>
      <c r="M797" s="182" t="e">
        <f t="shared" si="145"/>
        <v>#N/A</v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>
        <f t="shared" si="144"/>
        <v>797</v>
      </c>
      <c r="M798" s="182" t="e">
        <f t="shared" si="145"/>
        <v>#N/A</v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>
        <f t="shared" si="144"/>
        <v>798</v>
      </c>
      <c r="M799" s="182" t="e">
        <f t="shared" si="145"/>
        <v>#N/A</v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>
        <f t="shared" si="144"/>
        <v>799</v>
      </c>
      <c r="M800" s="182" t="e">
        <f t="shared" si="145"/>
        <v>#N/A</v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>
        <f t="shared" si="144"/>
        <v>800</v>
      </c>
      <c r="M801" s="182" t="e">
        <f t="shared" si="145"/>
        <v>#N/A</v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>
        <f t="shared" si="144"/>
        <v>801</v>
      </c>
      <c r="M802" s="182" t="e">
        <f t="shared" si="145"/>
        <v>#N/A</v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>
        <f t="shared" si="144"/>
        <v>802</v>
      </c>
      <c r="M803" s="182" t="e">
        <f t="shared" si="145"/>
        <v>#N/A</v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>
        <f t="shared" si="144"/>
        <v>803</v>
      </c>
      <c r="M804" s="182" t="e">
        <f t="shared" si="145"/>
        <v>#N/A</v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>
        <f t="shared" si="144"/>
        <v>804</v>
      </c>
      <c r="M805" s="182" t="e">
        <f t="shared" si="145"/>
        <v>#N/A</v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>
        <f t="shared" si="144"/>
        <v>805</v>
      </c>
      <c r="M806" s="182" t="e">
        <f t="shared" si="145"/>
        <v>#N/A</v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>
        <f t="shared" si="144"/>
        <v>806</v>
      </c>
      <c r="M807" s="182" t="e">
        <f t="shared" si="145"/>
        <v>#N/A</v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>
        <f t="shared" si="144"/>
        <v>807</v>
      </c>
      <c r="M808" s="182" t="e">
        <f t="shared" si="145"/>
        <v>#N/A</v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>
        <f t="shared" si="144"/>
        <v>808</v>
      </c>
      <c r="M809" s="182" t="e">
        <f t="shared" si="145"/>
        <v>#N/A</v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>
        <f t="shared" si="144"/>
        <v>809</v>
      </c>
      <c r="M810" s="182" t="e">
        <f t="shared" si="145"/>
        <v>#N/A</v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>
        <f t="shared" si="144"/>
        <v>810</v>
      </c>
      <c r="M811" s="182" t="e">
        <f t="shared" si="145"/>
        <v>#N/A</v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>
        <f t="shared" si="144"/>
        <v>811</v>
      </c>
      <c r="M812" s="182" t="e">
        <f t="shared" si="145"/>
        <v>#N/A</v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>
        <f t="shared" si="144"/>
        <v>812</v>
      </c>
      <c r="M813" s="182" t="e">
        <f t="shared" si="145"/>
        <v>#N/A</v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>
        <f t="shared" si="144"/>
        <v>813</v>
      </c>
      <c r="M814" s="182" t="e">
        <f t="shared" si="145"/>
        <v>#N/A</v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>
        <f t="shared" si="144"/>
        <v>814</v>
      </c>
      <c r="M815" s="182" t="e">
        <f t="shared" si="145"/>
        <v>#N/A</v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>
        <f t="shared" si="144"/>
        <v>815</v>
      </c>
      <c r="M816" s="182" t="e">
        <f t="shared" si="145"/>
        <v>#N/A</v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>
        <f t="shared" si="144"/>
        <v>816</v>
      </c>
      <c r="M817" s="182" t="e">
        <f t="shared" si="145"/>
        <v>#N/A</v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>
        <f t="shared" si="144"/>
        <v>817</v>
      </c>
      <c r="M818" s="182" t="e">
        <f t="shared" si="145"/>
        <v>#N/A</v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>
        <f t="shared" si="144"/>
        <v>818</v>
      </c>
      <c r="M819" s="182" t="e">
        <f t="shared" si="145"/>
        <v>#N/A</v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>
        <f t="shared" si="144"/>
        <v>819</v>
      </c>
      <c r="M820" s="182" t="e">
        <f t="shared" si="145"/>
        <v>#N/A</v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>
        <f t="shared" si="144"/>
        <v>820</v>
      </c>
      <c r="M821" s="182" t="e">
        <f t="shared" si="145"/>
        <v>#N/A</v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>
        <f t="shared" si="144"/>
        <v>821</v>
      </c>
      <c r="M822" s="182" t="e">
        <f t="shared" si="145"/>
        <v>#N/A</v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>
        <f t="shared" si="144"/>
        <v>822</v>
      </c>
      <c r="M823" s="182" t="e">
        <f t="shared" si="145"/>
        <v>#N/A</v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>
        <f t="shared" si="144"/>
        <v>823</v>
      </c>
      <c r="M824" s="182" t="e">
        <f t="shared" si="145"/>
        <v>#N/A</v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>
        <f t="shared" si="144"/>
        <v>824</v>
      </c>
      <c r="M825" s="182" t="e">
        <f t="shared" si="145"/>
        <v>#N/A</v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>
        <f t="shared" si="144"/>
        <v>825</v>
      </c>
      <c r="M826" s="182" t="e">
        <f t="shared" si="145"/>
        <v>#N/A</v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>
        <f t="shared" si="144"/>
        <v>826</v>
      </c>
      <c r="M827" s="182" t="e">
        <f t="shared" si="145"/>
        <v>#N/A</v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>
        <f t="shared" si="144"/>
        <v>827</v>
      </c>
      <c r="M828" s="182" t="e">
        <f t="shared" si="145"/>
        <v>#N/A</v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>
        <f t="shared" si="144"/>
        <v>828</v>
      </c>
      <c r="M829" s="182" t="e">
        <f t="shared" si="145"/>
        <v>#N/A</v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>
        <f t="shared" si="144"/>
        <v>829</v>
      </c>
      <c r="M830" s="182" t="e">
        <f t="shared" si="145"/>
        <v>#N/A</v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>
        <f t="shared" si="144"/>
        <v>830</v>
      </c>
      <c r="M831" s="182" t="e">
        <f t="shared" si="145"/>
        <v>#N/A</v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>
        <f t="shared" si="144"/>
        <v>831</v>
      </c>
      <c r="M832" s="182" t="e">
        <f t="shared" si="145"/>
        <v>#N/A</v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>
        <f t="shared" si="144"/>
        <v>832</v>
      </c>
      <c r="M833" s="182" t="e">
        <f t="shared" si="145"/>
        <v>#N/A</v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>
        <f t="shared" si="144"/>
        <v>833</v>
      </c>
      <c r="M834" s="182" t="e">
        <f t="shared" si="145"/>
        <v>#N/A</v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>
        <f t="shared" ref="L835:L865" si="156">IF($B$13&gt;=K835,K835,"")</f>
        <v>834</v>
      </c>
      <c r="M835" s="182" t="e">
        <f t="shared" ref="M835:M865" si="157">IF(L835="","",IF(L835&lt;=$E$15,VLOOKUP($E$14,$I$1:$J$4,2,FALSE),VLOOKUP($F$14,$I$1:$J$4,2,FALSE)))</f>
        <v>#N/A</v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>
        <f t="shared" si="156"/>
        <v>835</v>
      </c>
      <c r="M836" s="182" t="e">
        <f t="shared" si="157"/>
        <v>#N/A</v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>
        <f t="shared" si="156"/>
        <v>836</v>
      </c>
      <c r="M837" s="182" t="e">
        <f t="shared" si="157"/>
        <v>#N/A</v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>
        <f t="shared" si="156"/>
        <v>837</v>
      </c>
      <c r="M838" s="182" t="e">
        <f t="shared" si="157"/>
        <v>#N/A</v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>
        <f t="shared" si="156"/>
        <v>838</v>
      </c>
      <c r="M839" s="182" t="e">
        <f t="shared" si="157"/>
        <v>#N/A</v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>
        <f t="shared" si="156"/>
        <v>839</v>
      </c>
      <c r="M840" s="182" t="e">
        <f t="shared" si="157"/>
        <v>#N/A</v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>
        <f t="shared" si="156"/>
        <v>840</v>
      </c>
      <c r="M841" s="182" t="e">
        <f t="shared" si="157"/>
        <v>#N/A</v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>
        <f t="shared" si="156"/>
        <v>841</v>
      </c>
      <c r="M842" s="182" t="e">
        <f t="shared" si="157"/>
        <v>#N/A</v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>
        <f t="shared" si="156"/>
        <v>842</v>
      </c>
      <c r="M843" s="182" t="e">
        <f t="shared" si="157"/>
        <v>#N/A</v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>
        <f t="shared" si="156"/>
        <v>843</v>
      </c>
      <c r="M844" s="182" t="e">
        <f t="shared" si="157"/>
        <v>#N/A</v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>
        <f t="shared" si="156"/>
        <v>844</v>
      </c>
      <c r="M845" s="182" t="e">
        <f t="shared" si="157"/>
        <v>#N/A</v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>
        <f t="shared" si="156"/>
        <v>845</v>
      </c>
      <c r="M846" s="182" t="e">
        <f t="shared" si="157"/>
        <v>#N/A</v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>
        <f t="shared" si="156"/>
        <v>846</v>
      </c>
      <c r="M847" s="182" t="e">
        <f t="shared" si="157"/>
        <v>#N/A</v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>
        <f t="shared" si="156"/>
        <v>847</v>
      </c>
      <c r="M848" s="182" t="e">
        <f t="shared" si="157"/>
        <v>#N/A</v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>
        <f t="shared" si="156"/>
        <v>848</v>
      </c>
      <c r="M849" s="182" t="e">
        <f t="shared" si="157"/>
        <v>#N/A</v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>
        <f t="shared" si="156"/>
        <v>849</v>
      </c>
      <c r="M850" s="182" t="e">
        <f t="shared" si="157"/>
        <v>#N/A</v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>
        <f t="shared" si="156"/>
        <v>850</v>
      </c>
      <c r="M851" s="182" t="e">
        <f t="shared" si="157"/>
        <v>#N/A</v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>
        <f t="shared" si="156"/>
        <v>851</v>
      </c>
      <c r="M852" s="182" t="e">
        <f t="shared" si="157"/>
        <v>#N/A</v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>
        <f t="shared" si="156"/>
        <v>852</v>
      </c>
      <c r="M853" s="182" t="e">
        <f t="shared" si="157"/>
        <v>#N/A</v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>
        <f t="shared" si="156"/>
        <v>853</v>
      </c>
      <c r="M854" s="182" t="e">
        <f t="shared" si="157"/>
        <v>#N/A</v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>
        <f t="shared" si="156"/>
        <v>854</v>
      </c>
      <c r="M855" s="182" t="e">
        <f t="shared" si="157"/>
        <v>#N/A</v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>
        <f t="shared" si="156"/>
        <v>855</v>
      </c>
      <c r="M856" s="182" t="e">
        <f t="shared" si="157"/>
        <v>#N/A</v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>
        <f t="shared" si="156"/>
        <v>856</v>
      </c>
      <c r="M857" s="182" t="e">
        <f t="shared" si="157"/>
        <v>#N/A</v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>
        <f t="shared" si="156"/>
        <v>857</v>
      </c>
      <c r="M858" s="182" t="e">
        <f t="shared" si="157"/>
        <v>#N/A</v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>
        <f t="shared" si="156"/>
        <v>858</v>
      </c>
      <c r="M859" s="182" t="e">
        <f t="shared" si="157"/>
        <v>#N/A</v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>
        <f t="shared" si="156"/>
        <v>859</v>
      </c>
      <c r="M860" s="182" t="e">
        <f t="shared" si="157"/>
        <v>#N/A</v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>
        <f t="shared" si="156"/>
        <v>860</v>
      </c>
      <c r="M861" s="182" t="e">
        <f t="shared" si="157"/>
        <v>#N/A</v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>
        <f t="shared" si="156"/>
        <v>861</v>
      </c>
      <c r="M862" s="182" t="e">
        <f t="shared" si="157"/>
        <v>#N/A</v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>
        <f t="shared" si="156"/>
        <v>862</v>
      </c>
      <c r="M863" s="182" t="e">
        <f t="shared" si="157"/>
        <v>#N/A</v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>
        <f t="shared" si="156"/>
        <v>863</v>
      </c>
      <c r="M864" s="182" t="e">
        <f t="shared" si="157"/>
        <v>#N/A</v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>
        <f t="shared" si="156"/>
        <v>864</v>
      </c>
      <c r="M865" s="182" t="e">
        <f t="shared" si="157"/>
        <v>#N/A</v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53</v>
      </c>
      <c r="J1" s="242" t="s">
        <v>55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5" thickBot="1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44</v>
      </c>
      <c r="J2" s="242" t="s">
        <v>54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45</v>
      </c>
      <c r="J3" s="242" t="s">
        <v>56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42"/>
      <c r="C4" s="251"/>
      <c r="D4" s="251"/>
      <c r="E4" s="545"/>
      <c r="F4" s="546"/>
      <c r="G4" s="252"/>
      <c r="I4" s="242" t="s">
        <v>46</v>
      </c>
      <c r="J4" s="242" t="s">
        <v>57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48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60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61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62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34</v>
      </c>
      <c r="C10" s="255" t="s">
        <v>32</v>
      </c>
      <c r="D10" s="548" t="s">
        <v>33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89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142</v>
      </c>
      <c r="C12" s="259" t="s">
        <v>35</v>
      </c>
      <c r="D12" s="260" t="s">
        <v>63</v>
      </c>
      <c r="E12" s="537" t="s">
        <v>40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54"/>
      <c r="C13" s="557"/>
      <c r="D13" s="261"/>
      <c r="E13" s="262" t="s">
        <v>43</v>
      </c>
      <c r="F13" s="263" t="s">
        <v>47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55"/>
      <c r="C14" s="558"/>
      <c r="D14" s="260" t="s">
        <v>59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34</v>
      </c>
      <c r="C17" s="255" t="s">
        <v>32</v>
      </c>
      <c r="D17" s="548" t="s">
        <v>33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90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142</v>
      </c>
      <c r="C19" s="259" t="s">
        <v>35</v>
      </c>
      <c r="D19" s="260" t="s">
        <v>63</v>
      </c>
      <c r="E19" s="537" t="s">
        <v>40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54"/>
      <c r="C20" s="557"/>
      <c r="D20" s="261"/>
      <c r="E20" s="262" t="s">
        <v>43</v>
      </c>
      <c r="F20" s="263" t="s">
        <v>47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55"/>
      <c r="C21" s="558"/>
      <c r="D21" s="260" t="s">
        <v>59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34</v>
      </c>
      <c r="C24" s="255" t="s">
        <v>32</v>
      </c>
      <c r="D24" s="548" t="s">
        <v>33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91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142</v>
      </c>
      <c r="C26" s="259" t="s">
        <v>35</v>
      </c>
      <c r="D26" s="260" t="s">
        <v>63</v>
      </c>
      <c r="E26" s="537" t="s">
        <v>40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54"/>
      <c r="C27" s="557"/>
      <c r="D27" s="261"/>
      <c r="E27" s="262" t="s">
        <v>43</v>
      </c>
      <c r="F27" s="263" t="s">
        <v>47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55"/>
      <c r="C28" s="558"/>
      <c r="D28" s="260" t="s">
        <v>59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34</v>
      </c>
      <c r="C31" s="255" t="s">
        <v>32</v>
      </c>
      <c r="D31" s="548" t="s">
        <v>33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92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142</v>
      </c>
      <c r="C33" s="259" t="s">
        <v>35</v>
      </c>
      <c r="D33" s="260" t="s">
        <v>63</v>
      </c>
      <c r="E33" s="537" t="s">
        <v>40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54"/>
      <c r="C34" s="557"/>
      <c r="D34" s="261"/>
      <c r="E34" s="262" t="s">
        <v>43</v>
      </c>
      <c r="F34" s="263" t="s">
        <v>47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55"/>
      <c r="C35" s="558"/>
      <c r="D35" s="260" t="s">
        <v>59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34</v>
      </c>
      <c r="C38" s="255" t="s">
        <v>32</v>
      </c>
      <c r="D38" s="548" t="s">
        <v>33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93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142</v>
      </c>
      <c r="C40" s="259" t="s">
        <v>35</v>
      </c>
      <c r="D40" s="260" t="s">
        <v>63</v>
      </c>
      <c r="E40" s="537" t="s">
        <v>40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54"/>
      <c r="C41" s="557"/>
      <c r="D41" s="261"/>
      <c r="E41" s="262" t="s">
        <v>43</v>
      </c>
      <c r="F41" s="263" t="s">
        <v>47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55"/>
      <c r="C42" s="558"/>
      <c r="D42" s="260" t="s">
        <v>59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34</v>
      </c>
      <c r="C45" s="255" t="s">
        <v>32</v>
      </c>
      <c r="D45" s="548" t="s">
        <v>33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94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142</v>
      </c>
      <c r="C47" s="259" t="s">
        <v>35</v>
      </c>
      <c r="D47" s="260" t="s">
        <v>63</v>
      </c>
      <c r="E47" s="537" t="s">
        <v>40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54"/>
      <c r="C48" s="557"/>
      <c r="D48" s="261"/>
      <c r="E48" s="262" t="s">
        <v>43</v>
      </c>
      <c r="F48" s="263" t="s">
        <v>47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55"/>
      <c r="C49" s="558"/>
      <c r="D49" s="260" t="s">
        <v>59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A4" zoomScaleNormal="100" workbookViewId="0">
      <selection activeCell="K10" sqref="K10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76</v>
      </c>
      <c r="Z1" s="148" t="s">
        <v>78</v>
      </c>
      <c r="AE1" s="147" t="s">
        <v>12</v>
      </c>
      <c r="AF1" s="147" t="str">
        <f>IF('Cable Info'!C11="","",CONCATENATE("[",AE1,"]"," ",'Cable Info'!C11))</f>
        <v>[A] NY-1LP: 9999-RISER-4</v>
      </c>
      <c r="AI1" s="147" t="s">
        <v>20</v>
      </c>
      <c r="AJ1" s="149" t="s">
        <v>12</v>
      </c>
      <c r="AM1" s="149" t="str">
        <f>AF1</f>
        <v>[A] NY-1LP: 9999-RISER-4</v>
      </c>
      <c r="AN1" s="149" t="s">
        <v>20</v>
      </c>
      <c r="AO1" s="149" t="s">
        <v>13</v>
      </c>
      <c r="AR1" s="149" t="str">
        <f>AF2</f>
        <v>[B] TBD</v>
      </c>
      <c r="AS1" s="149" t="s">
        <v>20</v>
      </c>
      <c r="AT1" s="149" t="s">
        <v>49</v>
      </c>
      <c r="AW1" s="149" t="str">
        <f>AF3</f>
        <v/>
      </c>
      <c r="AX1" s="149" t="s">
        <v>20</v>
      </c>
      <c r="AY1" s="149" t="s">
        <v>50</v>
      </c>
      <c r="BB1" s="149" t="str">
        <f>AF4</f>
        <v/>
      </c>
      <c r="BC1" s="149" t="s">
        <v>20</v>
      </c>
      <c r="BD1" s="149" t="s">
        <v>51</v>
      </c>
      <c r="BG1" s="149" t="str">
        <f>AF5</f>
        <v/>
      </c>
      <c r="BH1" s="149" t="s">
        <v>20</v>
      </c>
      <c r="BI1" s="149" t="s">
        <v>52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77</v>
      </c>
      <c r="Z2" s="148" t="s">
        <v>70</v>
      </c>
      <c r="AE2" s="147" t="s">
        <v>13</v>
      </c>
      <c r="AF2" s="147" t="str">
        <f>IF('Cable Info'!C18="","",CONCATENATE("[",AE2,"]"," ",'Cable Info'!C18))</f>
        <v>[B] TBD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101767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1.1</v>
      </c>
      <c r="V3" s="577"/>
      <c r="W3" s="578"/>
      <c r="X3" s="198"/>
      <c r="Y3" s="147"/>
      <c r="AE3" s="147" t="s">
        <v>49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50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11</v>
      </c>
      <c r="AE5" s="148" t="s">
        <v>51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52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38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84</v>
      </c>
      <c r="D8" s="129" t="s">
        <v>36</v>
      </c>
      <c r="E8" s="220" t="s">
        <v>73</v>
      </c>
      <c r="F8" s="130"/>
      <c r="G8" s="221" t="s">
        <v>74</v>
      </c>
      <c r="H8" s="128" t="s">
        <v>75</v>
      </c>
      <c r="I8" s="220" t="s">
        <v>73</v>
      </c>
      <c r="J8" s="130"/>
      <c r="K8" s="221" t="s">
        <v>74</v>
      </c>
      <c r="L8" s="8" t="s">
        <v>36</v>
      </c>
      <c r="M8" s="127" t="s">
        <v>83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85</v>
      </c>
    </row>
    <row r="9" spans="1:90" ht="13.5" thickBot="1">
      <c r="A9" s="223"/>
      <c r="B9" s="138" t="s">
        <v>34</v>
      </c>
      <c r="C9" s="139" t="s">
        <v>37</v>
      </c>
      <c r="D9" s="138" t="s">
        <v>3</v>
      </c>
      <c r="E9" s="572" t="s">
        <v>72</v>
      </c>
      <c r="F9" s="573"/>
      <c r="G9" s="574"/>
      <c r="H9" s="140" t="s">
        <v>80</v>
      </c>
      <c r="I9" s="572" t="s">
        <v>72</v>
      </c>
      <c r="J9" s="573"/>
      <c r="K9" s="574"/>
      <c r="L9" s="138" t="s">
        <v>3</v>
      </c>
      <c r="M9" s="139" t="s">
        <v>37</v>
      </c>
      <c r="N9" s="237" t="s">
        <v>87</v>
      </c>
      <c r="O9" s="238" t="s">
        <v>86</v>
      </c>
      <c r="P9" s="138" t="s">
        <v>34</v>
      </c>
      <c r="Q9" s="225"/>
      <c r="R9" s="138" t="s">
        <v>4</v>
      </c>
      <c r="S9" s="138" t="s">
        <v>41</v>
      </c>
      <c r="T9" s="138" t="s">
        <v>5</v>
      </c>
      <c r="U9" s="138" t="s">
        <v>7</v>
      </c>
      <c r="V9" s="138" t="s">
        <v>10</v>
      </c>
      <c r="W9" s="138" t="s">
        <v>42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 t="s">
        <v>12</v>
      </c>
      <c r="C10" s="141" t="str">
        <f>IFERROR(IF(B10="","",IF((COUNTIF('Cable Info'!$B$11:$C$50,B10)=0),VLOOKUP(B10,'Cable Info (2)'!$B$11:$C$50,2,FALSE),(VLOOKUP(B10,'Cable Info'!$B$11:$C$50,2,FALSE)))),"NO SUCH EXIT")</f>
        <v>NY-1LP: 9999-RISER-4</v>
      </c>
      <c r="D10" s="284" t="s">
        <v>160</v>
      </c>
      <c r="E10" s="311">
        <v>1</v>
      </c>
      <c r="F10" s="137" t="s">
        <v>58</v>
      </c>
      <c r="G10" s="314">
        <v>6</v>
      </c>
      <c r="H10" s="141">
        <f>IF(G10="","",((E10-G10)-1)*(-1))</f>
        <v>6</v>
      </c>
      <c r="I10" s="317">
        <v>1</v>
      </c>
      <c r="J10" s="137" t="s">
        <v>58</v>
      </c>
      <c r="K10" s="320">
        <v>6</v>
      </c>
      <c r="L10" s="288" t="s">
        <v>160</v>
      </c>
      <c r="M10" s="141" t="str">
        <f>IFERROR(IF(P10="","",IF((COUNTIF('Cable Info'!$B$11:$C$50,P10)=0),VLOOKUP(P10,'Cable Info (2)'!$B$11:$C$50,2,FALSE),(VLOOKUP(P10,'Cable Info'!$B$11:$C$50,2,FALSE)))),"NO SUCH EXIT")</f>
        <v>TBD</v>
      </c>
      <c r="N10" s="292" t="s">
        <v>159</v>
      </c>
      <c r="O10" s="233" t="s">
        <v>159</v>
      </c>
      <c r="P10" s="157" t="s">
        <v>13</v>
      </c>
      <c r="Q10" s="224"/>
      <c r="R10" s="158" t="s">
        <v>77</v>
      </c>
      <c r="S10" s="158" t="s">
        <v>70</v>
      </c>
      <c r="T10" s="159">
        <v>42684</v>
      </c>
      <c r="U10" s="159">
        <v>42720</v>
      </c>
      <c r="V10" s="160" t="s">
        <v>163</v>
      </c>
      <c r="W10" s="160" t="s">
        <v>161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6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50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58</v>
      </c>
      <c r="G11" s="315"/>
      <c r="H11" s="142" t="str">
        <f>IF(G11="","",((E11-G11)-1)*(-1))</f>
        <v/>
      </c>
      <c r="I11" s="317"/>
      <c r="J11" s="132" t="s">
        <v>58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67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58</v>
      </c>
      <c r="G12" s="314"/>
      <c r="H12" s="142" t="str">
        <f>IF(G12="","",((E12-G12)-1)*(-1))</f>
        <v/>
      </c>
      <c r="I12" s="318"/>
      <c r="J12" s="132" t="s">
        <v>58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58</v>
      </c>
      <c r="G13" s="315"/>
      <c r="H13" s="142" t="str">
        <f t="shared" ref="H13:H214" si="11">IF(G13="","",((E13-G13)-1)*(-1))</f>
        <v/>
      </c>
      <c r="I13" s="317"/>
      <c r="J13" s="132" t="s">
        <v>58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64</v>
      </c>
      <c r="AL13" s="149" t="s">
        <v>65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58</v>
      </c>
      <c r="G14" s="314"/>
      <c r="H14" s="142" t="str">
        <f t="shared" si="11"/>
        <v/>
      </c>
      <c r="I14" s="318"/>
      <c r="J14" s="132" t="s">
        <v>58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58</v>
      </c>
      <c r="G15" s="314"/>
      <c r="H15" s="142" t="str">
        <f t="shared" si="11"/>
        <v/>
      </c>
      <c r="I15" s="318"/>
      <c r="J15" s="132" t="s">
        <v>58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58</v>
      </c>
      <c r="G16" s="314"/>
      <c r="H16" s="142" t="str">
        <f t="shared" si="11"/>
        <v/>
      </c>
      <c r="I16" s="318"/>
      <c r="J16" s="132" t="s">
        <v>58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58</v>
      </c>
      <c r="G17" s="314"/>
      <c r="H17" s="142" t="str">
        <f t="shared" si="11"/>
        <v/>
      </c>
      <c r="I17" s="318"/>
      <c r="J17" s="132" t="s">
        <v>58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58</v>
      </c>
      <c r="G18" s="314"/>
      <c r="H18" s="142" t="str">
        <f t="shared" si="11"/>
        <v/>
      </c>
      <c r="I18" s="318"/>
      <c r="J18" s="132" t="s">
        <v>58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58</v>
      </c>
      <c r="G19" s="314"/>
      <c r="H19" s="142" t="str">
        <f t="shared" si="11"/>
        <v/>
      </c>
      <c r="I19" s="318"/>
      <c r="J19" s="132" t="s">
        <v>58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58</v>
      </c>
      <c r="G20" s="314"/>
      <c r="H20" s="142" t="str">
        <f t="shared" si="11"/>
        <v/>
      </c>
      <c r="I20" s="318"/>
      <c r="J20" s="132" t="s">
        <v>58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58</v>
      </c>
      <c r="G21" s="314"/>
      <c r="H21" s="142" t="str">
        <f t="shared" si="11"/>
        <v/>
      </c>
      <c r="I21" s="318"/>
      <c r="J21" s="132" t="s">
        <v>58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58</v>
      </c>
      <c r="G22" s="314"/>
      <c r="H22" s="142" t="str">
        <f t="shared" si="11"/>
        <v/>
      </c>
      <c r="I22" s="318"/>
      <c r="J22" s="132" t="s">
        <v>58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58</v>
      </c>
      <c r="G23" s="314"/>
      <c r="H23" s="142" t="str">
        <f t="shared" si="11"/>
        <v/>
      </c>
      <c r="I23" s="318"/>
      <c r="J23" s="132" t="s">
        <v>58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58</v>
      </c>
      <c r="G24" s="314"/>
      <c r="H24" s="142" t="str">
        <f t="shared" si="11"/>
        <v/>
      </c>
      <c r="I24" s="318"/>
      <c r="J24" s="132" t="s">
        <v>58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58</v>
      </c>
      <c r="G25" s="314"/>
      <c r="H25" s="142" t="str">
        <f t="shared" si="11"/>
        <v/>
      </c>
      <c r="I25" s="318"/>
      <c r="J25" s="132" t="s">
        <v>58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58</v>
      </c>
      <c r="G26" s="314"/>
      <c r="H26" s="142" t="str">
        <f t="shared" si="11"/>
        <v/>
      </c>
      <c r="I26" s="318"/>
      <c r="J26" s="132" t="s">
        <v>58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58</v>
      </c>
      <c r="G27" s="314"/>
      <c r="H27" s="142" t="str">
        <f t="shared" si="11"/>
        <v/>
      </c>
      <c r="I27" s="318"/>
      <c r="J27" s="132" t="s">
        <v>58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58</v>
      </c>
      <c r="G28" s="314"/>
      <c r="H28" s="142" t="str">
        <f t="shared" si="11"/>
        <v/>
      </c>
      <c r="I28" s="318"/>
      <c r="J28" s="132" t="s">
        <v>58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58</v>
      </c>
      <c r="G29" s="314"/>
      <c r="H29" s="142" t="str">
        <f t="shared" si="11"/>
        <v/>
      </c>
      <c r="I29" s="318"/>
      <c r="J29" s="132" t="s">
        <v>58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58</v>
      </c>
      <c r="G30" s="314"/>
      <c r="H30" s="142" t="str">
        <f t="shared" si="11"/>
        <v/>
      </c>
      <c r="I30" s="318"/>
      <c r="J30" s="132" t="s">
        <v>58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58</v>
      </c>
      <c r="G31" s="314"/>
      <c r="H31" s="142" t="str">
        <f t="shared" si="11"/>
        <v/>
      </c>
      <c r="I31" s="318"/>
      <c r="J31" s="132" t="s">
        <v>58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58</v>
      </c>
      <c r="G32" s="314"/>
      <c r="H32" s="142" t="str">
        <f t="shared" si="11"/>
        <v/>
      </c>
      <c r="I32" s="318"/>
      <c r="J32" s="132" t="s">
        <v>58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58</v>
      </c>
      <c r="G33" s="314"/>
      <c r="H33" s="142" t="str">
        <f t="shared" si="11"/>
        <v/>
      </c>
      <c r="I33" s="318"/>
      <c r="J33" s="132" t="s">
        <v>58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58</v>
      </c>
      <c r="G34" s="314"/>
      <c r="H34" s="142" t="str">
        <f t="shared" si="11"/>
        <v/>
      </c>
      <c r="I34" s="318"/>
      <c r="J34" s="132" t="s">
        <v>58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58</v>
      </c>
      <c r="G35" s="314"/>
      <c r="H35" s="142" t="str">
        <f t="shared" si="11"/>
        <v/>
      </c>
      <c r="I35" s="318"/>
      <c r="J35" s="132" t="s">
        <v>58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58</v>
      </c>
      <c r="G36" s="314"/>
      <c r="H36" s="142" t="str">
        <f t="shared" si="11"/>
        <v/>
      </c>
      <c r="I36" s="318"/>
      <c r="J36" s="132" t="s">
        <v>58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58</v>
      </c>
      <c r="G37" s="314"/>
      <c r="H37" s="142" t="str">
        <f t="shared" si="11"/>
        <v/>
      </c>
      <c r="I37" s="318"/>
      <c r="J37" s="132" t="s">
        <v>58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58</v>
      </c>
      <c r="G38" s="314"/>
      <c r="H38" s="142" t="str">
        <f t="shared" si="11"/>
        <v/>
      </c>
      <c r="I38" s="318"/>
      <c r="J38" s="132" t="s">
        <v>58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58</v>
      </c>
      <c r="G39" s="314"/>
      <c r="H39" s="142" t="str">
        <f t="shared" si="11"/>
        <v/>
      </c>
      <c r="I39" s="318"/>
      <c r="J39" s="132" t="s">
        <v>58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58</v>
      </c>
      <c r="G40" s="314"/>
      <c r="H40" s="142" t="str">
        <f t="shared" si="11"/>
        <v/>
      </c>
      <c r="I40" s="318"/>
      <c r="J40" s="132" t="s">
        <v>58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58</v>
      </c>
      <c r="G41" s="314"/>
      <c r="H41" s="142" t="str">
        <f t="shared" si="11"/>
        <v/>
      </c>
      <c r="I41" s="318"/>
      <c r="J41" s="132" t="s">
        <v>58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58</v>
      </c>
      <c r="G42" s="314"/>
      <c r="H42" s="142" t="str">
        <f t="shared" si="11"/>
        <v/>
      </c>
      <c r="I42" s="318"/>
      <c r="J42" s="132" t="s">
        <v>58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58</v>
      </c>
      <c r="G43" s="314"/>
      <c r="H43" s="142" t="str">
        <f t="shared" si="11"/>
        <v/>
      </c>
      <c r="I43" s="318"/>
      <c r="J43" s="132" t="s">
        <v>58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58</v>
      </c>
      <c r="G44" s="314"/>
      <c r="H44" s="142" t="str">
        <f t="shared" si="11"/>
        <v/>
      </c>
      <c r="I44" s="318"/>
      <c r="J44" s="132" t="s">
        <v>58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58</v>
      </c>
      <c r="G45" s="314"/>
      <c r="H45" s="142" t="str">
        <f t="shared" si="11"/>
        <v/>
      </c>
      <c r="I45" s="318"/>
      <c r="J45" s="132" t="s">
        <v>58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58</v>
      </c>
      <c r="G46" s="314"/>
      <c r="H46" s="142" t="str">
        <f t="shared" si="11"/>
        <v/>
      </c>
      <c r="I46" s="318"/>
      <c r="J46" s="132" t="s">
        <v>58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58</v>
      </c>
      <c r="G47" s="314"/>
      <c r="H47" s="142" t="str">
        <f t="shared" si="11"/>
        <v/>
      </c>
      <c r="I47" s="318"/>
      <c r="J47" s="132" t="s">
        <v>58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58</v>
      </c>
      <c r="G48" s="314"/>
      <c r="H48" s="142" t="str">
        <f t="shared" si="11"/>
        <v/>
      </c>
      <c r="I48" s="318"/>
      <c r="J48" s="132" t="s">
        <v>58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58</v>
      </c>
      <c r="G49" s="314"/>
      <c r="H49" s="142" t="str">
        <f t="shared" si="11"/>
        <v/>
      </c>
      <c r="I49" s="318"/>
      <c r="J49" s="132" t="s">
        <v>58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58</v>
      </c>
      <c r="G50" s="314"/>
      <c r="H50" s="142" t="str">
        <f t="shared" si="11"/>
        <v/>
      </c>
      <c r="I50" s="318"/>
      <c r="J50" s="132" t="s">
        <v>58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58</v>
      </c>
      <c r="G51" s="314"/>
      <c r="H51" s="142" t="str">
        <f t="shared" si="11"/>
        <v/>
      </c>
      <c r="I51" s="318"/>
      <c r="J51" s="132" t="s">
        <v>58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58</v>
      </c>
      <c r="G52" s="314"/>
      <c r="H52" s="142" t="str">
        <f t="shared" si="11"/>
        <v/>
      </c>
      <c r="I52" s="318"/>
      <c r="J52" s="132" t="s">
        <v>58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58</v>
      </c>
      <c r="G53" s="314"/>
      <c r="H53" s="142" t="str">
        <f t="shared" si="11"/>
        <v/>
      </c>
      <c r="I53" s="318"/>
      <c r="J53" s="132" t="s">
        <v>58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58</v>
      </c>
      <c r="G54" s="314"/>
      <c r="H54" s="142" t="str">
        <f t="shared" si="11"/>
        <v/>
      </c>
      <c r="I54" s="318"/>
      <c r="J54" s="132" t="s">
        <v>58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58</v>
      </c>
      <c r="G55" s="314"/>
      <c r="H55" s="142" t="str">
        <f t="shared" si="11"/>
        <v/>
      </c>
      <c r="I55" s="318"/>
      <c r="J55" s="132" t="s">
        <v>58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58</v>
      </c>
      <c r="G56" s="314"/>
      <c r="H56" s="142" t="str">
        <f t="shared" si="11"/>
        <v/>
      </c>
      <c r="I56" s="318"/>
      <c r="J56" s="132" t="s">
        <v>58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58</v>
      </c>
      <c r="G57" s="314"/>
      <c r="H57" s="142" t="str">
        <f t="shared" si="11"/>
        <v/>
      </c>
      <c r="I57" s="318"/>
      <c r="J57" s="132" t="s">
        <v>58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58</v>
      </c>
      <c r="G58" s="314"/>
      <c r="H58" s="142" t="str">
        <f t="shared" si="11"/>
        <v/>
      </c>
      <c r="I58" s="318"/>
      <c r="J58" s="132" t="s">
        <v>58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58</v>
      </c>
      <c r="G59" s="314"/>
      <c r="H59" s="142" t="str">
        <f t="shared" si="11"/>
        <v/>
      </c>
      <c r="I59" s="318"/>
      <c r="J59" s="132" t="s">
        <v>58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58</v>
      </c>
      <c r="G60" s="314"/>
      <c r="H60" s="142" t="str">
        <f t="shared" si="11"/>
        <v/>
      </c>
      <c r="I60" s="318"/>
      <c r="J60" s="132" t="s">
        <v>58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58</v>
      </c>
      <c r="G61" s="314"/>
      <c r="H61" s="142" t="str">
        <f t="shared" si="11"/>
        <v/>
      </c>
      <c r="I61" s="318"/>
      <c r="J61" s="132" t="s">
        <v>58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58</v>
      </c>
      <c r="G62" s="314"/>
      <c r="H62" s="142" t="str">
        <f t="shared" si="11"/>
        <v/>
      </c>
      <c r="I62" s="318"/>
      <c r="J62" s="132" t="s">
        <v>58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58</v>
      </c>
      <c r="G63" s="314"/>
      <c r="H63" s="142" t="str">
        <f t="shared" si="11"/>
        <v/>
      </c>
      <c r="I63" s="318"/>
      <c r="J63" s="132" t="s">
        <v>58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58</v>
      </c>
      <c r="G64" s="314"/>
      <c r="H64" s="142" t="str">
        <f t="shared" si="11"/>
        <v/>
      </c>
      <c r="I64" s="318"/>
      <c r="J64" s="132" t="s">
        <v>58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58</v>
      </c>
      <c r="G65" s="314"/>
      <c r="H65" s="142" t="str">
        <f t="shared" si="11"/>
        <v/>
      </c>
      <c r="I65" s="318"/>
      <c r="J65" s="132" t="s">
        <v>58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58</v>
      </c>
      <c r="G66" s="314"/>
      <c r="H66" s="142" t="str">
        <f t="shared" si="11"/>
        <v/>
      </c>
      <c r="I66" s="318"/>
      <c r="J66" s="132" t="s">
        <v>58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58</v>
      </c>
      <c r="G67" s="314"/>
      <c r="H67" s="142" t="str">
        <f t="shared" si="11"/>
        <v/>
      </c>
      <c r="I67" s="318"/>
      <c r="J67" s="132" t="s">
        <v>58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58</v>
      </c>
      <c r="G68" s="314"/>
      <c r="H68" s="142" t="str">
        <f t="shared" si="11"/>
        <v/>
      </c>
      <c r="I68" s="318"/>
      <c r="J68" s="132" t="s">
        <v>58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58</v>
      </c>
      <c r="G69" s="314"/>
      <c r="H69" s="142" t="str">
        <f t="shared" si="11"/>
        <v/>
      </c>
      <c r="I69" s="318"/>
      <c r="J69" s="132" t="s">
        <v>58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58</v>
      </c>
      <c r="G70" s="314"/>
      <c r="H70" s="142" t="str">
        <f t="shared" si="11"/>
        <v/>
      </c>
      <c r="I70" s="318"/>
      <c r="J70" s="132" t="s">
        <v>58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58</v>
      </c>
      <c r="G71" s="314"/>
      <c r="H71" s="142" t="str">
        <f t="shared" si="11"/>
        <v/>
      </c>
      <c r="I71" s="318"/>
      <c r="J71" s="132" t="s">
        <v>58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58</v>
      </c>
      <c r="G72" s="314"/>
      <c r="H72" s="142" t="str">
        <f t="shared" si="11"/>
        <v/>
      </c>
      <c r="I72" s="318"/>
      <c r="J72" s="132" t="s">
        <v>58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58</v>
      </c>
      <c r="G73" s="314"/>
      <c r="H73" s="142" t="str">
        <f t="shared" si="11"/>
        <v/>
      </c>
      <c r="I73" s="318"/>
      <c r="J73" s="132" t="s">
        <v>58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58</v>
      </c>
      <c r="G74" s="314"/>
      <c r="H74" s="142" t="str">
        <f t="shared" si="11"/>
        <v/>
      </c>
      <c r="I74" s="318"/>
      <c r="J74" s="132" t="s">
        <v>58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58</v>
      </c>
      <c r="G75" s="314"/>
      <c r="H75" s="142" t="str">
        <f t="shared" si="11"/>
        <v/>
      </c>
      <c r="I75" s="318"/>
      <c r="J75" s="132" t="s">
        <v>58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58</v>
      </c>
      <c r="G76" s="314"/>
      <c r="H76" s="142" t="str">
        <f t="shared" si="11"/>
        <v/>
      </c>
      <c r="I76" s="318"/>
      <c r="J76" s="132" t="s">
        <v>58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58</v>
      </c>
      <c r="G77" s="314"/>
      <c r="H77" s="142" t="str">
        <f t="shared" si="11"/>
        <v/>
      </c>
      <c r="I77" s="318"/>
      <c r="J77" s="132" t="s">
        <v>58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58</v>
      </c>
      <c r="G78" s="314"/>
      <c r="H78" s="142" t="str">
        <f t="shared" si="11"/>
        <v/>
      </c>
      <c r="I78" s="318"/>
      <c r="J78" s="132" t="s">
        <v>58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58</v>
      </c>
      <c r="G79" s="314"/>
      <c r="H79" s="142" t="str">
        <f t="shared" si="11"/>
        <v/>
      </c>
      <c r="I79" s="318"/>
      <c r="J79" s="132" t="s">
        <v>58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58</v>
      </c>
      <c r="G80" s="314"/>
      <c r="H80" s="142" t="str">
        <f t="shared" si="11"/>
        <v/>
      </c>
      <c r="I80" s="318"/>
      <c r="J80" s="132" t="s">
        <v>58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58</v>
      </c>
      <c r="G81" s="314"/>
      <c r="H81" s="142" t="str">
        <f t="shared" si="11"/>
        <v/>
      </c>
      <c r="I81" s="318"/>
      <c r="J81" s="132" t="s">
        <v>58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58</v>
      </c>
      <c r="G82" s="314"/>
      <c r="H82" s="142" t="str">
        <f t="shared" si="11"/>
        <v/>
      </c>
      <c r="I82" s="318"/>
      <c r="J82" s="132" t="s">
        <v>58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58</v>
      </c>
      <c r="G83" s="314"/>
      <c r="H83" s="142" t="str">
        <f t="shared" si="11"/>
        <v/>
      </c>
      <c r="I83" s="318"/>
      <c r="J83" s="132" t="s">
        <v>58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58</v>
      </c>
      <c r="G84" s="314"/>
      <c r="H84" s="142" t="str">
        <f t="shared" ref="H84:H147" si="12">IF(G84="","",((E84-G84)-1)*(-1))</f>
        <v/>
      </c>
      <c r="I84" s="318"/>
      <c r="J84" s="132" t="s">
        <v>58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58</v>
      </c>
      <c r="G85" s="314"/>
      <c r="H85" s="142" t="str">
        <f t="shared" si="12"/>
        <v/>
      </c>
      <c r="I85" s="318"/>
      <c r="J85" s="132" t="s">
        <v>58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58</v>
      </c>
      <c r="G86" s="314"/>
      <c r="H86" s="142" t="str">
        <f t="shared" si="12"/>
        <v/>
      </c>
      <c r="I86" s="318"/>
      <c r="J86" s="132" t="s">
        <v>58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58</v>
      </c>
      <c r="G87" s="314"/>
      <c r="H87" s="142" t="str">
        <f t="shared" si="12"/>
        <v/>
      </c>
      <c r="I87" s="318"/>
      <c r="J87" s="132" t="s">
        <v>58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58</v>
      </c>
      <c r="G88" s="314"/>
      <c r="H88" s="142" t="str">
        <f t="shared" si="12"/>
        <v/>
      </c>
      <c r="I88" s="318"/>
      <c r="J88" s="132" t="s">
        <v>58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58</v>
      </c>
      <c r="G89" s="314"/>
      <c r="H89" s="142" t="str">
        <f t="shared" si="12"/>
        <v/>
      </c>
      <c r="I89" s="318"/>
      <c r="J89" s="132" t="s">
        <v>58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58</v>
      </c>
      <c r="G90" s="314"/>
      <c r="H90" s="142" t="str">
        <f t="shared" si="12"/>
        <v/>
      </c>
      <c r="I90" s="318"/>
      <c r="J90" s="132" t="s">
        <v>58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58</v>
      </c>
      <c r="G91" s="314"/>
      <c r="H91" s="142" t="str">
        <f t="shared" si="12"/>
        <v/>
      </c>
      <c r="I91" s="318"/>
      <c r="J91" s="132" t="s">
        <v>58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58</v>
      </c>
      <c r="G92" s="314"/>
      <c r="H92" s="142" t="str">
        <f t="shared" si="12"/>
        <v/>
      </c>
      <c r="I92" s="318"/>
      <c r="J92" s="132" t="s">
        <v>58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58</v>
      </c>
      <c r="G93" s="314"/>
      <c r="H93" s="142" t="str">
        <f t="shared" si="12"/>
        <v/>
      </c>
      <c r="I93" s="318"/>
      <c r="J93" s="132" t="s">
        <v>58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58</v>
      </c>
      <c r="G94" s="314"/>
      <c r="H94" s="142" t="str">
        <f t="shared" si="12"/>
        <v/>
      </c>
      <c r="I94" s="318"/>
      <c r="J94" s="132" t="s">
        <v>58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58</v>
      </c>
      <c r="G95" s="314"/>
      <c r="H95" s="142" t="str">
        <f t="shared" si="12"/>
        <v/>
      </c>
      <c r="I95" s="318"/>
      <c r="J95" s="132" t="s">
        <v>58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58</v>
      </c>
      <c r="G96" s="314"/>
      <c r="H96" s="142" t="str">
        <f t="shared" si="12"/>
        <v/>
      </c>
      <c r="I96" s="318"/>
      <c r="J96" s="132" t="s">
        <v>58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58</v>
      </c>
      <c r="G97" s="314"/>
      <c r="H97" s="142" t="str">
        <f t="shared" si="12"/>
        <v/>
      </c>
      <c r="I97" s="318"/>
      <c r="J97" s="132" t="s">
        <v>58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58</v>
      </c>
      <c r="G98" s="314"/>
      <c r="H98" s="142" t="str">
        <f t="shared" si="12"/>
        <v/>
      </c>
      <c r="I98" s="318"/>
      <c r="J98" s="132" t="s">
        <v>58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58</v>
      </c>
      <c r="G99" s="314"/>
      <c r="H99" s="142" t="str">
        <f t="shared" si="12"/>
        <v/>
      </c>
      <c r="I99" s="318"/>
      <c r="J99" s="132" t="s">
        <v>58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58</v>
      </c>
      <c r="G100" s="314"/>
      <c r="H100" s="142" t="str">
        <f t="shared" si="12"/>
        <v/>
      </c>
      <c r="I100" s="318"/>
      <c r="J100" s="132" t="s">
        <v>58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58</v>
      </c>
      <c r="G101" s="314"/>
      <c r="H101" s="142" t="str">
        <f t="shared" si="12"/>
        <v/>
      </c>
      <c r="I101" s="318"/>
      <c r="J101" s="132" t="s">
        <v>58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58</v>
      </c>
      <c r="G102" s="314"/>
      <c r="H102" s="142" t="str">
        <f t="shared" si="12"/>
        <v/>
      </c>
      <c r="I102" s="318"/>
      <c r="J102" s="132" t="s">
        <v>58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58</v>
      </c>
      <c r="G103" s="314"/>
      <c r="H103" s="142" t="str">
        <f t="shared" si="12"/>
        <v/>
      </c>
      <c r="I103" s="318"/>
      <c r="J103" s="132" t="s">
        <v>58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58</v>
      </c>
      <c r="G104" s="314"/>
      <c r="H104" s="142" t="str">
        <f t="shared" si="12"/>
        <v/>
      </c>
      <c r="I104" s="318"/>
      <c r="J104" s="132" t="s">
        <v>58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58</v>
      </c>
      <c r="G105" s="314"/>
      <c r="H105" s="142" t="str">
        <f t="shared" si="12"/>
        <v/>
      </c>
      <c r="I105" s="318"/>
      <c r="J105" s="132" t="s">
        <v>58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58</v>
      </c>
      <c r="G106" s="314"/>
      <c r="H106" s="142" t="str">
        <f t="shared" si="12"/>
        <v/>
      </c>
      <c r="I106" s="318"/>
      <c r="J106" s="132" t="s">
        <v>58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58</v>
      </c>
      <c r="G107" s="314"/>
      <c r="H107" s="142" t="str">
        <f t="shared" si="12"/>
        <v/>
      </c>
      <c r="I107" s="318"/>
      <c r="J107" s="132" t="s">
        <v>58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58</v>
      </c>
      <c r="G108" s="314"/>
      <c r="H108" s="142" t="str">
        <f t="shared" si="12"/>
        <v/>
      </c>
      <c r="I108" s="318"/>
      <c r="J108" s="132" t="s">
        <v>58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58</v>
      </c>
      <c r="G109" s="314"/>
      <c r="H109" s="142" t="str">
        <f t="shared" si="12"/>
        <v/>
      </c>
      <c r="I109" s="318"/>
      <c r="J109" s="132" t="s">
        <v>58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58</v>
      </c>
      <c r="G110" s="314"/>
      <c r="H110" s="142" t="str">
        <f t="shared" si="12"/>
        <v/>
      </c>
      <c r="I110" s="318"/>
      <c r="J110" s="132" t="s">
        <v>58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58</v>
      </c>
      <c r="G111" s="314"/>
      <c r="H111" s="142" t="str">
        <f t="shared" si="12"/>
        <v/>
      </c>
      <c r="I111" s="318"/>
      <c r="J111" s="132" t="s">
        <v>58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58</v>
      </c>
      <c r="G112" s="314"/>
      <c r="H112" s="142" t="str">
        <f t="shared" si="12"/>
        <v/>
      </c>
      <c r="I112" s="318"/>
      <c r="J112" s="132" t="s">
        <v>58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58</v>
      </c>
      <c r="G113" s="314"/>
      <c r="H113" s="142" t="str">
        <f t="shared" si="12"/>
        <v/>
      </c>
      <c r="I113" s="318"/>
      <c r="J113" s="132" t="s">
        <v>58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58</v>
      </c>
      <c r="G114" s="314"/>
      <c r="H114" s="142" t="str">
        <f t="shared" si="12"/>
        <v/>
      </c>
      <c r="I114" s="318"/>
      <c r="J114" s="132" t="s">
        <v>58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58</v>
      </c>
      <c r="G115" s="314"/>
      <c r="H115" s="142" t="str">
        <f t="shared" si="12"/>
        <v/>
      </c>
      <c r="I115" s="318"/>
      <c r="J115" s="132" t="s">
        <v>58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58</v>
      </c>
      <c r="G116" s="314"/>
      <c r="H116" s="142" t="str">
        <f t="shared" si="12"/>
        <v/>
      </c>
      <c r="I116" s="318"/>
      <c r="J116" s="132" t="s">
        <v>58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58</v>
      </c>
      <c r="G117" s="314"/>
      <c r="H117" s="142" t="str">
        <f t="shared" si="12"/>
        <v/>
      </c>
      <c r="I117" s="318"/>
      <c r="J117" s="132" t="s">
        <v>58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58</v>
      </c>
      <c r="G118" s="314"/>
      <c r="H118" s="142" t="str">
        <f t="shared" si="12"/>
        <v/>
      </c>
      <c r="I118" s="318"/>
      <c r="J118" s="132" t="s">
        <v>58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58</v>
      </c>
      <c r="G119" s="314"/>
      <c r="H119" s="142" t="str">
        <f t="shared" si="12"/>
        <v/>
      </c>
      <c r="I119" s="318"/>
      <c r="J119" s="132" t="s">
        <v>58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58</v>
      </c>
      <c r="G120" s="314"/>
      <c r="H120" s="142" t="str">
        <f t="shared" si="12"/>
        <v/>
      </c>
      <c r="I120" s="318"/>
      <c r="J120" s="132" t="s">
        <v>58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58</v>
      </c>
      <c r="G121" s="314"/>
      <c r="H121" s="142" t="str">
        <f t="shared" si="12"/>
        <v/>
      </c>
      <c r="I121" s="318"/>
      <c r="J121" s="132" t="s">
        <v>58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58</v>
      </c>
      <c r="G122" s="314"/>
      <c r="H122" s="142" t="str">
        <f t="shared" si="12"/>
        <v/>
      </c>
      <c r="I122" s="318"/>
      <c r="J122" s="132" t="s">
        <v>58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58</v>
      </c>
      <c r="G123" s="314"/>
      <c r="H123" s="142" t="str">
        <f t="shared" si="12"/>
        <v/>
      </c>
      <c r="I123" s="318"/>
      <c r="J123" s="132" t="s">
        <v>58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58</v>
      </c>
      <c r="G124" s="314"/>
      <c r="H124" s="142" t="str">
        <f t="shared" si="12"/>
        <v/>
      </c>
      <c r="I124" s="318"/>
      <c r="J124" s="132" t="s">
        <v>58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58</v>
      </c>
      <c r="G125" s="314"/>
      <c r="H125" s="142" t="str">
        <f t="shared" si="12"/>
        <v/>
      </c>
      <c r="I125" s="318"/>
      <c r="J125" s="132" t="s">
        <v>58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58</v>
      </c>
      <c r="G126" s="314"/>
      <c r="H126" s="142" t="str">
        <f t="shared" si="12"/>
        <v/>
      </c>
      <c r="I126" s="318"/>
      <c r="J126" s="132" t="s">
        <v>58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58</v>
      </c>
      <c r="G127" s="314"/>
      <c r="H127" s="142" t="str">
        <f t="shared" si="12"/>
        <v/>
      </c>
      <c r="I127" s="318"/>
      <c r="J127" s="132" t="s">
        <v>58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58</v>
      </c>
      <c r="G128" s="314"/>
      <c r="H128" s="142" t="str">
        <f t="shared" si="12"/>
        <v/>
      </c>
      <c r="I128" s="318"/>
      <c r="J128" s="132" t="s">
        <v>58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58</v>
      </c>
      <c r="G129" s="314"/>
      <c r="H129" s="142" t="str">
        <f t="shared" si="12"/>
        <v/>
      </c>
      <c r="I129" s="318"/>
      <c r="J129" s="132" t="s">
        <v>58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58</v>
      </c>
      <c r="G130" s="314"/>
      <c r="H130" s="142" t="str">
        <f t="shared" si="12"/>
        <v/>
      </c>
      <c r="I130" s="318"/>
      <c r="J130" s="132" t="s">
        <v>58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58</v>
      </c>
      <c r="G131" s="314"/>
      <c r="H131" s="142" t="str">
        <f t="shared" si="12"/>
        <v/>
      </c>
      <c r="I131" s="318"/>
      <c r="J131" s="132" t="s">
        <v>58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58</v>
      </c>
      <c r="G132" s="314"/>
      <c r="H132" s="142" t="str">
        <f t="shared" si="12"/>
        <v/>
      </c>
      <c r="I132" s="318"/>
      <c r="J132" s="132" t="s">
        <v>58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58</v>
      </c>
      <c r="G133" s="314"/>
      <c r="H133" s="142" t="str">
        <f t="shared" si="12"/>
        <v/>
      </c>
      <c r="I133" s="318"/>
      <c r="J133" s="132" t="s">
        <v>58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58</v>
      </c>
      <c r="G134" s="314"/>
      <c r="H134" s="142" t="str">
        <f t="shared" si="12"/>
        <v/>
      </c>
      <c r="I134" s="318"/>
      <c r="J134" s="132" t="s">
        <v>58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58</v>
      </c>
      <c r="G135" s="314"/>
      <c r="H135" s="142" t="str">
        <f t="shared" si="12"/>
        <v/>
      </c>
      <c r="I135" s="318"/>
      <c r="J135" s="132" t="s">
        <v>58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58</v>
      </c>
      <c r="G136" s="314"/>
      <c r="H136" s="142" t="str">
        <f t="shared" si="12"/>
        <v/>
      </c>
      <c r="I136" s="318"/>
      <c r="J136" s="132" t="s">
        <v>58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58</v>
      </c>
      <c r="G137" s="314"/>
      <c r="H137" s="142" t="str">
        <f t="shared" si="12"/>
        <v/>
      </c>
      <c r="I137" s="318"/>
      <c r="J137" s="132" t="s">
        <v>58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58</v>
      </c>
      <c r="G138" s="314"/>
      <c r="H138" s="142" t="str">
        <f t="shared" si="12"/>
        <v/>
      </c>
      <c r="I138" s="318"/>
      <c r="J138" s="132" t="s">
        <v>58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58</v>
      </c>
      <c r="G139" s="314"/>
      <c r="H139" s="142" t="str">
        <f t="shared" si="12"/>
        <v/>
      </c>
      <c r="I139" s="318"/>
      <c r="J139" s="132" t="s">
        <v>58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58</v>
      </c>
      <c r="G140" s="314"/>
      <c r="H140" s="142" t="str">
        <f t="shared" si="12"/>
        <v/>
      </c>
      <c r="I140" s="318"/>
      <c r="J140" s="132" t="s">
        <v>58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58</v>
      </c>
      <c r="G141" s="314"/>
      <c r="H141" s="142" t="str">
        <f t="shared" si="12"/>
        <v/>
      </c>
      <c r="I141" s="318"/>
      <c r="J141" s="132" t="s">
        <v>58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58</v>
      </c>
      <c r="G142" s="314"/>
      <c r="H142" s="142" t="str">
        <f t="shared" si="12"/>
        <v/>
      </c>
      <c r="I142" s="318"/>
      <c r="J142" s="132" t="s">
        <v>58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58</v>
      </c>
      <c r="G143" s="314"/>
      <c r="H143" s="142" t="str">
        <f t="shared" si="12"/>
        <v/>
      </c>
      <c r="I143" s="318"/>
      <c r="J143" s="132" t="s">
        <v>58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58</v>
      </c>
      <c r="G144" s="314"/>
      <c r="H144" s="142" t="str">
        <f t="shared" si="12"/>
        <v/>
      </c>
      <c r="I144" s="318"/>
      <c r="J144" s="132" t="s">
        <v>58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58</v>
      </c>
      <c r="G145" s="314"/>
      <c r="H145" s="142" t="str">
        <f t="shared" si="12"/>
        <v/>
      </c>
      <c r="I145" s="318"/>
      <c r="J145" s="132" t="s">
        <v>58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58</v>
      </c>
      <c r="G146" s="314"/>
      <c r="H146" s="142" t="str">
        <f t="shared" si="12"/>
        <v/>
      </c>
      <c r="I146" s="318"/>
      <c r="J146" s="132" t="s">
        <v>58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58</v>
      </c>
      <c r="G147" s="314"/>
      <c r="H147" s="142" t="str">
        <f t="shared" si="12"/>
        <v/>
      </c>
      <c r="I147" s="318"/>
      <c r="J147" s="132" t="s">
        <v>58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58</v>
      </c>
      <c r="G148" s="314"/>
      <c r="H148" s="142" t="str">
        <f t="shared" ref="H148:H153" si="24">IF(G148="","",((E148-G148)-1)*(-1))</f>
        <v/>
      </c>
      <c r="I148" s="318"/>
      <c r="J148" s="132" t="s">
        <v>58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58</v>
      </c>
      <c r="G149" s="314"/>
      <c r="H149" s="142" t="str">
        <f t="shared" si="24"/>
        <v/>
      </c>
      <c r="I149" s="318"/>
      <c r="J149" s="132" t="s">
        <v>58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58</v>
      </c>
      <c r="G150" s="314"/>
      <c r="H150" s="142" t="str">
        <f t="shared" si="24"/>
        <v/>
      </c>
      <c r="I150" s="318"/>
      <c r="J150" s="132" t="s">
        <v>58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58</v>
      </c>
      <c r="G151" s="314"/>
      <c r="H151" s="142" t="str">
        <f t="shared" si="24"/>
        <v/>
      </c>
      <c r="I151" s="318"/>
      <c r="J151" s="132" t="s">
        <v>58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58</v>
      </c>
      <c r="G152" s="314"/>
      <c r="H152" s="142" t="str">
        <f t="shared" si="24"/>
        <v/>
      </c>
      <c r="I152" s="318"/>
      <c r="J152" s="132" t="s">
        <v>58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58</v>
      </c>
      <c r="G153" s="314"/>
      <c r="H153" s="142" t="str">
        <f t="shared" si="24"/>
        <v/>
      </c>
      <c r="I153" s="318"/>
      <c r="J153" s="132" t="s">
        <v>58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58</v>
      </c>
      <c r="G154" s="314"/>
      <c r="H154" s="142" t="str">
        <f t="shared" si="11"/>
        <v/>
      </c>
      <c r="I154" s="318"/>
      <c r="J154" s="132" t="s">
        <v>58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58</v>
      </c>
      <c r="G155" s="315"/>
      <c r="H155" s="142" t="str">
        <f t="shared" si="11"/>
        <v/>
      </c>
      <c r="I155" s="317"/>
      <c r="J155" s="132" t="s">
        <v>58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51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58</v>
      </c>
      <c r="G156" s="314"/>
      <c r="H156" s="142" t="str">
        <f t="shared" si="11"/>
        <v/>
      </c>
      <c r="I156" s="318"/>
      <c r="J156" s="132" t="s">
        <v>58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52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58</v>
      </c>
      <c r="G157" s="315"/>
      <c r="H157" s="142" t="str">
        <f t="shared" si="11"/>
        <v/>
      </c>
      <c r="I157" s="317"/>
      <c r="J157" s="132" t="s">
        <v>58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11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58</v>
      </c>
      <c r="G158" s="314"/>
      <c r="H158" s="142" t="str">
        <f t="shared" si="11"/>
        <v/>
      </c>
      <c r="I158" s="318"/>
      <c r="J158" s="132" t="s">
        <v>58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66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58</v>
      </c>
      <c r="G159" s="315"/>
      <c r="H159" s="142" t="str">
        <f>IF(G159="","",((E159-G159)-1)*(-1))</f>
        <v/>
      </c>
      <c r="I159" s="317"/>
      <c r="J159" s="132" t="s">
        <v>58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58</v>
      </c>
      <c r="G160" s="314"/>
      <c r="H160" s="142" t="str">
        <f t="shared" si="11"/>
        <v/>
      </c>
      <c r="I160" s="318"/>
      <c r="J160" s="132" t="s">
        <v>58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58</v>
      </c>
      <c r="G161" s="315"/>
      <c r="H161" s="142" t="str">
        <f t="shared" si="11"/>
        <v/>
      </c>
      <c r="I161" s="317"/>
      <c r="J161" s="132" t="s">
        <v>58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58</v>
      </c>
      <c r="G162" s="315"/>
      <c r="H162" s="142" t="str">
        <f t="shared" si="11"/>
        <v/>
      </c>
      <c r="I162" s="317"/>
      <c r="J162" s="132" t="s">
        <v>58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58</v>
      </c>
      <c r="G163" s="315"/>
      <c r="H163" s="142" t="str">
        <f t="shared" si="11"/>
        <v/>
      </c>
      <c r="I163" s="317"/>
      <c r="J163" s="132" t="s">
        <v>58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58</v>
      </c>
      <c r="G164" s="315"/>
      <c r="H164" s="142" t="str">
        <f t="shared" si="11"/>
        <v/>
      </c>
      <c r="I164" s="317"/>
      <c r="J164" s="132" t="s">
        <v>58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58</v>
      </c>
      <c r="G165" s="315"/>
      <c r="H165" s="142" t="str">
        <f t="shared" si="11"/>
        <v/>
      </c>
      <c r="I165" s="317"/>
      <c r="J165" s="132" t="s">
        <v>58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58</v>
      </c>
      <c r="G166" s="315"/>
      <c r="H166" s="142" t="str">
        <f t="shared" si="11"/>
        <v/>
      </c>
      <c r="I166" s="317"/>
      <c r="J166" s="132" t="s">
        <v>58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58</v>
      </c>
      <c r="G167" s="315"/>
      <c r="H167" s="142" t="str">
        <f t="shared" si="11"/>
        <v/>
      </c>
      <c r="I167" s="317"/>
      <c r="J167" s="132" t="s">
        <v>58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58</v>
      </c>
      <c r="G168" s="315"/>
      <c r="H168" s="142" t="str">
        <f t="shared" si="11"/>
        <v/>
      </c>
      <c r="I168" s="317"/>
      <c r="J168" s="132" t="s">
        <v>58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58</v>
      </c>
      <c r="G169" s="315"/>
      <c r="H169" s="142" t="str">
        <f t="shared" si="11"/>
        <v/>
      </c>
      <c r="I169" s="317"/>
      <c r="J169" s="132" t="s">
        <v>58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58</v>
      </c>
      <c r="G170" s="315"/>
      <c r="H170" s="142" t="str">
        <f t="shared" si="11"/>
        <v/>
      </c>
      <c r="I170" s="317"/>
      <c r="J170" s="132" t="s">
        <v>58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58</v>
      </c>
      <c r="G171" s="315"/>
      <c r="H171" s="142" t="str">
        <f t="shared" si="11"/>
        <v/>
      </c>
      <c r="I171" s="317"/>
      <c r="J171" s="132" t="s">
        <v>58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58</v>
      </c>
      <c r="G172" s="315"/>
      <c r="H172" s="142" t="str">
        <f t="shared" si="11"/>
        <v/>
      </c>
      <c r="I172" s="317"/>
      <c r="J172" s="132" t="s">
        <v>58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58</v>
      </c>
      <c r="G173" s="315"/>
      <c r="H173" s="142" t="str">
        <f t="shared" si="11"/>
        <v/>
      </c>
      <c r="I173" s="317"/>
      <c r="J173" s="132" t="s">
        <v>58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58</v>
      </c>
      <c r="G174" s="315"/>
      <c r="H174" s="142" t="str">
        <f t="shared" si="11"/>
        <v/>
      </c>
      <c r="I174" s="317"/>
      <c r="J174" s="132" t="s">
        <v>58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58</v>
      </c>
      <c r="G175" s="315"/>
      <c r="H175" s="142" t="str">
        <f t="shared" si="11"/>
        <v/>
      </c>
      <c r="I175" s="317"/>
      <c r="J175" s="132" t="s">
        <v>58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58</v>
      </c>
      <c r="G176" s="315"/>
      <c r="H176" s="142" t="str">
        <f t="shared" si="11"/>
        <v/>
      </c>
      <c r="I176" s="317"/>
      <c r="J176" s="132" t="s">
        <v>58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58</v>
      </c>
      <c r="G177" s="315"/>
      <c r="H177" s="142" t="str">
        <f t="shared" si="11"/>
        <v/>
      </c>
      <c r="I177" s="317"/>
      <c r="J177" s="132" t="s">
        <v>58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58</v>
      </c>
      <c r="G178" s="315"/>
      <c r="H178" s="142" t="str">
        <f t="shared" si="11"/>
        <v/>
      </c>
      <c r="I178" s="317"/>
      <c r="J178" s="132" t="s">
        <v>58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58</v>
      </c>
      <c r="G179" s="315"/>
      <c r="H179" s="142" t="str">
        <f t="shared" si="11"/>
        <v/>
      </c>
      <c r="I179" s="317"/>
      <c r="J179" s="132" t="s">
        <v>58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58</v>
      </c>
      <c r="G180" s="315"/>
      <c r="H180" s="142" t="str">
        <f t="shared" si="11"/>
        <v/>
      </c>
      <c r="I180" s="317"/>
      <c r="J180" s="132" t="s">
        <v>58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58</v>
      </c>
      <c r="G181" s="315"/>
      <c r="H181" s="142" t="str">
        <f t="shared" si="11"/>
        <v/>
      </c>
      <c r="I181" s="317"/>
      <c r="J181" s="132" t="s">
        <v>58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58</v>
      </c>
      <c r="G182" s="315"/>
      <c r="H182" s="142" t="str">
        <f t="shared" si="11"/>
        <v/>
      </c>
      <c r="I182" s="317"/>
      <c r="J182" s="132" t="s">
        <v>58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58</v>
      </c>
      <c r="G183" s="315"/>
      <c r="H183" s="142" t="str">
        <f t="shared" si="11"/>
        <v/>
      </c>
      <c r="I183" s="317"/>
      <c r="J183" s="132" t="s">
        <v>58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58</v>
      </c>
      <c r="G184" s="315"/>
      <c r="H184" s="142" t="str">
        <f t="shared" si="11"/>
        <v/>
      </c>
      <c r="I184" s="317"/>
      <c r="J184" s="132" t="s">
        <v>58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58</v>
      </c>
      <c r="G185" s="315"/>
      <c r="H185" s="142" t="str">
        <f t="shared" si="11"/>
        <v/>
      </c>
      <c r="I185" s="317"/>
      <c r="J185" s="132" t="s">
        <v>58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58</v>
      </c>
      <c r="G186" s="315"/>
      <c r="H186" s="142" t="str">
        <f t="shared" si="11"/>
        <v/>
      </c>
      <c r="I186" s="317"/>
      <c r="J186" s="132" t="s">
        <v>58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58</v>
      </c>
      <c r="G187" s="315"/>
      <c r="H187" s="142" t="str">
        <f t="shared" si="11"/>
        <v/>
      </c>
      <c r="I187" s="317"/>
      <c r="J187" s="132" t="s">
        <v>58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58</v>
      </c>
      <c r="G188" s="315"/>
      <c r="H188" s="142" t="str">
        <f t="shared" si="11"/>
        <v/>
      </c>
      <c r="I188" s="317"/>
      <c r="J188" s="132" t="s">
        <v>58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58</v>
      </c>
      <c r="G189" s="315"/>
      <c r="H189" s="142" t="str">
        <f t="shared" si="11"/>
        <v/>
      </c>
      <c r="I189" s="317"/>
      <c r="J189" s="132" t="s">
        <v>58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58</v>
      </c>
      <c r="G190" s="315"/>
      <c r="H190" s="142" t="str">
        <f t="shared" si="11"/>
        <v/>
      </c>
      <c r="I190" s="317"/>
      <c r="J190" s="132" t="s">
        <v>58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e">
        <f>IF('Cable Info'!L50="","",CONCATENATE('Cable Info'!L50," - ",'Cable Info'!M50))</f>
        <v>#N/A</v>
      </c>
      <c r="AM190" s="149" t="e">
        <f t="shared" si="0"/>
        <v>#N/A</v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58</v>
      </c>
      <c r="G191" s="315"/>
      <c r="H191" s="142" t="str">
        <f t="shared" si="11"/>
        <v/>
      </c>
      <c r="I191" s="317"/>
      <c r="J191" s="132" t="s">
        <v>58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e">
        <f>IF('Cable Info'!L51="","",CONCATENATE('Cable Info'!L51," - ",'Cable Info'!M51))</f>
        <v>#N/A</v>
      </c>
      <c r="AM191" s="149" t="e">
        <f t="shared" si="0"/>
        <v>#N/A</v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58</v>
      </c>
      <c r="G192" s="315"/>
      <c r="H192" s="142" t="str">
        <f t="shared" si="11"/>
        <v/>
      </c>
      <c r="I192" s="317"/>
      <c r="J192" s="132" t="s">
        <v>58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e">
        <f>IF('Cable Info'!L52="","",CONCATENATE('Cable Info'!L52," - ",'Cable Info'!M52))</f>
        <v>#N/A</v>
      </c>
      <c r="AM192" s="149" t="e">
        <f t="shared" si="0"/>
        <v>#N/A</v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58</v>
      </c>
      <c r="G193" s="315"/>
      <c r="H193" s="142" t="str">
        <f t="shared" si="11"/>
        <v/>
      </c>
      <c r="I193" s="317"/>
      <c r="J193" s="132" t="s">
        <v>58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e">
        <f>IF('Cable Info'!L53="","",CONCATENATE('Cable Info'!L53," - ",'Cable Info'!M53))</f>
        <v>#N/A</v>
      </c>
      <c r="AM193" s="149" t="e">
        <f t="shared" si="0"/>
        <v>#N/A</v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58</v>
      </c>
      <c r="G194" s="315"/>
      <c r="H194" s="142" t="str">
        <f t="shared" si="11"/>
        <v/>
      </c>
      <c r="I194" s="317"/>
      <c r="J194" s="132" t="s">
        <v>58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e">
        <f>IF('Cable Info'!L54="","",CONCATENATE('Cable Info'!L54," - ",'Cable Info'!M54))</f>
        <v>#N/A</v>
      </c>
      <c r="AM194" s="149" t="e">
        <f t="shared" si="0"/>
        <v>#N/A</v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58</v>
      </c>
      <c r="G195" s="315"/>
      <c r="H195" s="142" t="str">
        <f t="shared" si="11"/>
        <v/>
      </c>
      <c r="I195" s="317"/>
      <c r="J195" s="132" t="s">
        <v>58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e">
        <f>IF('Cable Info'!L55="","",CONCATENATE('Cable Info'!L55," - ",'Cable Info'!M55))</f>
        <v>#N/A</v>
      </c>
      <c r="AM195" s="149" t="e">
        <f t="shared" si="0"/>
        <v>#N/A</v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58</v>
      </c>
      <c r="G196" s="315"/>
      <c r="H196" s="142" t="str">
        <f t="shared" si="11"/>
        <v/>
      </c>
      <c r="I196" s="317"/>
      <c r="J196" s="132" t="s">
        <v>58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e">
        <f>IF('Cable Info'!L56="","",CONCATENATE('Cable Info'!L56," - ",'Cable Info'!M56))</f>
        <v>#N/A</v>
      </c>
      <c r="AM196" s="149" t="e">
        <f t="shared" si="0"/>
        <v>#N/A</v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58</v>
      </c>
      <c r="G197" s="315"/>
      <c r="H197" s="142" t="str">
        <f t="shared" si="11"/>
        <v/>
      </c>
      <c r="I197" s="317"/>
      <c r="J197" s="132" t="s">
        <v>58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e">
        <f>IF('Cable Info'!L57="","",CONCATENATE('Cable Info'!L57," - ",'Cable Info'!M57))</f>
        <v>#N/A</v>
      </c>
      <c r="AM197" s="149" t="e">
        <f t="shared" si="0"/>
        <v>#N/A</v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58</v>
      </c>
      <c r="G198" s="315"/>
      <c r="H198" s="142" t="str">
        <f t="shared" si="11"/>
        <v/>
      </c>
      <c r="I198" s="317"/>
      <c r="J198" s="132" t="s">
        <v>58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e">
        <f>IF('Cable Info'!L58="","",CONCATENATE('Cable Info'!L58," - ",'Cable Info'!M58))</f>
        <v>#N/A</v>
      </c>
      <c r="AM198" s="149" t="e">
        <f t="shared" si="0"/>
        <v>#N/A</v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58</v>
      </c>
      <c r="G199" s="315"/>
      <c r="H199" s="142" t="str">
        <f t="shared" si="11"/>
        <v/>
      </c>
      <c r="I199" s="317"/>
      <c r="J199" s="132" t="s">
        <v>58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e">
        <f>IF('Cable Info'!L59="","",CONCATENATE('Cable Info'!L59," - ",'Cable Info'!M59))</f>
        <v>#N/A</v>
      </c>
      <c r="AM199" s="149" t="e">
        <f t="shared" si="0"/>
        <v>#N/A</v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58</v>
      </c>
      <c r="G200" s="315"/>
      <c r="H200" s="142" t="str">
        <f t="shared" si="11"/>
        <v/>
      </c>
      <c r="I200" s="317"/>
      <c r="J200" s="132" t="s">
        <v>58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e">
        <f>IF('Cable Info'!L60="","",CONCATENATE('Cable Info'!L60," - ",'Cable Info'!M60))</f>
        <v>#N/A</v>
      </c>
      <c r="AM200" s="149" t="e">
        <f t="shared" si="0"/>
        <v>#N/A</v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58</v>
      </c>
      <c r="G201" s="315"/>
      <c r="H201" s="142" t="str">
        <f t="shared" si="11"/>
        <v/>
      </c>
      <c r="I201" s="317"/>
      <c r="J201" s="132" t="s">
        <v>58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e">
        <f>IF('Cable Info'!L61="","",CONCATENATE('Cable Info'!L61," - ",'Cable Info'!M61))</f>
        <v>#N/A</v>
      </c>
      <c r="AM201" s="149" t="e">
        <f t="shared" si="0"/>
        <v>#N/A</v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58</v>
      </c>
      <c r="G202" s="315"/>
      <c r="H202" s="142" t="str">
        <f t="shared" si="11"/>
        <v/>
      </c>
      <c r="I202" s="317"/>
      <c r="J202" s="132" t="s">
        <v>58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e">
        <f>IF('Cable Info'!L62="","",CONCATENATE('Cable Info'!L62," - ",'Cable Info'!M62))</f>
        <v>#N/A</v>
      </c>
      <c r="AM202" s="149" t="e">
        <f t="shared" si="0"/>
        <v>#N/A</v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58</v>
      </c>
      <c r="G203" s="315"/>
      <c r="H203" s="142" t="str">
        <f t="shared" si="11"/>
        <v/>
      </c>
      <c r="I203" s="317"/>
      <c r="J203" s="132" t="s">
        <v>58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e">
        <f>IF('Cable Info'!L63="","",CONCATENATE('Cable Info'!L63," - ",'Cable Info'!M63))</f>
        <v>#N/A</v>
      </c>
      <c r="AM203" s="149" t="e">
        <f t="shared" si="0"/>
        <v>#N/A</v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58</v>
      </c>
      <c r="G204" s="315"/>
      <c r="H204" s="142" t="str">
        <f t="shared" si="11"/>
        <v/>
      </c>
      <c r="I204" s="317"/>
      <c r="J204" s="132" t="s">
        <v>58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e">
        <f>IF('Cable Info'!L64="","",CONCATENATE('Cable Info'!L64," - ",'Cable Info'!M64))</f>
        <v>#N/A</v>
      </c>
      <c r="AM204" s="149" t="e">
        <f t="shared" si="0"/>
        <v>#N/A</v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58</v>
      </c>
      <c r="G205" s="315"/>
      <c r="H205" s="142" t="str">
        <f t="shared" si="11"/>
        <v/>
      </c>
      <c r="I205" s="317"/>
      <c r="J205" s="132" t="s">
        <v>58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e">
        <f>IF('Cable Info'!L65="","",CONCATENATE('Cable Info'!L65," - ",'Cable Info'!M65))</f>
        <v>#N/A</v>
      </c>
      <c r="AM205" s="149" t="e">
        <f t="shared" si="0"/>
        <v>#N/A</v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58</v>
      </c>
      <c r="G206" s="315"/>
      <c r="H206" s="142" t="str">
        <f t="shared" si="11"/>
        <v/>
      </c>
      <c r="I206" s="317"/>
      <c r="J206" s="132" t="s">
        <v>58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e">
        <f>IF('Cable Info'!L66="","",CONCATENATE('Cable Info'!L66," - ",'Cable Info'!M66))</f>
        <v>#N/A</v>
      </c>
      <c r="AM206" s="149" t="e">
        <f t="shared" si="0"/>
        <v>#N/A</v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58</v>
      </c>
      <c r="G207" s="315"/>
      <c r="H207" s="142" t="str">
        <f t="shared" si="11"/>
        <v/>
      </c>
      <c r="I207" s="317"/>
      <c r="J207" s="132" t="s">
        <v>58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e">
        <f>IF('Cable Info'!L67="","",CONCATENATE('Cable Info'!L67," - ",'Cable Info'!M67))</f>
        <v>#N/A</v>
      </c>
      <c r="AM207" s="149" t="e">
        <f t="shared" ref="AM207:AM270" si="36">IF(AK207="",AJ207,CONCATENATE(AJ207,"  &lt;=&gt; ",AK207," ",AL207))</f>
        <v>#N/A</v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58</v>
      </c>
      <c r="G208" s="315"/>
      <c r="H208" s="142" t="str">
        <f t="shared" si="11"/>
        <v/>
      </c>
      <c r="I208" s="317"/>
      <c r="J208" s="132" t="s">
        <v>58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e">
        <f>IF('Cable Info'!L68="","",CONCATENATE('Cable Info'!L68," - ",'Cable Info'!M68))</f>
        <v>#N/A</v>
      </c>
      <c r="AM208" s="149" t="e">
        <f t="shared" si="36"/>
        <v>#N/A</v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58</v>
      </c>
      <c r="G209" s="315"/>
      <c r="H209" s="142" t="str">
        <f t="shared" si="11"/>
        <v/>
      </c>
      <c r="I209" s="317"/>
      <c r="J209" s="132" t="s">
        <v>58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e">
        <f>IF('Cable Info'!L69="","",CONCATENATE('Cable Info'!L69," - ",'Cable Info'!M69))</f>
        <v>#N/A</v>
      </c>
      <c r="AM209" s="149" t="e">
        <f t="shared" si="36"/>
        <v>#N/A</v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58</v>
      </c>
      <c r="G210" s="315"/>
      <c r="H210" s="142" t="str">
        <f t="shared" si="11"/>
        <v/>
      </c>
      <c r="I210" s="317"/>
      <c r="J210" s="132" t="s">
        <v>58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e">
        <f>IF('Cable Info'!L70="","",CONCATENATE('Cable Info'!L70," - ",'Cable Info'!M70))</f>
        <v>#N/A</v>
      </c>
      <c r="AM210" s="149" t="e">
        <f t="shared" si="36"/>
        <v>#N/A</v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58</v>
      </c>
      <c r="G211" s="315"/>
      <c r="H211" s="142" t="str">
        <f t="shared" si="11"/>
        <v/>
      </c>
      <c r="I211" s="317"/>
      <c r="J211" s="132" t="s">
        <v>58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e">
        <f>IF('Cable Info'!L71="","",CONCATENATE('Cable Info'!L71," - ",'Cable Info'!M71))</f>
        <v>#N/A</v>
      </c>
      <c r="AM211" s="149" t="e">
        <f t="shared" si="36"/>
        <v>#N/A</v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58</v>
      </c>
      <c r="G212" s="315"/>
      <c r="H212" s="142" t="str">
        <f t="shared" si="11"/>
        <v/>
      </c>
      <c r="I212" s="317"/>
      <c r="J212" s="132" t="s">
        <v>58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e">
        <f>IF('Cable Info'!L72="","",CONCATENATE('Cable Info'!L72," - ",'Cable Info'!M72))</f>
        <v>#N/A</v>
      </c>
      <c r="AM212" s="149" t="e">
        <f t="shared" si="36"/>
        <v>#N/A</v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58</v>
      </c>
      <c r="G213" s="315"/>
      <c r="H213" s="142" t="str">
        <f t="shared" si="11"/>
        <v/>
      </c>
      <c r="I213" s="317"/>
      <c r="J213" s="132" t="s">
        <v>58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e">
        <f>IF('Cable Info'!L73="","",CONCATENATE('Cable Info'!L73," - ",'Cable Info'!M73))</f>
        <v>#N/A</v>
      </c>
      <c r="AM213" s="149" t="e">
        <f t="shared" si="36"/>
        <v>#N/A</v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58</v>
      </c>
      <c r="G214" s="315"/>
      <c r="H214" s="142" t="str">
        <f t="shared" si="11"/>
        <v/>
      </c>
      <c r="I214" s="317"/>
      <c r="J214" s="132" t="s">
        <v>58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e">
        <f>IF('Cable Info'!L74="","",CONCATENATE('Cable Info'!L74," - ",'Cable Info'!M74))</f>
        <v>#N/A</v>
      </c>
      <c r="AM214" s="149" t="e">
        <f t="shared" si="36"/>
        <v>#N/A</v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58</v>
      </c>
      <c r="G215" s="315"/>
      <c r="H215" s="142" t="str">
        <f t="shared" ref="H215:H224" si="42">IF(G215="","",((E215-G215)-1)*(-1))</f>
        <v/>
      </c>
      <c r="I215" s="317"/>
      <c r="J215" s="132" t="s">
        <v>58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e">
        <f>IF('Cable Info'!L75="","",CONCATENATE('Cable Info'!L75," - ",'Cable Info'!M75))</f>
        <v>#N/A</v>
      </c>
      <c r="AM215" s="149" t="e">
        <f t="shared" si="36"/>
        <v>#N/A</v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58</v>
      </c>
      <c r="G216" s="315"/>
      <c r="H216" s="142" t="str">
        <f t="shared" si="42"/>
        <v/>
      </c>
      <c r="I216" s="317"/>
      <c r="J216" s="132" t="s">
        <v>58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e">
        <f>IF('Cable Info'!L76="","",CONCATENATE('Cable Info'!L76," - ",'Cable Info'!M76))</f>
        <v>#N/A</v>
      </c>
      <c r="AM216" s="149" t="e">
        <f t="shared" si="36"/>
        <v>#N/A</v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58</v>
      </c>
      <c r="G217" s="315"/>
      <c r="H217" s="142" t="str">
        <f t="shared" si="42"/>
        <v/>
      </c>
      <c r="I217" s="317"/>
      <c r="J217" s="132" t="s">
        <v>58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e">
        <f>IF('Cable Info'!L77="","",CONCATENATE('Cable Info'!L77," - ",'Cable Info'!M77))</f>
        <v>#N/A</v>
      </c>
      <c r="AM217" s="149" t="e">
        <f t="shared" si="36"/>
        <v>#N/A</v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58</v>
      </c>
      <c r="G218" s="315"/>
      <c r="H218" s="142" t="str">
        <f t="shared" si="42"/>
        <v/>
      </c>
      <c r="I218" s="317"/>
      <c r="J218" s="132" t="s">
        <v>58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e">
        <f>IF('Cable Info'!L78="","",CONCATENATE('Cable Info'!L78," - ",'Cable Info'!M78))</f>
        <v>#N/A</v>
      </c>
      <c r="AM218" s="149" t="e">
        <f t="shared" si="36"/>
        <v>#N/A</v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58</v>
      </c>
      <c r="G219" s="315"/>
      <c r="H219" s="142" t="str">
        <f t="shared" si="42"/>
        <v/>
      </c>
      <c r="I219" s="317"/>
      <c r="J219" s="132" t="s">
        <v>58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e">
        <f>IF('Cable Info'!L79="","",CONCATENATE('Cable Info'!L79," - ",'Cable Info'!M79))</f>
        <v>#N/A</v>
      </c>
      <c r="AM219" s="149" t="e">
        <f t="shared" si="36"/>
        <v>#N/A</v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58</v>
      </c>
      <c r="G220" s="315"/>
      <c r="H220" s="142" t="str">
        <f t="shared" si="42"/>
        <v/>
      </c>
      <c r="I220" s="317"/>
      <c r="J220" s="132" t="s">
        <v>58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e">
        <f>IF('Cable Info'!L80="","",CONCATENATE('Cable Info'!L80," - ",'Cable Info'!M80))</f>
        <v>#N/A</v>
      </c>
      <c r="AM220" s="149" t="e">
        <f t="shared" si="36"/>
        <v>#N/A</v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58</v>
      </c>
      <c r="G221" s="315"/>
      <c r="H221" s="142" t="str">
        <f t="shared" si="42"/>
        <v/>
      </c>
      <c r="I221" s="317"/>
      <c r="J221" s="132" t="s">
        <v>58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e">
        <f>IF('Cable Info'!L81="","",CONCATENATE('Cable Info'!L81," - ",'Cable Info'!M81))</f>
        <v>#N/A</v>
      </c>
      <c r="AM221" s="149" t="e">
        <f t="shared" si="36"/>
        <v>#N/A</v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58</v>
      </c>
      <c r="G222" s="315"/>
      <c r="H222" s="142" t="str">
        <f t="shared" si="42"/>
        <v/>
      </c>
      <c r="I222" s="317"/>
      <c r="J222" s="132" t="s">
        <v>58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e">
        <f>IF('Cable Info'!L82="","",CONCATENATE('Cable Info'!L82," - ",'Cable Info'!M82))</f>
        <v>#N/A</v>
      </c>
      <c r="AM222" s="149" t="e">
        <f t="shared" si="36"/>
        <v>#N/A</v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58</v>
      </c>
      <c r="G223" s="315"/>
      <c r="H223" s="142" t="str">
        <f t="shared" si="42"/>
        <v/>
      </c>
      <c r="I223" s="317"/>
      <c r="J223" s="132" t="s">
        <v>58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e">
        <f>IF('Cable Info'!L83="","",CONCATENATE('Cable Info'!L83," - ",'Cable Info'!M83))</f>
        <v>#N/A</v>
      </c>
      <c r="AM223" s="149" t="e">
        <f t="shared" si="36"/>
        <v>#N/A</v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58</v>
      </c>
      <c r="G224" s="316"/>
      <c r="H224" s="175" t="str">
        <f t="shared" si="42"/>
        <v/>
      </c>
      <c r="I224" s="319"/>
      <c r="J224" s="203" t="s">
        <v>58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e">
        <f>IF('Cable Info'!L84="","",CONCATENATE('Cable Info'!L84," - ",'Cable Info'!M84))</f>
        <v>#N/A</v>
      </c>
      <c r="AM224" s="149" t="e">
        <f t="shared" si="36"/>
        <v>#N/A</v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e">
        <f>IF('Cable Info'!L85="","",CONCATENATE('Cable Info'!L85," - ",'Cable Info'!M85))</f>
        <v>#N/A</v>
      </c>
      <c r="AM225" s="149" t="e">
        <f t="shared" si="36"/>
        <v>#N/A</v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e">
        <f>IF('Cable Info'!L86="","",CONCATENATE('Cable Info'!L86," - ",'Cable Info'!M86))</f>
        <v>#N/A</v>
      </c>
      <c r="AK226" s="196"/>
      <c r="AL226" s="196"/>
      <c r="AM226" s="196" t="e">
        <f t="shared" si="36"/>
        <v>#N/A</v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e">
        <f>IF('Cable Info'!L87="","",CONCATENATE('Cable Info'!L87," - ",'Cable Info'!M87))</f>
        <v>#N/A</v>
      </c>
      <c r="AK227" s="192"/>
      <c r="AL227" s="192"/>
      <c r="AM227" s="192" t="e">
        <f t="shared" si="36"/>
        <v>#N/A</v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e">
        <f>IF('Cable Info'!L88="","",CONCATENATE('Cable Info'!L88," - ",'Cable Info'!M88))</f>
        <v>#N/A</v>
      </c>
      <c r="AM228" s="149" t="e">
        <f t="shared" si="36"/>
        <v>#N/A</v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e">
        <f>IF('Cable Info'!L89="","",CONCATENATE('Cable Info'!L89," - ",'Cable Info'!M89))</f>
        <v>#N/A</v>
      </c>
      <c r="AM229" s="149" t="e">
        <f t="shared" si="36"/>
        <v>#N/A</v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e">
        <f>IF('Cable Info'!L90="","",CONCATENATE('Cable Info'!L90," - ",'Cable Info'!M90))</f>
        <v>#N/A</v>
      </c>
      <c r="AM230" s="149" t="e">
        <f t="shared" si="36"/>
        <v>#N/A</v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e">
        <f>IF('Cable Info'!L91="","",CONCATENATE('Cable Info'!L91," - ",'Cable Info'!M91))</f>
        <v>#N/A</v>
      </c>
      <c r="AM231" s="149" t="e">
        <f t="shared" si="36"/>
        <v>#N/A</v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e">
        <f>IF('Cable Info'!L92="","",CONCATENATE('Cable Info'!L92," - ",'Cable Info'!M92))</f>
        <v>#N/A</v>
      </c>
      <c r="AM232" s="149" t="e">
        <f t="shared" si="36"/>
        <v>#N/A</v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e">
        <f>IF('Cable Info'!L93="","",CONCATENATE('Cable Info'!L93," - ",'Cable Info'!M93))</f>
        <v>#N/A</v>
      </c>
      <c r="AM233" s="149" t="e">
        <f t="shared" si="36"/>
        <v>#N/A</v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e">
        <f>IF('Cable Info'!L94="","",CONCATENATE('Cable Info'!L94," - ",'Cable Info'!M94))</f>
        <v>#N/A</v>
      </c>
      <c r="AM234" s="149" t="e">
        <f t="shared" si="36"/>
        <v>#N/A</v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e">
        <f>IF('Cable Info'!L95="","",CONCATENATE('Cable Info'!L95," - ",'Cable Info'!M95))</f>
        <v>#N/A</v>
      </c>
      <c r="AM235" s="149" t="e">
        <f t="shared" si="36"/>
        <v>#N/A</v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e">
        <f>IF('Cable Info'!L96="","",CONCATENATE('Cable Info'!L96," - ",'Cable Info'!M96))</f>
        <v>#N/A</v>
      </c>
      <c r="AM236" s="149" t="e">
        <f t="shared" si="36"/>
        <v>#N/A</v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e">
        <f>IF('Cable Info'!L97="","",CONCATENATE('Cable Info'!L97," - ",'Cable Info'!M97))</f>
        <v>#N/A</v>
      </c>
      <c r="AM237" s="149" t="e">
        <f t="shared" si="36"/>
        <v>#N/A</v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e">
        <f>IF('Cable Info'!L98="","",CONCATENATE('Cable Info'!L98," - ",'Cable Info'!M98))</f>
        <v>#N/A</v>
      </c>
      <c r="AM238" s="149" t="e">
        <f t="shared" si="36"/>
        <v>#N/A</v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e">
        <f>IF('Cable Info'!L99="","",CONCATENATE('Cable Info'!L99," - ",'Cable Info'!M99))</f>
        <v>#N/A</v>
      </c>
      <c r="AM239" s="149" t="e">
        <f t="shared" si="36"/>
        <v>#N/A</v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e">
        <f>IF('Cable Info'!L100="","",CONCATENATE('Cable Info'!L100," - ",'Cable Info'!M100))</f>
        <v>#N/A</v>
      </c>
      <c r="AM240" s="149" t="e">
        <f t="shared" si="36"/>
        <v>#N/A</v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e">
        <f>IF('Cable Info'!L101="","",CONCATENATE('Cable Info'!L101," - ",'Cable Info'!M101))</f>
        <v>#N/A</v>
      </c>
      <c r="AM241" s="149" t="e">
        <f t="shared" si="36"/>
        <v>#N/A</v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e">
        <f>IF('Cable Info'!L102="","",CONCATENATE('Cable Info'!L102," - ",'Cable Info'!M102))</f>
        <v>#N/A</v>
      </c>
      <c r="AM242" s="149" t="e">
        <f t="shared" si="36"/>
        <v>#N/A</v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e">
        <f>IF('Cable Info'!L103="","",CONCATENATE('Cable Info'!L103," - ",'Cable Info'!M103))</f>
        <v>#N/A</v>
      </c>
      <c r="AM243" s="149" t="e">
        <f t="shared" si="36"/>
        <v>#N/A</v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e">
        <f>IF('Cable Info'!L104="","",CONCATENATE('Cable Info'!L104," - ",'Cable Info'!M104))</f>
        <v>#N/A</v>
      </c>
      <c r="AM244" s="149" t="e">
        <f t="shared" si="36"/>
        <v>#N/A</v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e">
        <f>IF('Cable Info'!L105="","",CONCATENATE('Cable Info'!L105," - ",'Cable Info'!M105))</f>
        <v>#N/A</v>
      </c>
      <c r="AM245" s="149" t="e">
        <f t="shared" si="36"/>
        <v>#N/A</v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e">
        <f>IF('Cable Info'!L106="","",CONCATENATE('Cable Info'!L106," - ",'Cable Info'!M106))</f>
        <v>#N/A</v>
      </c>
      <c r="AM246" s="149" t="e">
        <f t="shared" si="36"/>
        <v>#N/A</v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e">
        <f>IF('Cable Info'!L107="","",CONCATENATE('Cable Info'!L107," - ",'Cable Info'!M107))</f>
        <v>#N/A</v>
      </c>
      <c r="AM247" s="149" t="e">
        <f t="shared" si="36"/>
        <v>#N/A</v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e">
        <f>IF('Cable Info'!L108="","",CONCATENATE('Cable Info'!L108," - ",'Cable Info'!M108))</f>
        <v>#N/A</v>
      </c>
      <c r="AM248" s="149" t="e">
        <f t="shared" si="36"/>
        <v>#N/A</v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e">
        <f>IF('Cable Info'!L109="","",CONCATENATE('Cable Info'!L109," - ",'Cable Info'!M109))</f>
        <v>#N/A</v>
      </c>
      <c r="AM249" s="149" t="e">
        <f t="shared" si="36"/>
        <v>#N/A</v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e">
        <f>IF('Cable Info'!L110="","",CONCATENATE('Cable Info'!L110," - ",'Cable Info'!M110))</f>
        <v>#N/A</v>
      </c>
      <c r="AM250" s="149" t="e">
        <f t="shared" si="36"/>
        <v>#N/A</v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e">
        <f>IF('Cable Info'!L111="","",CONCATENATE('Cable Info'!L111," - ",'Cable Info'!M111))</f>
        <v>#N/A</v>
      </c>
      <c r="AM251" s="149" t="e">
        <f t="shared" si="36"/>
        <v>#N/A</v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e">
        <f>IF('Cable Info'!L112="","",CONCATENATE('Cable Info'!L112," - ",'Cable Info'!M112))</f>
        <v>#N/A</v>
      </c>
      <c r="AM252" s="149" t="e">
        <f t="shared" si="36"/>
        <v>#N/A</v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e">
        <f>IF('Cable Info'!L113="","",CONCATENATE('Cable Info'!L113," - ",'Cable Info'!M113))</f>
        <v>#N/A</v>
      </c>
      <c r="AM253" s="149" t="e">
        <f t="shared" si="36"/>
        <v>#N/A</v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e">
        <f>IF('Cable Info'!L114="","",CONCATENATE('Cable Info'!L114," - ",'Cable Info'!M114))</f>
        <v>#N/A</v>
      </c>
      <c r="AM254" s="149" t="e">
        <f t="shared" si="36"/>
        <v>#N/A</v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e">
        <f>IF('Cable Info'!L115="","",CONCATENATE('Cable Info'!L115," - ",'Cable Info'!M115))</f>
        <v>#N/A</v>
      </c>
      <c r="AM255" s="149" t="e">
        <f t="shared" si="36"/>
        <v>#N/A</v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e">
        <f>IF('Cable Info'!L116="","",CONCATENATE('Cable Info'!L116," - ",'Cable Info'!M116))</f>
        <v>#N/A</v>
      </c>
      <c r="AM256" s="149" t="e">
        <f t="shared" si="36"/>
        <v>#N/A</v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e">
        <f>IF('Cable Info'!L117="","",CONCATENATE('Cable Info'!L117," - ",'Cable Info'!M117))</f>
        <v>#N/A</v>
      </c>
      <c r="AM257" s="149" t="e">
        <f t="shared" si="36"/>
        <v>#N/A</v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e">
        <f>IF('Cable Info'!L118="","",CONCATENATE('Cable Info'!L118," - ",'Cable Info'!M118))</f>
        <v>#N/A</v>
      </c>
      <c r="AM258" s="149" t="e">
        <f t="shared" si="36"/>
        <v>#N/A</v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e">
        <f>IF('Cable Info'!L119="","",CONCATENATE('Cable Info'!L119," - ",'Cable Info'!M119))</f>
        <v>#N/A</v>
      </c>
      <c r="AM259" s="149" t="e">
        <f t="shared" si="36"/>
        <v>#N/A</v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e">
        <f>IF('Cable Info'!L120="","",CONCATENATE('Cable Info'!L120," - ",'Cable Info'!M120))</f>
        <v>#N/A</v>
      </c>
      <c r="AM260" s="149" t="e">
        <f t="shared" si="36"/>
        <v>#N/A</v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e">
        <f>IF('Cable Info'!L121="","",CONCATENATE('Cable Info'!L121," - ",'Cable Info'!M121))</f>
        <v>#N/A</v>
      </c>
      <c r="AM261" s="149" t="e">
        <f t="shared" si="36"/>
        <v>#N/A</v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e">
        <f>IF('Cable Info'!L122="","",CONCATENATE('Cable Info'!L122," - ",'Cable Info'!M122))</f>
        <v>#N/A</v>
      </c>
      <c r="AM262" s="149" t="e">
        <f t="shared" si="36"/>
        <v>#N/A</v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e">
        <f>IF('Cable Info'!L123="","",CONCATENATE('Cable Info'!L123," - ",'Cable Info'!M123))</f>
        <v>#N/A</v>
      </c>
      <c r="AM263" s="149" t="e">
        <f t="shared" si="36"/>
        <v>#N/A</v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e">
        <f>IF('Cable Info'!L124="","",CONCATENATE('Cable Info'!L124," - ",'Cable Info'!M124))</f>
        <v>#N/A</v>
      </c>
      <c r="AM264" s="149" t="e">
        <f t="shared" si="36"/>
        <v>#N/A</v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e">
        <f>IF('Cable Info'!L125="","",CONCATENATE('Cable Info'!L125," - ",'Cable Info'!M125))</f>
        <v>#N/A</v>
      </c>
      <c r="AM265" s="149" t="e">
        <f t="shared" si="36"/>
        <v>#N/A</v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e">
        <f>IF('Cable Info'!L126="","",CONCATENATE('Cable Info'!L126," - ",'Cable Info'!M126))</f>
        <v>#N/A</v>
      </c>
      <c r="AM266" s="149" t="e">
        <f t="shared" si="36"/>
        <v>#N/A</v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e">
        <f>IF('Cable Info'!L127="","",CONCATENATE('Cable Info'!L127," - ",'Cable Info'!M127))</f>
        <v>#N/A</v>
      </c>
      <c r="AM267" s="149" t="e">
        <f t="shared" si="36"/>
        <v>#N/A</v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e">
        <f>IF('Cable Info'!L128="","",CONCATENATE('Cable Info'!L128," - ",'Cable Info'!M128))</f>
        <v>#N/A</v>
      </c>
      <c r="AM268" s="149" t="e">
        <f t="shared" si="36"/>
        <v>#N/A</v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e">
        <f>IF('Cable Info'!L129="","",CONCATENATE('Cable Info'!L129," - ",'Cable Info'!M129))</f>
        <v>#N/A</v>
      </c>
      <c r="AM269" s="149" t="e">
        <f t="shared" si="36"/>
        <v>#N/A</v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e">
        <f>IF('Cable Info'!L130="","",CONCATENATE('Cable Info'!L130," - ",'Cable Info'!M130))</f>
        <v>#N/A</v>
      </c>
      <c r="AM270" s="149" t="e">
        <f t="shared" si="36"/>
        <v>#N/A</v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e">
        <f>IF('Cable Info'!L131="","",CONCATENATE('Cable Info'!L131," - ",'Cable Info'!M131))</f>
        <v>#N/A</v>
      </c>
      <c r="AM271" s="149" t="e">
        <f t="shared" ref="AM271:AM334" si="48">IF(AK271="",AJ271,CONCATENATE(AJ271,"  &lt;=&gt; ",AK271," ",AL271))</f>
        <v>#N/A</v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e">
        <f>IF('Cable Info'!L132="","",CONCATENATE('Cable Info'!L132," - ",'Cable Info'!M132))</f>
        <v>#N/A</v>
      </c>
      <c r="AM272" s="149" t="e">
        <f t="shared" si="48"/>
        <v>#N/A</v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e">
        <f>IF('Cable Info'!L133="","",CONCATENATE('Cable Info'!L133," - ",'Cable Info'!M133))</f>
        <v>#N/A</v>
      </c>
      <c r="AM273" s="149" t="e">
        <f t="shared" si="48"/>
        <v>#N/A</v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e">
        <f>IF('Cable Info'!L134="","",CONCATENATE('Cable Info'!L134," - ",'Cable Info'!M134))</f>
        <v>#N/A</v>
      </c>
      <c r="AM274" s="149" t="e">
        <f t="shared" si="48"/>
        <v>#N/A</v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e">
        <f>IF('Cable Info'!L135="","",CONCATENATE('Cable Info'!L135," - ",'Cable Info'!M135))</f>
        <v>#N/A</v>
      </c>
      <c r="AM275" s="149" t="e">
        <f t="shared" si="48"/>
        <v>#N/A</v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e">
        <f>IF('Cable Info'!L136="","",CONCATENATE('Cable Info'!L136," - ",'Cable Info'!M136))</f>
        <v>#N/A</v>
      </c>
      <c r="AM276" s="149" t="e">
        <f t="shared" si="48"/>
        <v>#N/A</v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e">
        <f>IF('Cable Info'!L137="","",CONCATENATE('Cable Info'!L137," - ",'Cable Info'!M137))</f>
        <v>#N/A</v>
      </c>
      <c r="AM277" s="149" t="e">
        <f t="shared" si="48"/>
        <v>#N/A</v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e">
        <f>IF('Cable Info'!L138="","",CONCATENATE('Cable Info'!L138," - ",'Cable Info'!M138))</f>
        <v>#N/A</v>
      </c>
      <c r="AM278" s="149" t="e">
        <f t="shared" si="48"/>
        <v>#N/A</v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e">
        <f>IF('Cable Info'!L139="","",CONCATENATE('Cable Info'!L139," - ",'Cable Info'!M139))</f>
        <v>#N/A</v>
      </c>
      <c r="AM279" s="149" t="e">
        <f t="shared" si="48"/>
        <v>#N/A</v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e">
        <f>IF('Cable Info'!L140="","",CONCATENATE('Cable Info'!L140," - ",'Cable Info'!M140))</f>
        <v>#N/A</v>
      </c>
      <c r="AM280" s="149" t="e">
        <f t="shared" si="48"/>
        <v>#N/A</v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e">
        <f>IF('Cable Info'!L141="","",CONCATENATE('Cable Info'!L141," - ",'Cable Info'!M141))</f>
        <v>#N/A</v>
      </c>
      <c r="AM281" s="149" t="e">
        <f t="shared" si="48"/>
        <v>#N/A</v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e">
        <f>IF('Cable Info'!L142="","",CONCATENATE('Cable Info'!L142," - ",'Cable Info'!M142))</f>
        <v>#N/A</v>
      </c>
      <c r="AM282" s="149" t="e">
        <f t="shared" si="48"/>
        <v>#N/A</v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e">
        <f>IF('Cable Info'!L143="","",CONCATENATE('Cable Info'!L143," - ",'Cable Info'!M143))</f>
        <v>#N/A</v>
      </c>
      <c r="AM283" s="149" t="e">
        <f t="shared" si="48"/>
        <v>#N/A</v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e">
        <f>IF('Cable Info'!L144="","",CONCATENATE('Cable Info'!L144," - ",'Cable Info'!M144))</f>
        <v>#N/A</v>
      </c>
      <c r="AM284" s="149" t="e">
        <f t="shared" si="48"/>
        <v>#N/A</v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e">
        <f>IF('Cable Info'!L145="","",CONCATENATE('Cable Info'!L145," - ",'Cable Info'!M145))</f>
        <v>#N/A</v>
      </c>
      <c r="AM285" s="149" t="e">
        <f t="shared" si="48"/>
        <v>#N/A</v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e">
        <f>IF('Cable Info'!L146="","",CONCATENATE('Cable Info'!L146," - ",'Cable Info'!M146))</f>
        <v>#N/A</v>
      </c>
      <c r="AM286" s="149" t="e">
        <f t="shared" si="48"/>
        <v>#N/A</v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e">
        <f>IF('Cable Info'!L147="","",CONCATENATE('Cable Info'!L147," - ",'Cable Info'!M147))</f>
        <v>#N/A</v>
      </c>
      <c r="AM287" s="149" t="e">
        <f t="shared" si="48"/>
        <v>#N/A</v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e">
        <f>IF('Cable Info'!L148="","",CONCATENATE('Cable Info'!L148," - ",'Cable Info'!M148))</f>
        <v>#N/A</v>
      </c>
      <c r="AM288" s="149" t="e">
        <f t="shared" si="48"/>
        <v>#N/A</v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e">
        <f>IF('Cable Info'!L149="","",CONCATENATE('Cable Info'!L149," - ",'Cable Info'!M149))</f>
        <v>#N/A</v>
      </c>
      <c r="AM289" s="149" t="e">
        <f t="shared" si="48"/>
        <v>#N/A</v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e">
        <f>IF('Cable Info'!L150="","",CONCATENATE('Cable Info'!L150," - ",'Cable Info'!M150))</f>
        <v>#N/A</v>
      </c>
      <c r="AM290" s="149" t="e">
        <f t="shared" si="48"/>
        <v>#N/A</v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e">
        <f>IF('Cable Info'!L151="","",CONCATENATE('Cable Info'!L151," - ",'Cable Info'!M151))</f>
        <v>#N/A</v>
      </c>
      <c r="AM291" s="149" t="e">
        <f t="shared" si="48"/>
        <v>#N/A</v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e">
        <f>IF('Cable Info'!L152="","",CONCATENATE('Cable Info'!L152," - ",'Cable Info'!M152))</f>
        <v>#N/A</v>
      </c>
      <c r="AM292" s="149" t="e">
        <f t="shared" si="48"/>
        <v>#N/A</v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e">
        <f>IF('Cable Info'!L153="","",CONCATENATE('Cable Info'!L153," - ",'Cable Info'!M153))</f>
        <v>#N/A</v>
      </c>
      <c r="AM293" s="149" t="e">
        <f t="shared" si="48"/>
        <v>#N/A</v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e">
        <f>IF('Cable Info'!L154="","",CONCATENATE('Cable Info'!L154," - ",'Cable Info'!M154))</f>
        <v>#N/A</v>
      </c>
      <c r="AM294" s="149" t="e">
        <f t="shared" si="48"/>
        <v>#N/A</v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e">
        <f>IF('Cable Info'!L155="","",CONCATENATE('Cable Info'!L155," - ",'Cable Info'!M155))</f>
        <v>#N/A</v>
      </c>
      <c r="AM295" s="149" t="e">
        <f t="shared" si="48"/>
        <v>#N/A</v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e">
        <f>IF('Cable Info'!L156="","",CONCATENATE('Cable Info'!L156," - ",'Cable Info'!M156))</f>
        <v>#N/A</v>
      </c>
      <c r="AM296" s="149" t="e">
        <f t="shared" si="48"/>
        <v>#N/A</v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e">
        <f>IF('Cable Info'!L157="","",CONCATENATE('Cable Info'!L157," - ",'Cable Info'!M157))</f>
        <v>#N/A</v>
      </c>
      <c r="AM297" s="149" t="e">
        <f t="shared" si="48"/>
        <v>#N/A</v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e">
        <f>IF('Cable Info'!L158="","",CONCATENATE('Cable Info'!L158," - ",'Cable Info'!M158))</f>
        <v>#N/A</v>
      </c>
      <c r="AM298" s="149" t="e">
        <f t="shared" si="48"/>
        <v>#N/A</v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e">
        <f>IF('Cable Info'!L159="","",CONCATENATE('Cable Info'!L159," - ",'Cable Info'!M159))</f>
        <v>#N/A</v>
      </c>
      <c r="AM299" s="149" t="e">
        <f t="shared" si="48"/>
        <v>#N/A</v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e">
        <f>IF('Cable Info'!L160="","",CONCATENATE('Cable Info'!L160," - ",'Cable Info'!M160))</f>
        <v>#N/A</v>
      </c>
      <c r="AM300" s="149" t="e">
        <f t="shared" si="48"/>
        <v>#N/A</v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e">
        <f>IF('Cable Info'!L161="","",CONCATENATE('Cable Info'!L161," - ",'Cable Info'!M161))</f>
        <v>#N/A</v>
      </c>
      <c r="AM301" s="149" t="e">
        <f t="shared" si="48"/>
        <v>#N/A</v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e">
        <f>IF('Cable Info'!L162="","",CONCATENATE('Cable Info'!L162," - ",'Cable Info'!M162))</f>
        <v>#N/A</v>
      </c>
      <c r="AM302" s="149" t="e">
        <f t="shared" si="48"/>
        <v>#N/A</v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e">
        <f>IF('Cable Info'!L163="","",CONCATENATE('Cable Info'!L163," - ",'Cable Info'!M163))</f>
        <v>#N/A</v>
      </c>
      <c r="AM303" s="149" t="e">
        <f t="shared" si="48"/>
        <v>#N/A</v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e">
        <f>IF('Cable Info'!L164="","",CONCATENATE('Cable Info'!L164," - ",'Cable Info'!M164))</f>
        <v>#N/A</v>
      </c>
      <c r="AM304" s="149" t="e">
        <f t="shared" si="48"/>
        <v>#N/A</v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e">
        <f>IF('Cable Info'!L165="","",CONCATENATE('Cable Info'!L165," - ",'Cable Info'!M165))</f>
        <v>#N/A</v>
      </c>
      <c r="AM305" s="149" t="e">
        <f t="shared" si="48"/>
        <v>#N/A</v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e">
        <f>IF('Cable Info'!L166="","",CONCATENATE('Cable Info'!L166," - ",'Cable Info'!M166))</f>
        <v>#N/A</v>
      </c>
      <c r="AM306" s="149" t="e">
        <f t="shared" si="48"/>
        <v>#N/A</v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e">
        <f>IF('Cable Info'!L167="","",CONCATENATE('Cable Info'!L167," - ",'Cable Info'!M167))</f>
        <v>#N/A</v>
      </c>
      <c r="AM307" s="149" t="e">
        <f t="shared" si="48"/>
        <v>#N/A</v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e">
        <f>IF('Cable Info'!L168="","",CONCATENATE('Cable Info'!L168," - ",'Cable Info'!M168))</f>
        <v>#N/A</v>
      </c>
      <c r="AM308" s="149" t="e">
        <f t="shared" si="48"/>
        <v>#N/A</v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e">
        <f>IF('Cable Info'!L169="","",CONCATENATE('Cable Info'!L169," - ",'Cable Info'!M169))</f>
        <v>#N/A</v>
      </c>
      <c r="AM309" s="149" t="e">
        <f t="shared" si="48"/>
        <v>#N/A</v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e">
        <f>IF('Cable Info'!L170="","",CONCATENATE('Cable Info'!L170," - ",'Cable Info'!M170))</f>
        <v>#N/A</v>
      </c>
      <c r="AM310" s="149" t="e">
        <f t="shared" si="48"/>
        <v>#N/A</v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e">
        <f>IF('Cable Info'!L171="","",CONCATENATE('Cable Info'!L171," - ",'Cable Info'!M171))</f>
        <v>#N/A</v>
      </c>
      <c r="AM311" s="149" t="e">
        <f t="shared" si="48"/>
        <v>#N/A</v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e">
        <f>IF('Cable Info'!L172="","",CONCATENATE('Cable Info'!L172," - ",'Cable Info'!M172))</f>
        <v>#N/A</v>
      </c>
      <c r="AM312" s="149" t="e">
        <f t="shared" si="48"/>
        <v>#N/A</v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e">
        <f>IF('Cable Info'!L173="","",CONCATENATE('Cable Info'!L173," - ",'Cable Info'!M173))</f>
        <v>#N/A</v>
      </c>
      <c r="AM313" s="149" t="e">
        <f t="shared" si="48"/>
        <v>#N/A</v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e">
        <f>IF('Cable Info'!L174="","",CONCATENATE('Cable Info'!L174," - ",'Cable Info'!M174))</f>
        <v>#N/A</v>
      </c>
      <c r="AM314" s="149" t="e">
        <f t="shared" si="48"/>
        <v>#N/A</v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e">
        <f>IF('Cable Info'!L175="","",CONCATENATE('Cable Info'!L175," - ",'Cable Info'!M175))</f>
        <v>#N/A</v>
      </c>
      <c r="AM315" s="149" t="e">
        <f t="shared" si="48"/>
        <v>#N/A</v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e">
        <f>IF('Cable Info'!L176="","",CONCATENATE('Cable Info'!L176," - ",'Cable Info'!M176))</f>
        <v>#N/A</v>
      </c>
      <c r="AM316" s="149" t="e">
        <f t="shared" si="48"/>
        <v>#N/A</v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e">
        <f>IF('Cable Info'!L177="","",CONCATENATE('Cable Info'!L177," - ",'Cable Info'!M177))</f>
        <v>#N/A</v>
      </c>
      <c r="AM317" s="149" t="e">
        <f t="shared" si="48"/>
        <v>#N/A</v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e">
        <f>IF('Cable Info'!L178="","",CONCATENATE('Cable Info'!L178," - ",'Cable Info'!M178))</f>
        <v>#N/A</v>
      </c>
      <c r="AM318" s="149" t="e">
        <f t="shared" si="48"/>
        <v>#N/A</v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e">
        <f>IF('Cable Info'!L179="","",CONCATENATE('Cable Info'!L179," - ",'Cable Info'!M179))</f>
        <v>#N/A</v>
      </c>
      <c r="AM319" s="149" t="e">
        <f t="shared" si="48"/>
        <v>#N/A</v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e">
        <f>IF('Cable Info'!L180="","",CONCATENATE('Cable Info'!L180," - ",'Cable Info'!M180))</f>
        <v>#N/A</v>
      </c>
      <c r="AM320" s="149" t="e">
        <f t="shared" si="48"/>
        <v>#N/A</v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e">
        <f>IF('Cable Info'!L181="","",CONCATENATE('Cable Info'!L181," - ",'Cable Info'!M181))</f>
        <v>#N/A</v>
      </c>
      <c r="AM321" s="149" t="e">
        <f t="shared" si="48"/>
        <v>#N/A</v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e">
        <f>IF('Cable Info'!L182="","",CONCATENATE('Cable Info'!L182," - ",'Cable Info'!M182))</f>
        <v>#N/A</v>
      </c>
      <c r="AM322" s="149" t="e">
        <f t="shared" si="48"/>
        <v>#N/A</v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e">
        <f>IF('Cable Info'!L183="","",CONCATENATE('Cable Info'!L183," - ",'Cable Info'!M183))</f>
        <v>#N/A</v>
      </c>
      <c r="AM323" s="149" t="e">
        <f t="shared" si="48"/>
        <v>#N/A</v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e">
        <f>IF('Cable Info'!L184="","",CONCATENATE('Cable Info'!L184," - ",'Cable Info'!M184))</f>
        <v>#N/A</v>
      </c>
      <c r="AM324" s="149" t="e">
        <f t="shared" si="48"/>
        <v>#N/A</v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e">
        <f>IF('Cable Info'!L185="","",CONCATENATE('Cable Info'!L185," - ",'Cable Info'!M185))</f>
        <v>#N/A</v>
      </c>
      <c r="AM325" s="149" t="e">
        <f t="shared" si="48"/>
        <v>#N/A</v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e">
        <f>IF('Cable Info'!L186="","",CONCATENATE('Cable Info'!L186," - ",'Cable Info'!M186))</f>
        <v>#N/A</v>
      </c>
      <c r="AM326" s="149" t="e">
        <f t="shared" si="48"/>
        <v>#N/A</v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e">
        <f>IF('Cable Info'!L187="","",CONCATENATE('Cable Info'!L187," - ",'Cable Info'!M187))</f>
        <v>#N/A</v>
      </c>
      <c r="AM327" s="149" t="e">
        <f t="shared" si="48"/>
        <v>#N/A</v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e">
        <f>IF('Cable Info'!L188="","",CONCATENATE('Cable Info'!L188," - ",'Cable Info'!M188))</f>
        <v>#N/A</v>
      </c>
      <c r="AM328" s="149" t="e">
        <f t="shared" si="48"/>
        <v>#N/A</v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e">
        <f>IF('Cable Info'!L189="","",CONCATENATE('Cable Info'!L189," - ",'Cable Info'!M189))</f>
        <v>#N/A</v>
      </c>
      <c r="AM329" s="149" t="e">
        <f t="shared" si="48"/>
        <v>#N/A</v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e">
        <f>IF('Cable Info'!L190="","",CONCATENATE('Cable Info'!L190," - ",'Cable Info'!M190))</f>
        <v>#N/A</v>
      </c>
      <c r="AM330" s="149" t="e">
        <f t="shared" si="48"/>
        <v>#N/A</v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e">
        <f>IF('Cable Info'!L191="","",CONCATENATE('Cable Info'!L191," - ",'Cable Info'!M191))</f>
        <v>#N/A</v>
      </c>
      <c r="AM331" s="149" t="e">
        <f t="shared" si="48"/>
        <v>#N/A</v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e">
        <f>IF('Cable Info'!L192="","",CONCATENATE('Cable Info'!L192," - ",'Cable Info'!M192))</f>
        <v>#N/A</v>
      </c>
      <c r="AM332" s="149" t="e">
        <f t="shared" si="48"/>
        <v>#N/A</v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e">
        <f>IF('Cable Info'!L193="","",CONCATENATE('Cable Info'!L193," - ",'Cable Info'!M193))</f>
        <v>#N/A</v>
      </c>
      <c r="AM333" s="149" t="e">
        <f t="shared" si="48"/>
        <v>#N/A</v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e">
        <f>IF('Cable Info'!L194="","",CONCATENATE('Cable Info'!L194," - ",'Cable Info'!M194))</f>
        <v>#N/A</v>
      </c>
      <c r="AM334" s="149" t="e">
        <f t="shared" si="48"/>
        <v>#N/A</v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e">
        <f>IF('Cable Info'!L195="","",CONCATENATE('Cable Info'!L195," - ",'Cable Info'!M195))</f>
        <v>#N/A</v>
      </c>
      <c r="AM335" s="149" t="e">
        <f t="shared" ref="AM335:AM398" si="54">IF(AK335="",AJ335,CONCATENATE(AJ335,"  &lt;=&gt; ",AK335," ",AL335))</f>
        <v>#N/A</v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e">
        <f>IF('Cable Info'!L196="","",CONCATENATE('Cable Info'!L196," - ",'Cable Info'!M196))</f>
        <v>#N/A</v>
      </c>
      <c r="AM336" s="149" t="e">
        <f t="shared" si="54"/>
        <v>#N/A</v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e">
        <f>IF('Cable Info'!L197="","",CONCATENATE('Cable Info'!L197," - ",'Cable Info'!M197))</f>
        <v>#N/A</v>
      </c>
      <c r="AM337" s="149" t="e">
        <f t="shared" si="54"/>
        <v>#N/A</v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e">
        <f>IF('Cable Info'!L198="","",CONCATENATE('Cable Info'!L198," - ",'Cable Info'!M198))</f>
        <v>#N/A</v>
      </c>
      <c r="AM338" s="149" t="e">
        <f t="shared" si="54"/>
        <v>#N/A</v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e">
        <f>IF('Cable Info'!L199="","",CONCATENATE('Cable Info'!L199," - ",'Cable Info'!M199))</f>
        <v>#N/A</v>
      </c>
      <c r="AM339" s="149" t="e">
        <f t="shared" si="54"/>
        <v>#N/A</v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e">
        <f>IF('Cable Info'!L200="","",CONCATENATE('Cable Info'!L200," - ",'Cable Info'!M200))</f>
        <v>#N/A</v>
      </c>
      <c r="AM340" s="149" t="e">
        <f t="shared" si="54"/>
        <v>#N/A</v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e">
        <f>IF('Cable Info'!L201="","",CONCATENATE('Cable Info'!L201," - ",'Cable Info'!M201))</f>
        <v>#N/A</v>
      </c>
      <c r="AM341" s="149" t="e">
        <f t="shared" si="54"/>
        <v>#N/A</v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e">
        <f>IF('Cable Info'!L202="","",CONCATENATE('Cable Info'!L202," - ",'Cable Info'!M202))</f>
        <v>#N/A</v>
      </c>
      <c r="AM342" s="149" t="e">
        <f t="shared" si="54"/>
        <v>#N/A</v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e">
        <f>IF('Cable Info'!L203="","",CONCATENATE('Cable Info'!L203," - ",'Cable Info'!M203))</f>
        <v>#N/A</v>
      </c>
      <c r="AM343" s="149" t="e">
        <f t="shared" si="54"/>
        <v>#N/A</v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e">
        <f>IF('Cable Info'!L204="","",CONCATENATE('Cable Info'!L204," - ",'Cable Info'!M204))</f>
        <v>#N/A</v>
      </c>
      <c r="AM344" s="149" t="e">
        <f t="shared" si="54"/>
        <v>#N/A</v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e">
        <f>IF('Cable Info'!L205="","",CONCATENATE('Cable Info'!L205," - ",'Cable Info'!M205))</f>
        <v>#N/A</v>
      </c>
      <c r="AM345" s="149" t="e">
        <f t="shared" si="54"/>
        <v>#N/A</v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e">
        <f>IF('Cable Info'!L206="","",CONCATENATE('Cable Info'!L206," - ",'Cable Info'!M206))</f>
        <v>#N/A</v>
      </c>
      <c r="AM346" s="149" t="e">
        <f t="shared" si="54"/>
        <v>#N/A</v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e">
        <f>IF('Cable Info'!L207="","",CONCATENATE('Cable Info'!L207," - ",'Cable Info'!M207))</f>
        <v>#N/A</v>
      </c>
      <c r="AM347" s="149" t="e">
        <f t="shared" si="54"/>
        <v>#N/A</v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e">
        <f>IF('Cable Info'!L208="","",CONCATENATE('Cable Info'!L208," - ",'Cable Info'!M208))</f>
        <v>#N/A</v>
      </c>
      <c r="AM348" s="149" t="e">
        <f t="shared" si="54"/>
        <v>#N/A</v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e">
        <f>IF('Cable Info'!L209="","",CONCATENATE('Cable Info'!L209," - ",'Cable Info'!M209))</f>
        <v>#N/A</v>
      </c>
      <c r="AM349" s="149" t="e">
        <f t="shared" si="54"/>
        <v>#N/A</v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e">
        <f>IF('Cable Info'!L210="","",CONCATENATE('Cable Info'!L210," - ",'Cable Info'!M210))</f>
        <v>#N/A</v>
      </c>
      <c r="AM350" s="149" t="e">
        <f t="shared" si="54"/>
        <v>#N/A</v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e">
        <f>IF('Cable Info'!L211="","",CONCATENATE('Cable Info'!L211," - ",'Cable Info'!M211))</f>
        <v>#N/A</v>
      </c>
      <c r="AM351" s="149" t="e">
        <f t="shared" si="54"/>
        <v>#N/A</v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e">
        <f>IF('Cable Info'!L212="","",CONCATENATE('Cable Info'!L212," - ",'Cable Info'!M212))</f>
        <v>#N/A</v>
      </c>
      <c r="AM352" s="149" t="e">
        <f t="shared" si="54"/>
        <v>#N/A</v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e">
        <f>IF('Cable Info'!L213="","",CONCATENATE('Cable Info'!L213," - ",'Cable Info'!M213))</f>
        <v>#N/A</v>
      </c>
      <c r="AM353" s="149" t="e">
        <f t="shared" si="54"/>
        <v>#N/A</v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e">
        <f>IF('Cable Info'!L214="","",CONCATENATE('Cable Info'!L214," - ",'Cable Info'!M214))</f>
        <v>#N/A</v>
      </c>
      <c r="AM354" s="149" t="e">
        <f t="shared" si="54"/>
        <v>#N/A</v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e">
        <f>IF('Cable Info'!L215="","",CONCATENATE('Cable Info'!L215," - ",'Cable Info'!M215))</f>
        <v>#N/A</v>
      </c>
      <c r="AM355" s="149" t="e">
        <f t="shared" si="54"/>
        <v>#N/A</v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e">
        <f>IF('Cable Info'!L216="","",CONCATENATE('Cable Info'!L216," - ",'Cable Info'!M216))</f>
        <v>#N/A</v>
      </c>
      <c r="AM356" s="149" t="e">
        <f t="shared" si="54"/>
        <v>#N/A</v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e">
        <f>IF('Cable Info'!L217="","",CONCATENATE('Cable Info'!L217," - ",'Cable Info'!M217))</f>
        <v>#N/A</v>
      </c>
      <c r="AM357" s="149" t="e">
        <f t="shared" si="54"/>
        <v>#N/A</v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e">
        <f>IF('Cable Info'!L218="","",CONCATENATE('Cable Info'!L218," - ",'Cable Info'!M218))</f>
        <v>#N/A</v>
      </c>
      <c r="AM358" s="149" t="e">
        <f t="shared" si="54"/>
        <v>#N/A</v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e">
        <f>IF('Cable Info'!L219="","",CONCATENATE('Cable Info'!L219," - ",'Cable Info'!M219))</f>
        <v>#N/A</v>
      </c>
      <c r="AM359" s="149" t="e">
        <f t="shared" si="54"/>
        <v>#N/A</v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e">
        <f>IF('Cable Info'!L220="","",CONCATENATE('Cable Info'!L220," - ",'Cable Info'!M220))</f>
        <v>#N/A</v>
      </c>
      <c r="AM360" s="149" t="e">
        <f t="shared" si="54"/>
        <v>#N/A</v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e">
        <f>IF('Cable Info'!L221="","",CONCATENATE('Cable Info'!L221," - ",'Cable Info'!M221))</f>
        <v>#N/A</v>
      </c>
      <c r="AM361" s="149" t="e">
        <f t="shared" si="54"/>
        <v>#N/A</v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e">
        <f>IF('Cable Info'!L222="","",CONCATENATE('Cable Info'!L222," - ",'Cable Info'!M222))</f>
        <v>#N/A</v>
      </c>
      <c r="AM362" s="149" t="e">
        <f t="shared" si="54"/>
        <v>#N/A</v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e">
        <f>IF('Cable Info'!L223="","",CONCATENATE('Cable Info'!L223," - ",'Cable Info'!M223))</f>
        <v>#N/A</v>
      </c>
      <c r="AM363" s="149" t="e">
        <f t="shared" si="54"/>
        <v>#N/A</v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e">
        <f>IF('Cable Info'!L224="","",CONCATENATE('Cable Info'!L224," - ",'Cable Info'!M224))</f>
        <v>#N/A</v>
      </c>
      <c r="AM364" s="149" t="e">
        <f t="shared" si="54"/>
        <v>#N/A</v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e">
        <f>IF('Cable Info'!L225="","",CONCATENATE('Cable Info'!L225," - ",'Cable Info'!M225))</f>
        <v>#N/A</v>
      </c>
      <c r="AM365" s="149" t="e">
        <f t="shared" si="54"/>
        <v>#N/A</v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e">
        <f>IF('Cable Info'!L226="","",CONCATENATE('Cable Info'!L226," - ",'Cable Info'!M226))</f>
        <v>#N/A</v>
      </c>
      <c r="AM366" s="149" t="e">
        <f t="shared" si="54"/>
        <v>#N/A</v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e">
        <f>IF('Cable Info'!L227="","",CONCATENATE('Cable Info'!L227," - ",'Cable Info'!M227))</f>
        <v>#N/A</v>
      </c>
      <c r="AM367" s="149" t="e">
        <f t="shared" si="54"/>
        <v>#N/A</v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e">
        <f>IF('Cable Info'!L228="","",CONCATENATE('Cable Info'!L228," - ",'Cable Info'!M228))</f>
        <v>#N/A</v>
      </c>
      <c r="AM368" s="149" t="e">
        <f t="shared" si="54"/>
        <v>#N/A</v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e">
        <f>IF('Cable Info'!L229="","",CONCATENATE('Cable Info'!L229," - ",'Cable Info'!M229))</f>
        <v>#N/A</v>
      </c>
      <c r="AM369" s="149" t="e">
        <f t="shared" si="54"/>
        <v>#N/A</v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e">
        <f>IF('Cable Info'!L230="","",CONCATENATE('Cable Info'!L230," - ",'Cable Info'!M230))</f>
        <v>#N/A</v>
      </c>
      <c r="AM370" s="149" t="e">
        <f t="shared" si="54"/>
        <v>#N/A</v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e">
        <f>IF('Cable Info'!L231="","",CONCATENATE('Cable Info'!L231," - ",'Cable Info'!M231))</f>
        <v>#N/A</v>
      </c>
      <c r="AM371" s="149" t="e">
        <f t="shared" si="54"/>
        <v>#N/A</v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e">
        <f>IF('Cable Info'!L232="","",CONCATENATE('Cable Info'!L232," - ",'Cable Info'!M232))</f>
        <v>#N/A</v>
      </c>
      <c r="AM372" s="149" t="e">
        <f t="shared" si="54"/>
        <v>#N/A</v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e">
        <f>IF('Cable Info'!L233="","",CONCATENATE('Cable Info'!L233," - ",'Cable Info'!M233))</f>
        <v>#N/A</v>
      </c>
      <c r="AM373" s="149" t="e">
        <f t="shared" si="54"/>
        <v>#N/A</v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e">
        <f>IF('Cable Info'!L234="","",CONCATENATE('Cable Info'!L234," - ",'Cable Info'!M234))</f>
        <v>#N/A</v>
      </c>
      <c r="AM374" s="149" t="e">
        <f t="shared" si="54"/>
        <v>#N/A</v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e">
        <f>IF('Cable Info'!L235="","",CONCATENATE('Cable Info'!L235," - ",'Cable Info'!M235))</f>
        <v>#N/A</v>
      </c>
      <c r="AM375" s="149" t="e">
        <f t="shared" si="54"/>
        <v>#N/A</v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e">
        <f>IF('Cable Info'!L236="","",CONCATENATE('Cable Info'!L236," - ",'Cable Info'!M236))</f>
        <v>#N/A</v>
      </c>
      <c r="AM376" s="149" t="e">
        <f t="shared" si="54"/>
        <v>#N/A</v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e">
        <f>IF('Cable Info'!L237="","",CONCATENATE('Cable Info'!L237," - ",'Cable Info'!M237))</f>
        <v>#N/A</v>
      </c>
      <c r="AM377" s="149" t="e">
        <f t="shared" si="54"/>
        <v>#N/A</v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e">
        <f>IF('Cable Info'!L238="","",CONCATENATE('Cable Info'!L238," - ",'Cable Info'!M238))</f>
        <v>#N/A</v>
      </c>
      <c r="AM378" s="149" t="e">
        <f t="shared" si="54"/>
        <v>#N/A</v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e">
        <f>IF('Cable Info'!L239="","",CONCATENATE('Cable Info'!L239," - ",'Cable Info'!M239))</f>
        <v>#N/A</v>
      </c>
      <c r="AM379" s="149" t="e">
        <f t="shared" si="54"/>
        <v>#N/A</v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e">
        <f>IF('Cable Info'!L240="","",CONCATENATE('Cable Info'!L240," - ",'Cable Info'!M240))</f>
        <v>#N/A</v>
      </c>
      <c r="AM380" s="149" t="e">
        <f t="shared" si="54"/>
        <v>#N/A</v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e">
        <f>IF('Cable Info'!L241="","",CONCATENATE('Cable Info'!L241," - ",'Cable Info'!M241))</f>
        <v>#N/A</v>
      </c>
      <c r="AM381" s="149" t="e">
        <f t="shared" si="54"/>
        <v>#N/A</v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e">
        <f>IF('Cable Info'!L242="","",CONCATENATE('Cable Info'!L242," - ",'Cable Info'!M242))</f>
        <v>#N/A</v>
      </c>
      <c r="AM382" s="149" t="e">
        <f t="shared" si="54"/>
        <v>#N/A</v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e">
        <f>IF('Cable Info'!L243="","",CONCATENATE('Cable Info'!L243," - ",'Cable Info'!M243))</f>
        <v>#N/A</v>
      </c>
      <c r="AM383" s="149" t="e">
        <f t="shared" si="54"/>
        <v>#N/A</v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e">
        <f>IF('Cable Info'!L244="","",CONCATENATE('Cable Info'!L244," - ",'Cable Info'!M244))</f>
        <v>#N/A</v>
      </c>
      <c r="AM384" s="149" t="e">
        <f t="shared" si="54"/>
        <v>#N/A</v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e">
        <f>IF('Cable Info'!L245="","",CONCATENATE('Cable Info'!L245," - ",'Cable Info'!M245))</f>
        <v>#N/A</v>
      </c>
      <c r="AM385" s="149" t="e">
        <f t="shared" si="54"/>
        <v>#N/A</v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e">
        <f>IF('Cable Info'!L246="","",CONCATENATE('Cable Info'!L246," - ",'Cable Info'!M246))</f>
        <v>#N/A</v>
      </c>
      <c r="AM386" s="149" t="e">
        <f t="shared" si="54"/>
        <v>#N/A</v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e">
        <f>IF('Cable Info'!L247="","",CONCATENATE('Cable Info'!L247," - ",'Cable Info'!M247))</f>
        <v>#N/A</v>
      </c>
      <c r="AM387" s="149" t="e">
        <f t="shared" si="54"/>
        <v>#N/A</v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e">
        <f>IF('Cable Info'!L248="","",CONCATENATE('Cable Info'!L248," - ",'Cable Info'!M248))</f>
        <v>#N/A</v>
      </c>
      <c r="AM388" s="149" t="e">
        <f t="shared" si="54"/>
        <v>#N/A</v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e">
        <f>IF('Cable Info'!L249="","",CONCATENATE('Cable Info'!L249," - ",'Cable Info'!M249))</f>
        <v>#N/A</v>
      </c>
      <c r="AM389" s="149" t="e">
        <f t="shared" si="54"/>
        <v>#N/A</v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e">
        <f>IF('Cable Info'!L250="","",CONCATENATE('Cable Info'!L250," - ",'Cable Info'!M250))</f>
        <v>#N/A</v>
      </c>
      <c r="AM390" s="149" t="e">
        <f t="shared" si="54"/>
        <v>#N/A</v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e">
        <f>IF('Cable Info'!L251="","",CONCATENATE('Cable Info'!L251," - ",'Cable Info'!M251))</f>
        <v>#N/A</v>
      </c>
      <c r="AM391" s="149" t="e">
        <f t="shared" si="54"/>
        <v>#N/A</v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e">
        <f>IF('Cable Info'!L252="","",CONCATENATE('Cable Info'!L252," - ",'Cable Info'!M252))</f>
        <v>#N/A</v>
      </c>
      <c r="AM392" s="149" t="e">
        <f t="shared" si="54"/>
        <v>#N/A</v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e">
        <f>IF('Cable Info'!L253="","",CONCATENATE('Cable Info'!L253," - ",'Cable Info'!M253))</f>
        <v>#N/A</v>
      </c>
      <c r="AM393" s="149" t="e">
        <f t="shared" si="54"/>
        <v>#N/A</v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e">
        <f>IF('Cable Info'!L254="","",CONCATENATE('Cable Info'!L254," - ",'Cable Info'!M254))</f>
        <v>#N/A</v>
      </c>
      <c r="AM394" s="149" t="e">
        <f t="shared" si="54"/>
        <v>#N/A</v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e">
        <f>IF('Cable Info'!L255="","",CONCATENATE('Cable Info'!L255," - ",'Cable Info'!M255))</f>
        <v>#N/A</v>
      </c>
      <c r="AM395" s="149" t="e">
        <f t="shared" si="54"/>
        <v>#N/A</v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e">
        <f>IF('Cable Info'!L256="","",CONCATENATE('Cable Info'!L256," - ",'Cable Info'!M256))</f>
        <v>#N/A</v>
      </c>
      <c r="AM396" s="149" t="e">
        <f t="shared" si="54"/>
        <v>#N/A</v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e">
        <f>IF('Cable Info'!L257="","",CONCATENATE('Cable Info'!L257," - ",'Cable Info'!M257))</f>
        <v>#N/A</v>
      </c>
      <c r="AM397" s="149" t="e">
        <f t="shared" si="54"/>
        <v>#N/A</v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e">
        <f>IF('Cable Info'!L258="","",CONCATENATE('Cable Info'!L258," - ",'Cable Info'!M258))</f>
        <v>#N/A</v>
      </c>
      <c r="AM398" s="149" t="e">
        <f t="shared" si="54"/>
        <v>#N/A</v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e">
        <f>IF('Cable Info'!L259="","",CONCATENATE('Cable Info'!L259," - ",'Cable Info'!M259))</f>
        <v>#N/A</v>
      </c>
      <c r="AM399" s="149" t="e">
        <f t="shared" ref="AM399:AM462" si="60">IF(AK399="",AJ399,CONCATENATE(AJ399,"  &lt;=&gt; ",AK399," ",AL399))</f>
        <v>#N/A</v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e">
        <f>IF('Cable Info'!L260="","",CONCATENATE('Cable Info'!L260," - ",'Cable Info'!M260))</f>
        <v>#N/A</v>
      </c>
      <c r="AM400" s="149" t="e">
        <f t="shared" si="60"/>
        <v>#N/A</v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e">
        <f>IF('Cable Info'!L261="","",CONCATENATE('Cable Info'!L261," - ",'Cable Info'!M261))</f>
        <v>#N/A</v>
      </c>
      <c r="AM401" s="149" t="e">
        <f t="shared" si="60"/>
        <v>#N/A</v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e">
        <f>IF('Cable Info'!L262="","",CONCATENATE('Cable Info'!L262," - ",'Cable Info'!M262))</f>
        <v>#N/A</v>
      </c>
      <c r="AM402" s="149" t="e">
        <f t="shared" si="60"/>
        <v>#N/A</v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e">
        <f>IF('Cable Info'!L263="","",CONCATENATE('Cable Info'!L263," - ",'Cable Info'!M263))</f>
        <v>#N/A</v>
      </c>
      <c r="AM403" s="149" t="e">
        <f t="shared" si="60"/>
        <v>#N/A</v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e">
        <f>IF('Cable Info'!L264="","",CONCATENATE('Cable Info'!L264," - ",'Cable Info'!M264))</f>
        <v>#N/A</v>
      </c>
      <c r="AM404" s="149" t="e">
        <f t="shared" si="60"/>
        <v>#N/A</v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e">
        <f>IF('Cable Info'!L265="","",CONCATENATE('Cable Info'!L265," - ",'Cable Info'!M265))</f>
        <v>#N/A</v>
      </c>
      <c r="AM405" s="149" t="e">
        <f t="shared" si="60"/>
        <v>#N/A</v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e">
        <f>IF('Cable Info'!L266="","",CONCATENATE('Cable Info'!L266," - ",'Cable Info'!M266))</f>
        <v>#N/A</v>
      </c>
      <c r="AM406" s="149" t="e">
        <f t="shared" si="60"/>
        <v>#N/A</v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e">
        <f>IF('Cable Info'!L267="","",CONCATENATE('Cable Info'!L267," - ",'Cable Info'!M267))</f>
        <v>#N/A</v>
      </c>
      <c r="AM407" s="149" t="e">
        <f t="shared" si="60"/>
        <v>#N/A</v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e">
        <f>IF('Cable Info'!L268="","",CONCATENATE('Cable Info'!L268," - ",'Cable Info'!M268))</f>
        <v>#N/A</v>
      </c>
      <c r="AM408" s="149" t="e">
        <f t="shared" si="60"/>
        <v>#N/A</v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e">
        <f>IF('Cable Info'!L269="","",CONCATENATE('Cable Info'!L269," - ",'Cable Info'!M269))</f>
        <v>#N/A</v>
      </c>
      <c r="AM409" s="149" t="e">
        <f t="shared" si="60"/>
        <v>#N/A</v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e">
        <f>IF('Cable Info'!L270="","",CONCATENATE('Cable Info'!L270," - ",'Cable Info'!M270))</f>
        <v>#N/A</v>
      </c>
      <c r="AM410" s="149" t="e">
        <f t="shared" si="60"/>
        <v>#N/A</v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e">
        <f>IF('Cable Info'!L271="","",CONCATENATE('Cable Info'!L271," - ",'Cable Info'!M271))</f>
        <v>#N/A</v>
      </c>
      <c r="AM411" s="149" t="e">
        <f t="shared" si="60"/>
        <v>#N/A</v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e">
        <f>IF('Cable Info'!L272="","",CONCATENATE('Cable Info'!L272," - ",'Cable Info'!M272))</f>
        <v>#N/A</v>
      </c>
      <c r="AM412" s="149" t="e">
        <f t="shared" si="60"/>
        <v>#N/A</v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e">
        <f>IF('Cable Info'!L273="","",CONCATENATE('Cable Info'!L273," - ",'Cable Info'!M273))</f>
        <v>#N/A</v>
      </c>
      <c r="AM413" s="149" t="e">
        <f t="shared" si="60"/>
        <v>#N/A</v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e">
        <f>IF('Cable Info'!L274="","",CONCATENATE('Cable Info'!L274," - ",'Cable Info'!M274))</f>
        <v>#N/A</v>
      </c>
      <c r="AM414" s="149" t="e">
        <f t="shared" si="60"/>
        <v>#N/A</v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e">
        <f>IF('Cable Info'!L275="","",CONCATENATE('Cable Info'!L275," - ",'Cable Info'!M275))</f>
        <v>#N/A</v>
      </c>
      <c r="AM415" s="149" t="e">
        <f t="shared" si="60"/>
        <v>#N/A</v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e">
        <f>IF('Cable Info'!L276="","",CONCATENATE('Cable Info'!L276," - ",'Cable Info'!M276))</f>
        <v>#N/A</v>
      </c>
      <c r="AM416" s="149" t="e">
        <f t="shared" si="60"/>
        <v>#N/A</v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e">
        <f>IF('Cable Info'!L277="","",CONCATENATE('Cable Info'!L277," - ",'Cable Info'!M277))</f>
        <v>#N/A</v>
      </c>
      <c r="AM417" s="149" t="e">
        <f t="shared" si="60"/>
        <v>#N/A</v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e">
        <f>IF('Cable Info'!L278="","",CONCATENATE('Cable Info'!L278," - ",'Cable Info'!M278))</f>
        <v>#N/A</v>
      </c>
      <c r="AM418" s="149" t="e">
        <f t="shared" si="60"/>
        <v>#N/A</v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e">
        <f>IF('Cable Info'!L279="","",CONCATENATE('Cable Info'!L279," - ",'Cable Info'!M279))</f>
        <v>#N/A</v>
      </c>
      <c r="AM419" s="149" t="e">
        <f t="shared" si="60"/>
        <v>#N/A</v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e">
        <f>IF('Cable Info'!L280="","",CONCATENATE('Cable Info'!L280," - ",'Cable Info'!M280))</f>
        <v>#N/A</v>
      </c>
      <c r="AM420" s="149" t="e">
        <f t="shared" si="60"/>
        <v>#N/A</v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e">
        <f>IF('Cable Info'!L281="","",CONCATENATE('Cable Info'!L281," - ",'Cable Info'!M281))</f>
        <v>#N/A</v>
      </c>
      <c r="AM421" s="149" t="e">
        <f t="shared" si="60"/>
        <v>#N/A</v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e">
        <f>IF('Cable Info'!L282="","",CONCATENATE('Cable Info'!L282," - ",'Cable Info'!M282))</f>
        <v>#N/A</v>
      </c>
      <c r="AM422" s="149" t="e">
        <f t="shared" si="60"/>
        <v>#N/A</v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e">
        <f>IF('Cable Info'!L283="","",CONCATENATE('Cable Info'!L283," - ",'Cable Info'!M283))</f>
        <v>#N/A</v>
      </c>
      <c r="AM423" s="149" t="e">
        <f t="shared" si="60"/>
        <v>#N/A</v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e">
        <f>IF('Cable Info'!L284="","",CONCATENATE('Cable Info'!L284," - ",'Cable Info'!M284))</f>
        <v>#N/A</v>
      </c>
      <c r="AM424" s="149" t="e">
        <f t="shared" si="60"/>
        <v>#N/A</v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e">
        <f>IF('Cable Info'!L285="","",CONCATENATE('Cable Info'!L285," - ",'Cable Info'!M285))</f>
        <v>#N/A</v>
      </c>
      <c r="AM425" s="149" t="e">
        <f t="shared" si="60"/>
        <v>#N/A</v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e">
        <f>IF('Cable Info'!L286="","",CONCATENATE('Cable Info'!L286," - ",'Cable Info'!M286))</f>
        <v>#N/A</v>
      </c>
      <c r="AM426" s="149" t="e">
        <f t="shared" si="60"/>
        <v>#N/A</v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e">
        <f>IF('Cable Info'!L287="","",CONCATENATE('Cable Info'!L287," - ",'Cable Info'!M287))</f>
        <v>#N/A</v>
      </c>
      <c r="AM427" s="149" t="e">
        <f t="shared" si="60"/>
        <v>#N/A</v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e">
        <f>IF('Cable Info'!L288="","",CONCATENATE('Cable Info'!L288," - ",'Cable Info'!M288))</f>
        <v>#N/A</v>
      </c>
      <c r="AM428" s="149" t="e">
        <f t="shared" si="60"/>
        <v>#N/A</v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e">
        <f>IF('Cable Info'!L289="","",CONCATENATE('Cable Info'!L289," - ",'Cable Info'!M289))</f>
        <v>#N/A</v>
      </c>
      <c r="AM429" s="149" t="e">
        <f t="shared" si="60"/>
        <v>#N/A</v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e">
        <f>IF('Cable Info'!L290="","",CONCATENATE('Cable Info'!L290," - ",'Cable Info'!M290))</f>
        <v>#N/A</v>
      </c>
      <c r="AM430" s="149" t="e">
        <f t="shared" si="60"/>
        <v>#N/A</v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e">
        <f>IF('Cable Info'!L291="","",CONCATENATE('Cable Info'!L291," - ",'Cable Info'!M291))</f>
        <v>#N/A</v>
      </c>
      <c r="AM431" s="149" t="e">
        <f t="shared" si="60"/>
        <v>#N/A</v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e">
        <f>IF('Cable Info'!L292="","",CONCATENATE('Cable Info'!L292," - ",'Cable Info'!M292))</f>
        <v>#N/A</v>
      </c>
      <c r="AM432" s="149" t="e">
        <f t="shared" si="60"/>
        <v>#N/A</v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e">
        <f>IF('Cable Info'!L293="","",CONCATENATE('Cable Info'!L293," - ",'Cable Info'!M293))</f>
        <v>#N/A</v>
      </c>
      <c r="AM433" s="149" t="e">
        <f t="shared" si="60"/>
        <v>#N/A</v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e">
        <f>IF('Cable Info'!L294="","",CONCATENATE('Cable Info'!L294," - ",'Cable Info'!M294))</f>
        <v>#N/A</v>
      </c>
      <c r="AM434" s="149" t="e">
        <f t="shared" si="60"/>
        <v>#N/A</v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e">
        <f>IF('Cable Info'!L295="","",CONCATENATE('Cable Info'!L295," - ",'Cable Info'!M295))</f>
        <v>#N/A</v>
      </c>
      <c r="AM435" s="149" t="e">
        <f t="shared" si="60"/>
        <v>#N/A</v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e">
        <f>IF('Cable Info'!L296="","",CONCATENATE('Cable Info'!L296," - ",'Cable Info'!M296))</f>
        <v>#N/A</v>
      </c>
      <c r="AM436" s="149" t="e">
        <f t="shared" si="60"/>
        <v>#N/A</v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e">
        <f>IF('Cable Info'!L297="","",CONCATENATE('Cable Info'!L297," - ",'Cable Info'!M297))</f>
        <v>#N/A</v>
      </c>
      <c r="AM437" s="149" t="e">
        <f t="shared" si="60"/>
        <v>#N/A</v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e">
        <f>IF('Cable Info'!L298="","",CONCATENATE('Cable Info'!L298," - ",'Cable Info'!M298))</f>
        <v>#N/A</v>
      </c>
      <c r="AM438" s="149" t="e">
        <f t="shared" si="60"/>
        <v>#N/A</v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e">
        <f>IF('Cable Info'!L299="","",CONCATENATE('Cable Info'!L299," - ",'Cable Info'!M299))</f>
        <v>#N/A</v>
      </c>
      <c r="AM439" s="149" t="e">
        <f t="shared" si="60"/>
        <v>#N/A</v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e">
        <f>IF('Cable Info'!L300="","",CONCATENATE('Cable Info'!L300," - ",'Cable Info'!M300))</f>
        <v>#N/A</v>
      </c>
      <c r="AM440" s="149" t="e">
        <f t="shared" si="60"/>
        <v>#N/A</v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e">
        <f>IF('Cable Info'!L301="","",CONCATENATE('Cable Info'!L301," - ",'Cable Info'!M301))</f>
        <v>#N/A</v>
      </c>
      <c r="AM441" s="149" t="e">
        <f t="shared" si="60"/>
        <v>#N/A</v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e">
        <f>IF('Cable Info'!L302="","",CONCATENATE('Cable Info'!L302," - ",'Cable Info'!M302))</f>
        <v>#N/A</v>
      </c>
      <c r="AM442" s="149" t="e">
        <f t="shared" si="60"/>
        <v>#N/A</v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e">
        <f>IF('Cable Info'!L303="","",CONCATENATE('Cable Info'!L303," - ",'Cable Info'!M303))</f>
        <v>#N/A</v>
      </c>
      <c r="AM443" s="149" t="e">
        <f t="shared" si="60"/>
        <v>#N/A</v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e">
        <f>IF('Cable Info'!L304="","",CONCATENATE('Cable Info'!L304," - ",'Cable Info'!M304))</f>
        <v>#N/A</v>
      </c>
      <c r="AM444" s="149" t="e">
        <f t="shared" si="60"/>
        <v>#N/A</v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e">
        <f>IF('Cable Info'!L305="","",CONCATENATE('Cable Info'!L305," - ",'Cable Info'!M305))</f>
        <v>#N/A</v>
      </c>
      <c r="AM445" s="149" t="e">
        <f t="shared" si="60"/>
        <v>#N/A</v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e">
        <f>IF('Cable Info'!L306="","",CONCATENATE('Cable Info'!L306," - ",'Cable Info'!M306))</f>
        <v>#N/A</v>
      </c>
      <c r="AM446" s="149" t="e">
        <f t="shared" si="60"/>
        <v>#N/A</v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e">
        <f>IF('Cable Info'!L307="","",CONCATENATE('Cable Info'!L307," - ",'Cable Info'!M307))</f>
        <v>#N/A</v>
      </c>
      <c r="AM447" s="149" t="e">
        <f t="shared" si="60"/>
        <v>#N/A</v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e">
        <f>IF('Cable Info'!L308="","",CONCATENATE('Cable Info'!L308," - ",'Cable Info'!M308))</f>
        <v>#N/A</v>
      </c>
      <c r="AM448" s="149" t="e">
        <f t="shared" si="60"/>
        <v>#N/A</v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e">
        <f>IF('Cable Info'!L309="","",CONCATENATE('Cable Info'!L309," - ",'Cable Info'!M309))</f>
        <v>#N/A</v>
      </c>
      <c r="AM449" s="149" t="e">
        <f t="shared" si="60"/>
        <v>#N/A</v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e">
        <f>IF('Cable Info'!L310="","",CONCATENATE('Cable Info'!L310," - ",'Cable Info'!M310))</f>
        <v>#N/A</v>
      </c>
      <c r="AM450" s="149" t="e">
        <f t="shared" si="60"/>
        <v>#N/A</v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e">
        <f>IF('Cable Info'!L311="","",CONCATENATE('Cable Info'!L311," - ",'Cable Info'!M311))</f>
        <v>#N/A</v>
      </c>
      <c r="AM451" s="149" t="e">
        <f t="shared" si="60"/>
        <v>#N/A</v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e">
        <f>IF('Cable Info'!L312="","",CONCATENATE('Cable Info'!L312," - ",'Cable Info'!M312))</f>
        <v>#N/A</v>
      </c>
      <c r="AM452" s="149" t="e">
        <f t="shared" si="60"/>
        <v>#N/A</v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e">
        <f>IF('Cable Info'!L313="","",CONCATENATE('Cable Info'!L313," - ",'Cable Info'!M313))</f>
        <v>#N/A</v>
      </c>
      <c r="AM453" s="149" t="e">
        <f t="shared" si="60"/>
        <v>#N/A</v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e">
        <f>IF('Cable Info'!L314="","",CONCATENATE('Cable Info'!L314," - ",'Cable Info'!M314))</f>
        <v>#N/A</v>
      </c>
      <c r="AM454" s="149" t="e">
        <f t="shared" si="60"/>
        <v>#N/A</v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e">
        <f>IF('Cable Info'!L315="","",CONCATENATE('Cable Info'!L315," - ",'Cable Info'!M315))</f>
        <v>#N/A</v>
      </c>
      <c r="AM455" s="149" t="e">
        <f t="shared" si="60"/>
        <v>#N/A</v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e">
        <f>IF('Cable Info'!L316="","",CONCATENATE('Cable Info'!L316," - ",'Cable Info'!M316))</f>
        <v>#N/A</v>
      </c>
      <c r="AM456" s="149" t="e">
        <f t="shared" si="60"/>
        <v>#N/A</v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e">
        <f>IF('Cable Info'!L317="","",CONCATENATE('Cable Info'!L317," - ",'Cable Info'!M317))</f>
        <v>#N/A</v>
      </c>
      <c r="AM457" s="149" t="e">
        <f t="shared" si="60"/>
        <v>#N/A</v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e">
        <f>IF('Cable Info'!L318="","",CONCATENATE('Cable Info'!L318," - ",'Cable Info'!M318))</f>
        <v>#N/A</v>
      </c>
      <c r="AM458" s="149" t="e">
        <f t="shared" si="60"/>
        <v>#N/A</v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e">
        <f>IF('Cable Info'!L319="","",CONCATENATE('Cable Info'!L319," - ",'Cable Info'!M319))</f>
        <v>#N/A</v>
      </c>
      <c r="AM459" s="149" t="e">
        <f t="shared" si="60"/>
        <v>#N/A</v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e">
        <f>IF('Cable Info'!L320="","",CONCATENATE('Cable Info'!L320," - ",'Cable Info'!M320))</f>
        <v>#N/A</v>
      </c>
      <c r="AM460" s="149" t="e">
        <f t="shared" si="60"/>
        <v>#N/A</v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e">
        <f>IF('Cable Info'!L321="","",CONCATENATE('Cable Info'!L321," - ",'Cable Info'!M321))</f>
        <v>#N/A</v>
      </c>
      <c r="AM461" s="149" t="e">
        <f t="shared" si="60"/>
        <v>#N/A</v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e">
        <f>IF('Cable Info'!L322="","",CONCATENATE('Cable Info'!L322," - ",'Cable Info'!M322))</f>
        <v>#N/A</v>
      </c>
      <c r="AM462" s="149" t="e">
        <f t="shared" si="60"/>
        <v>#N/A</v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e">
        <f>IF('Cable Info'!L323="","",CONCATENATE('Cable Info'!L323," - ",'Cable Info'!M323))</f>
        <v>#N/A</v>
      </c>
      <c r="AM463" s="149" t="e">
        <f t="shared" ref="AM463:AM526" si="66">IF(AK463="",AJ463,CONCATENATE(AJ463,"  &lt;=&gt; ",AK463," ",AL463))</f>
        <v>#N/A</v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e">
        <f>IF('Cable Info'!L324="","",CONCATENATE('Cable Info'!L324," - ",'Cable Info'!M324))</f>
        <v>#N/A</v>
      </c>
      <c r="AM464" s="149" t="e">
        <f t="shared" si="66"/>
        <v>#N/A</v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e">
        <f>IF('Cable Info'!L325="","",CONCATENATE('Cable Info'!L325," - ",'Cable Info'!M325))</f>
        <v>#N/A</v>
      </c>
      <c r="AM465" s="149" t="e">
        <f t="shared" si="66"/>
        <v>#N/A</v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e">
        <f>IF('Cable Info'!L326="","",CONCATENATE('Cable Info'!L326," - ",'Cable Info'!M326))</f>
        <v>#N/A</v>
      </c>
      <c r="AM466" s="149" t="e">
        <f t="shared" si="66"/>
        <v>#N/A</v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e">
        <f>IF('Cable Info'!L327="","",CONCATENATE('Cable Info'!L327," - ",'Cable Info'!M327))</f>
        <v>#N/A</v>
      </c>
      <c r="AM467" s="149" t="e">
        <f t="shared" si="66"/>
        <v>#N/A</v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e">
        <f>IF('Cable Info'!L328="","",CONCATENATE('Cable Info'!L328," - ",'Cable Info'!M328))</f>
        <v>#N/A</v>
      </c>
      <c r="AM468" s="149" t="e">
        <f t="shared" si="66"/>
        <v>#N/A</v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e">
        <f>IF('Cable Info'!L329="","",CONCATENATE('Cable Info'!L329," - ",'Cable Info'!M329))</f>
        <v>#N/A</v>
      </c>
      <c r="AM469" s="149" t="e">
        <f t="shared" si="66"/>
        <v>#N/A</v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e">
        <f>IF('Cable Info'!L330="","",CONCATENATE('Cable Info'!L330," - ",'Cable Info'!M330))</f>
        <v>#N/A</v>
      </c>
      <c r="AM470" s="149" t="e">
        <f t="shared" si="66"/>
        <v>#N/A</v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e">
        <f>IF('Cable Info'!L331="","",CONCATENATE('Cable Info'!L331," - ",'Cable Info'!M331))</f>
        <v>#N/A</v>
      </c>
      <c r="AM471" s="149" t="e">
        <f t="shared" si="66"/>
        <v>#N/A</v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e">
        <f>IF('Cable Info'!L332="","",CONCATENATE('Cable Info'!L332," - ",'Cable Info'!M332))</f>
        <v>#N/A</v>
      </c>
      <c r="AM472" s="149" t="e">
        <f t="shared" si="66"/>
        <v>#N/A</v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e">
        <f>IF('Cable Info'!L333="","",CONCATENATE('Cable Info'!L333," - ",'Cable Info'!M333))</f>
        <v>#N/A</v>
      </c>
      <c r="AM473" s="149" t="e">
        <f t="shared" si="66"/>
        <v>#N/A</v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e">
        <f>IF('Cable Info'!L334="","",CONCATENATE('Cable Info'!L334," - ",'Cable Info'!M334))</f>
        <v>#N/A</v>
      </c>
      <c r="AM474" s="149" t="e">
        <f t="shared" si="66"/>
        <v>#N/A</v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e">
        <f>IF('Cable Info'!L335="","",CONCATENATE('Cable Info'!L335," - ",'Cable Info'!M335))</f>
        <v>#N/A</v>
      </c>
      <c r="AM475" s="149" t="e">
        <f t="shared" si="66"/>
        <v>#N/A</v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e">
        <f>IF('Cable Info'!L336="","",CONCATENATE('Cable Info'!L336," - ",'Cable Info'!M336))</f>
        <v>#N/A</v>
      </c>
      <c r="AM476" s="149" t="e">
        <f t="shared" si="66"/>
        <v>#N/A</v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e">
        <f>IF('Cable Info'!L337="","",CONCATENATE('Cable Info'!L337," - ",'Cable Info'!M337))</f>
        <v>#N/A</v>
      </c>
      <c r="AM477" s="149" t="e">
        <f t="shared" si="66"/>
        <v>#N/A</v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e">
        <f>IF('Cable Info'!L338="","",CONCATENATE('Cable Info'!L338," - ",'Cable Info'!M338))</f>
        <v>#N/A</v>
      </c>
      <c r="AM478" s="149" t="e">
        <f t="shared" si="66"/>
        <v>#N/A</v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e">
        <f>IF('Cable Info'!L339="","",CONCATENATE('Cable Info'!L339," - ",'Cable Info'!M339))</f>
        <v>#N/A</v>
      </c>
      <c r="AM479" s="149" t="e">
        <f t="shared" si="66"/>
        <v>#N/A</v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e">
        <f>IF('Cable Info'!L340="","",CONCATENATE('Cable Info'!L340," - ",'Cable Info'!M340))</f>
        <v>#N/A</v>
      </c>
      <c r="AM480" s="149" t="e">
        <f t="shared" si="66"/>
        <v>#N/A</v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e">
        <f>IF('Cable Info'!L341="","",CONCATENATE('Cable Info'!L341," - ",'Cable Info'!M341))</f>
        <v>#N/A</v>
      </c>
      <c r="AM481" s="149" t="e">
        <f t="shared" si="66"/>
        <v>#N/A</v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e">
        <f>IF('Cable Info'!L342="","",CONCATENATE('Cable Info'!L342," - ",'Cable Info'!M342))</f>
        <v>#N/A</v>
      </c>
      <c r="AM482" s="149" t="e">
        <f t="shared" si="66"/>
        <v>#N/A</v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e">
        <f>IF('Cable Info'!L343="","",CONCATENATE('Cable Info'!L343," - ",'Cable Info'!M343))</f>
        <v>#N/A</v>
      </c>
      <c r="AM483" s="149" t="e">
        <f t="shared" si="66"/>
        <v>#N/A</v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e">
        <f>IF('Cable Info'!L344="","",CONCATENATE('Cable Info'!L344," - ",'Cable Info'!M344))</f>
        <v>#N/A</v>
      </c>
      <c r="AM484" s="149" t="e">
        <f t="shared" si="66"/>
        <v>#N/A</v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e">
        <f>IF('Cable Info'!L345="","",CONCATENATE('Cable Info'!L345," - ",'Cable Info'!M345))</f>
        <v>#N/A</v>
      </c>
      <c r="AM485" s="149" t="e">
        <f t="shared" si="66"/>
        <v>#N/A</v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e">
        <f>IF('Cable Info'!L346="","",CONCATENATE('Cable Info'!L346," - ",'Cable Info'!M346))</f>
        <v>#N/A</v>
      </c>
      <c r="AM486" s="149" t="e">
        <f t="shared" si="66"/>
        <v>#N/A</v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e">
        <f>IF('Cable Info'!L347="","",CONCATENATE('Cable Info'!L347," - ",'Cable Info'!M347))</f>
        <v>#N/A</v>
      </c>
      <c r="AM487" s="149" t="e">
        <f t="shared" si="66"/>
        <v>#N/A</v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e">
        <f>IF('Cable Info'!L348="","",CONCATENATE('Cable Info'!L348," - ",'Cable Info'!M348))</f>
        <v>#N/A</v>
      </c>
      <c r="AM488" s="149" t="e">
        <f t="shared" si="66"/>
        <v>#N/A</v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e">
        <f>IF('Cable Info'!L349="","",CONCATENATE('Cable Info'!L349," - ",'Cable Info'!M349))</f>
        <v>#N/A</v>
      </c>
      <c r="AM489" s="149" t="e">
        <f t="shared" si="66"/>
        <v>#N/A</v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e">
        <f>IF('Cable Info'!L350="","",CONCATENATE('Cable Info'!L350," - ",'Cable Info'!M350))</f>
        <v>#N/A</v>
      </c>
      <c r="AM490" s="149" t="e">
        <f t="shared" si="66"/>
        <v>#N/A</v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e">
        <f>IF('Cable Info'!L351="","",CONCATENATE('Cable Info'!L351," - ",'Cable Info'!M351))</f>
        <v>#N/A</v>
      </c>
      <c r="AM491" s="149" t="e">
        <f t="shared" si="66"/>
        <v>#N/A</v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e">
        <f>IF('Cable Info'!L352="","",CONCATENATE('Cable Info'!L352," - ",'Cable Info'!M352))</f>
        <v>#N/A</v>
      </c>
      <c r="AM492" s="149" t="e">
        <f t="shared" si="66"/>
        <v>#N/A</v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e">
        <f>IF('Cable Info'!L353="","",CONCATENATE('Cable Info'!L353," - ",'Cable Info'!M353))</f>
        <v>#N/A</v>
      </c>
      <c r="AM493" s="149" t="e">
        <f t="shared" si="66"/>
        <v>#N/A</v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e">
        <f>IF('Cable Info'!L354="","",CONCATENATE('Cable Info'!L354," - ",'Cable Info'!M354))</f>
        <v>#N/A</v>
      </c>
      <c r="AM494" s="149" t="e">
        <f t="shared" si="66"/>
        <v>#N/A</v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e">
        <f>IF('Cable Info'!L355="","",CONCATENATE('Cable Info'!L355," - ",'Cable Info'!M355))</f>
        <v>#N/A</v>
      </c>
      <c r="AM495" s="149" t="e">
        <f t="shared" si="66"/>
        <v>#N/A</v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e">
        <f>IF('Cable Info'!L356="","",CONCATENATE('Cable Info'!L356," - ",'Cable Info'!M356))</f>
        <v>#N/A</v>
      </c>
      <c r="AM496" s="149" t="e">
        <f t="shared" si="66"/>
        <v>#N/A</v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e">
        <f>IF('Cable Info'!L357="","",CONCATENATE('Cable Info'!L357," - ",'Cable Info'!M357))</f>
        <v>#N/A</v>
      </c>
      <c r="AM497" s="149" t="e">
        <f t="shared" si="66"/>
        <v>#N/A</v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e">
        <f>IF('Cable Info'!L358="","",CONCATENATE('Cable Info'!L358," - ",'Cable Info'!M358))</f>
        <v>#N/A</v>
      </c>
      <c r="AM498" s="149" t="e">
        <f t="shared" si="66"/>
        <v>#N/A</v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e">
        <f>IF('Cable Info'!L359="","",CONCATENATE('Cable Info'!L359," - ",'Cable Info'!M359))</f>
        <v>#N/A</v>
      </c>
      <c r="AM499" s="149" t="e">
        <f t="shared" si="66"/>
        <v>#N/A</v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e">
        <f>IF('Cable Info'!L360="","",CONCATENATE('Cable Info'!L360," - ",'Cable Info'!M360))</f>
        <v>#N/A</v>
      </c>
      <c r="AM500" s="149" t="e">
        <f t="shared" si="66"/>
        <v>#N/A</v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e">
        <f>IF('Cable Info'!L361="","",CONCATENATE('Cable Info'!L361," - ",'Cable Info'!M361))</f>
        <v>#N/A</v>
      </c>
      <c r="AM501" s="149" t="e">
        <f t="shared" si="66"/>
        <v>#N/A</v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e">
        <f>IF('Cable Info'!L362="","",CONCATENATE('Cable Info'!L362," - ",'Cable Info'!M362))</f>
        <v>#N/A</v>
      </c>
      <c r="AM502" s="149" t="e">
        <f t="shared" si="66"/>
        <v>#N/A</v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e">
        <f>IF('Cable Info'!L363="","",CONCATENATE('Cable Info'!L363," - ",'Cable Info'!M363))</f>
        <v>#N/A</v>
      </c>
      <c r="AM503" s="149" t="e">
        <f t="shared" si="66"/>
        <v>#N/A</v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e">
        <f>IF('Cable Info'!L364="","",CONCATENATE('Cable Info'!L364," - ",'Cable Info'!M364))</f>
        <v>#N/A</v>
      </c>
      <c r="AM504" s="149" t="e">
        <f t="shared" si="66"/>
        <v>#N/A</v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e">
        <f>IF('Cable Info'!L365="","",CONCATENATE('Cable Info'!L365," - ",'Cable Info'!M365))</f>
        <v>#N/A</v>
      </c>
      <c r="AM505" s="149" t="e">
        <f t="shared" si="66"/>
        <v>#N/A</v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e">
        <f>IF('Cable Info'!L366="","",CONCATENATE('Cable Info'!L366," - ",'Cable Info'!M366))</f>
        <v>#N/A</v>
      </c>
      <c r="AM506" s="149" t="e">
        <f t="shared" si="66"/>
        <v>#N/A</v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e">
        <f>IF('Cable Info'!L367="","",CONCATENATE('Cable Info'!L367," - ",'Cable Info'!M367))</f>
        <v>#N/A</v>
      </c>
      <c r="AM507" s="149" t="e">
        <f t="shared" si="66"/>
        <v>#N/A</v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e">
        <f>IF('Cable Info'!L368="","",CONCATENATE('Cable Info'!L368," - ",'Cable Info'!M368))</f>
        <v>#N/A</v>
      </c>
      <c r="AM508" s="149" t="e">
        <f t="shared" si="66"/>
        <v>#N/A</v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e">
        <f>IF('Cable Info'!L369="","",CONCATENATE('Cable Info'!L369," - ",'Cable Info'!M369))</f>
        <v>#N/A</v>
      </c>
      <c r="AM509" s="149" t="e">
        <f t="shared" si="66"/>
        <v>#N/A</v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e">
        <f>IF('Cable Info'!L370="","",CONCATENATE('Cable Info'!L370," - ",'Cable Info'!M370))</f>
        <v>#N/A</v>
      </c>
      <c r="AM510" s="149" t="e">
        <f t="shared" si="66"/>
        <v>#N/A</v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e">
        <f>IF('Cable Info'!L371="","",CONCATENATE('Cable Info'!L371," - ",'Cable Info'!M371))</f>
        <v>#N/A</v>
      </c>
      <c r="AM511" s="149" t="e">
        <f t="shared" si="66"/>
        <v>#N/A</v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e">
        <f>IF('Cable Info'!L372="","",CONCATENATE('Cable Info'!L372," - ",'Cable Info'!M372))</f>
        <v>#N/A</v>
      </c>
      <c r="AM512" s="149" t="e">
        <f t="shared" si="66"/>
        <v>#N/A</v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e">
        <f>IF('Cable Info'!L373="","",CONCATENATE('Cable Info'!L373," - ",'Cable Info'!M373))</f>
        <v>#N/A</v>
      </c>
      <c r="AM513" s="149" t="e">
        <f t="shared" si="66"/>
        <v>#N/A</v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e">
        <f>IF('Cable Info'!L374="","",CONCATENATE('Cable Info'!L374," - ",'Cable Info'!M374))</f>
        <v>#N/A</v>
      </c>
      <c r="AM514" s="149" t="e">
        <f t="shared" si="66"/>
        <v>#N/A</v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e">
        <f>IF('Cable Info'!L375="","",CONCATENATE('Cable Info'!L375," - ",'Cable Info'!M375))</f>
        <v>#N/A</v>
      </c>
      <c r="AM515" s="149" t="e">
        <f t="shared" si="66"/>
        <v>#N/A</v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e">
        <f>IF('Cable Info'!L376="","",CONCATENATE('Cable Info'!L376," - ",'Cable Info'!M376))</f>
        <v>#N/A</v>
      </c>
      <c r="AM516" s="149" t="e">
        <f t="shared" si="66"/>
        <v>#N/A</v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e">
        <f>IF('Cable Info'!L377="","",CONCATENATE('Cable Info'!L377," - ",'Cable Info'!M377))</f>
        <v>#N/A</v>
      </c>
      <c r="AM517" s="149" t="e">
        <f t="shared" si="66"/>
        <v>#N/A</v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e">
        <f>IF('Cable Info'!L378="","",CONCATENATE('Cable Info'!L378," - ",'Cable Info'!M378))</f>
        <v>#N/A</v>
      </c>
      <c r="AM518" s="149" t="e">
        <f t="shared" si="66"/>
        <v>#N/A</v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e">
        <f>IF('Cable Info'!L379="","",CONCATENATE('Cable Info'!L379," - ",'Cable Info'!M379))</f>
        <v>#N/A</v>
      </c>
      <c r="AM519" s="149" t="e">
        <f t="shared" si="66"/>
        <v>#N/A</v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e">
        <f>IF('Cable Info'!L380="","",CONCATENATE('Cable Info'!L380," - ",'Cable Info'!M380))</f>
        <v>#N/A</v>
      </c>
      <c r="AM520" s="149" t="e">
        <f t="shared" si="66"/>
        <v>#N/A</v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e">
        <f>IF('Cable Info'!L381="","",CONCATENATE('Cable Info'!L381," - ",'Cable Info'!M381))</f>
        <v>#N/A</v>
      </c>
      <c r="AM521" s="149" t="e">
        <f t="shared" si="66"/>
        <v>#N/A</v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e">
        <f>IF('Cable Info'!L382="","",CONCATENATE('Cable Info'!L382," - ",'Cable Info'!M382))</f>
        <v>#N/A</v>
      </c>
      <c r="AM522" s="149" t="e">
        <f t="shared" si="66"/>
        <v>#N/A</v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e">
        <f>IF('Cable Info'!L383="","",CONCATENATE('Cable Info'!L383," - ",'Cable Info'!M383))</f>
        <v>#N/A</v>
      </c>
      <c r="AM523" s="149" t="e">
        <f t="shared" si="66"/>
        <v>#N/A</v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e">
        <f>IF('Cable Info'!L384="","",CONCATENATE('Cable Info'!L384," - ",'Cable Info'!M384))</f>
        <v>#N/A</v>
      </c>
      <c r="AM524" s="149" t="e">
        <f t="shared" si="66"/>
        <v>#N/A</v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e">
        <f>IF('Cable Info'!L385="","",CONCATENATE('Cable Info'!L385," - ",'Cable Info'!M385))</f>
        <v>#N/A</v>
      </c>
      <c r="AM525" s="149" t="e">
        <f t="shared" si="66"/>
        <v>#N/A</v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e">
        <f>IF('Cable Info'!L386="","",CONCATENATE('Cable Info'!L386," - ",'Cable Info'!M386))</f>
        <v>#N/A</v>
      </c>
      <c r="AM526" s="149" t="e">
        <f t="shared" si="66"/>
        <v>#N/A</v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e">
        <f>IF('Cable Info'!L387="","",CONCATENATE('Cable Info'!L387," - ",'Cable Info'!M387))</f>
        <v>#N/A</v>
      </c>
      <c r="AM527" s="149" t="e">
        <f t="shared" ref="AM527:AM590" si="72">IF(AK527="",AJ527,CONCATENATE(AJ527,"  &lt;=&gt; ",AK527," ",AL527))</f>
        <v>#N/A</v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e">
        <f>IF('Cable Info'!L388="","",CONCATENATE('Cable Info'!L388," - ",'Cable Info'!M388))</f>
        <v>#N/A</v>
      </c>
      <c r="AM528" s="149" t="e">
        <f t="shared" si="72"/>
        <v>#N/A</v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e">
        <f>IF('Cable Info'!L389="","",CONCATENATE('Cable Info'!L389," - ",'Cable Info'!M389))</f>
        <v>#N/A</v>
      </c>
      <c r="AM529" s="149" t="e">
        <f t="shared" si="72"/>
        <v>#N/A</v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e">
        <f>IF('Cable Info'!L390="","",CONCATENATE('Cable Info'!L390," - ",'Cable Info'!M390))</f>
        <v>#N/A</v>
      </c>
      <c r="AM530" s="149" t="e">
        <f t="shared" si="72"/>
        <v>#N/A</v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e">
        <f>IF('Cable Info'!L391="","",CONCATENATE('Cable Info'!L391," - ",'Cable Info'!M391))</f>
        <v>#N/A</v>
      </c>
      <c r="AM531" s="149" t="e">
        <f t="shared" si="72"/>
        <v>#N/A</v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e">
        <f>IF('Cable Info'!L392="","",CONCATENATE('Cable Info'!L392," - ",'Cable Info'!M392))</f>
        <v>#N/A</v>
      </c>
      <c r="AM532" s="149" t="e">
        <f t="shared" si="72"/>
        <v>#N/A</v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e">
        <f>IF('Cable Info'!L393="","",CONCATENATE('Cable Info'!L393," - ",'Cable Info'!M393))</f>
        <v>#N/A</v>
      </c>
      <c r="AM533" s="149" t="e">
        <f t="shared" si="72"/>
        <v>#N/A</v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e">
        <f>IF('Cable Info'!L394="","",CONCATENATE('Cable Info'!L394," - ",'Cable Info'!M394))</f>
        <v>#N/A</v>
      </c>
      <c r="AM534" s="149" t="e">
        <f t="shared" si="72"/>
        <v>#N/A</v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e">
        <f>IF('Cable Info'!L395="","",CONCATENATE('Cable Info'!L395," - ",'Cable Info'!M395))</f>
        <v>#N/A</v>
      </c>
      <c r="AM535" s="149" t="e">
        <f t="shared" si="72"/>
        <v>#N/A</v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e">
        <f>IF('Cable Info'!L396="","",CONCATENATE('Cable Info'!L396," - ",'Cable Info'!M396))</f>
        <v>#N/A</v>
      </c>
      <c r="AM536" s="149" t="e">
        <f t="shared" si="72"/>
        <v>#N/A</v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e">
        <f>IF('Cable Info'!L397="","",CONCATENATE('Cable Info'!L397," - ",'Cable Info'!M397))</f>
        <v>#N/A</v>
      </c>
      <c r="AM537" s="149" t="e">
        <f t="shared" si="72"/>
        <v>#N/A</v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e">
        <f>IF('Cable Info'!L398="","",CONCATENATE('Cable Info'!L398," - ",'Cable Info'!M398))</f>
        <v>#N/A</v>
      </c>
      <c r="AM538" s="149" t="e">
        <f t="shared" si="72"/>
        <v>#N/A</v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e">
        <f>IF('Cable Info'!L399="","",CONCATENATE('Cable Info'!L399," - ",'Cable Info'!M399))</f>
        <v>#N/A</v>
      </c>
      <c r="AM539" s="149" t="e">
        <f t="shared" si="72"/>
        <v>#N/A</v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e">
        <f>IF('Cable Info'!L400="","",CONCATENATE('Cable Info'!L400," - ",'Cable Info'!M400))</f>
        <v>#N/A</v>
      </c>
      <c r="AM540" s="149" t="e">
        <f t="shared" si="72"/>
        <v>#N/A</v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e">
        <f>IF('Cable Info'!L401="","",CONCATENATE('Cable Info'!L401," - ",'Cable Info'!M401))</f>
        <v>#N/A</v>
      </c>
      <c r="AM541" s="149" t="e">
        <f t="shared" si="72"/>
        <v>#N/A</v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e">
        <f>IF('Cable Info'!L402="","",CONCATENATE('Cable Info'!L402," - ",'Cable Info'!M402))</f>
        <v>#N/A</v>
      </c>
      <c r="AM542" s="149" t="e">
        <f t="shared" si="72"/>
        <v>#N/A</v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e">
        <f>IF('Cable Info'!L403="","",CONCATENATE('Cable Info'!L403," - ",'Cable Info'!M403))</f>
        <v>#N/A</v>
      </c>
      <c r="AM543" s="149" t="e">
        <f t="shared" si="72"/>
        <v>#N/A</v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e">
        <f>IF('Cable Info'!L404="","",CONCATENATE('Cable Info'!L404," - ",'Cable Info'!M404))</f>
        <v>#N/A</v>
      </c>
      <c r="AM544" s="149" t="e">
        <f t="shared" si="72"/>
        <v>#N/A</v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e">
        <f>IF('Cable Info'!L405="","",CONCATENATE('Cable Info'!L405," - ",'Cable Info'!M405))</f>
        <v>#N/A</v>
      </c>
      <c r="AM545" s="149" t="e">
        <f t="shared" si="72"/>
        <v>#N/A</v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e">
        <f>IF('Cable Info'!L406="","",CONCATENATE('Cable Info'!L406," - ",'Cable Info'!M406))</f>
        <v>#N/A</v>
      </c>
      <c r="AM546" s="149" t="e">
        <f t="shared" si="72"/>
        <v>#N/A</v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e">
        <f>IF('Cable Info'!L407="","",CONCATENATE('Cable Info'!L407," - ",'Cable Info'!M407))</f>
        <v>#N/A</v>
      </c>
      <c r="AM547" s="149" t="e">
        <f t="shared" si="72"/>
        <v>#N/A</v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e">
        <f>IF('Cable Info'!L408="","",CONCATENATE('Cable Info'!L408," - ",'Cable Info'!M408))</f>
        <v>#N/A</v>
      </c>
      <c r="AM548" s="149" t="e">
        <f t="shared" si="72"/>
        <v>#N/A</v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e">
        <f>IF('Cable Info'!L409="","",CONCATENATE('Cable Info'!L409," - ",'Cable Info'!M409))</f>
        <v>#N/A</v>
      </c>
      <c r="AM549" s="149" t="e">
        <f t="shared" si="72"/>
        <v>#N/A</v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e">
        <f>IF('Cable Info'!L410="","",CONCATENATE('Cable Info'!L410," - ",'Cable Info'!M410))</f>
        <v>#N/A</v>
      </c>
      <c r="AM550" s="149" t="e">
        <f t="shared" si="72"/>
        <v>#N/A</v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e">
        <f>IF('Cable Info'!L411="","",CONCATENATE('Cable Info'!L411," - ",'Cable Info'!M411))</f>
        <v>#N/A</v>
      </c>
      <c r="AM551" s="149" t="e">
        <f t="shared" si="72"/>
        <v>#N/A</v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e">
        <f>IF('Cable Info'!L412="","",CONCATENATE('Cable Info'!L412," - ",'Cable Info'!M412))</f>
        <v>#N/A</v>
      </c>
      <c r="AM552" s="149" t="e">
        <f t="shared" si="72"/>
        <v>#N/A</v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e">
        <f>IF('Cable Info'!L413="","",CONCATENATE('Cable Info'!L413," - ",'Cable Info'!M413))</f>
        <v>#N/A</v>
      </c>
      <c r="AM553" s="149" t="e">
        <f t="shared" si="72"/>
        <v>#N/A</v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e">
        <f>IF('Cable Info'!L414="","",CONCATENATE('Cable Info'!L414," - ",'Cable Info'!M414))</f>
        <v>#N/A</v>
      </c>
      <c r="AM554" s="149" t="e">
        <f t="shared" si="72"/>
        <v>#N/A</v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e">
        <f>IF('Cable Info'!L415="","",CONCATENATE('Cable Info'!L415," - ",'Cable Info'!M415))</f>
        <v>#N/A</v>
      </c>
      <c r="AM555" s="149" t="e">
        <f t="shared" si="72"/>
        <v>#N/A</v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e">
        <f>IF('Cable Info'!L416="","",CONCATENATE('Cable Info'!L416," - ",'Cable Info'!M416))</f>
        <v>#N/A</v>
      </c>
      <c r="AM556" s="149" t="e">
        <f t="shared" si="72"/>
        <v>#N/A</v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e">
        <f>IF('Cable Info'!L417="","",CONCATENATE('Cable Info'!L417," - ",'Cable Info'!M417))</f>
        <v>#N/A</v>
      </c>
      <c r="AM557" s="149" t="e">
        <f t="shared" si="72"/>
        <v>#N/A</v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e">
        <f>IF('Cable Info'!L418="","",CONCATENATE('Cable Info'!L418," - ",'Cable Info'!M418))</f>
        <v>#N/A</v>
      </c>
      <c r="AM558" s="149" t="e">
        <f t="shared" si="72"/>
        <v>#N/A</v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e">
        <f>IF('Cable Info'!L419="","",CONCATENATE('Cable Info'!L419," - ",'Cable Info'!M419))</f>
        <v>#N/A</v>
      </c>
      <c r="AM559" s="149" t="e">
        <f t="shared" si="72"/>
        <v>#N/A</v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e">
        <f>IF('Cable Info'!L420="","",CONCATENATE('Cable Info'!L420," - ",'Cable Info'!M420))</f>
        <v>#N/A</v>
      </c>
      <c r="AM560" s="149" t="e">
        <f t="shared" si="72"/>
        <v>#N/A</v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e">
        <f>IF('Cable Info'!L421="","",CONCATENATE('Cable Info'!L421," - ",'Cable Info'!M421))</f>
        <v>#N/A</v>
      </c>
      <c r="AM561" s="149" t="e">
        <f t="shared" si="72"/>
        <v>#N/A</v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e">
        <f>IF('Cable Info'!L422="","",CONCATENATE('Cable Info'!L422," - ",'Cable Info'!M422))</f>
        <v>#N/A</v>
      </c>
      <c r="AM562" s="149" t="e">
        <f t="shared" si="72"/>
        <v>#N/A</v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e">
        <f>IF('Cable Info'!L423="","",CONCATENATE('Cable Info'!L423," - ",'Cable Info'!M423))</f>
        <v>#N/A</v>
      </c>
      <c r="AM563" s="149" t="e">
        <f t="shared" si="72"/>
        <v>#N/A</v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e">
        <f>IF('Cable Info'!L424="","",CONCATENATE('Cable Info'!L424," - ",'Cable Info'!M424))</f>
        <v>#N/A</v>
      </c>
      <c r="AM564" s="149" t="e">
        <f t="shared" si="72"/>
        <v>#N/A</v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e">
        <f>IF('Cable Info'!L425="","",CONCATENATE('Cable Info'!L425," - ",'Cable Info'!M425))</f>
        <v>#N/A</v>
      </c>
      <c r="AM565" s="149" t="e">
        <f t="shared" si="72"/>
        <v>#N/A</v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e">
        <f>IF('Cable Info'!L426="","",CONCATENATE('Cable Info'!L426," - ",'Cable Info'!M426))</f>
        <v>#N/A</v>
      </c>
      <c r="AM566" s="149" t="e">
        <f t="shared" si="72"/>
        <v>#N/A</v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e">
        <f>IF('Cable Info'!L427="","",CONCATENATE('Cable Info'!L427," - ",'Cable Info'!M427))</f>
        <v>#N/A</v>
      </c>
      <c r="AM567" s="149" t="e">
        <f t="shared" si="72"/>
        <v>#N/A</v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e">
        <f>IF('Cable Info'!L428="","",CONCATENATE('Cable Info'!L428," - ",'Cable Info'!M428))</f>
        <v>#N/A</v>
      </c>
      <c r="AM568" s="149" t="e">
        <f t="shared" si="72"/>
        <v>#N/A</v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e">
        <f>IF('Cable Info'!L429="","",CONCATENATE('Cable Info'!L429," - ",'Cable Info'!M429))</f>
        <v>#N/A</v>
      </c>
      <c r="AM569" s="149" t="e">
        <f t="shared" si="72"/>
        <v>#N/A</v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e">
        <f>IF('Cable Info'!L430="","",CONCATENATE('Cable Info'!L430," - ",'Cable Info'!M430))</f>
        <v>#N/A</v>
      </c>
      <c r="AM570" s="149" t="e">
        <f t="shared" si="72"/>
        <v>#N/A</v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e">
        <f>IF('Cable Info'!L431="","",CONCATENATE('Cable Info'!L431," - ",'Cable Info'!M431))</f>
        <v>#N/A</v>
      </c>
      <c r="AM571" s="149" t="e">
        <f t="shared" si="72"/>
        <v>#N/A</v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e">
        <f>IF('Cable Info'!L432="","",CONCATENATE('Cable Info'!L432," - ",'Cable Info'!M432))</f>
        <v>#N/A</v>
      </c>
      <c r="AM572" s="149" t="e">
        <f t="shared" si="72"/>
        <v>#N/A</v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e">
        <f>IF('Cable Info'!L433="","",CONCATENATE('Cable Info'!L433," - ",'Cable Info'!M433))</f>
        <v>#N/A</v>
      </c>
      <c r="AM573" s="149" t="e">
        <f t="shared" si="72"/>
        <v>#N/A</v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e">
        <f>IF('Cable Info'!L434="","",CONCATENATE('Cable Info'!L434," - ",'Cable Info'!M434))</f>
        <v>#N/A</v>
      </c>
      <c r="AM574" s="149" t="e">
        <f t="shared" si="72"/>
        <v>#N/A</v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e">
        <f>IF('Cable Info'!L435="","",CONCATENATE('Cable Info'!L435," - ",'Cable Info'!M435))</f>
        <v>#N/A</v>
      </c>
      <c r="AM575" s="149" t="e">
        <f t="shared" si="72"/>
        <v>#N/A</v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e">
        <f>IF('Cable Info'!L436="","",CONCATENATE('Cable Info'!L436," - ",'Cable Info'!M436))</f>
        <v>#N/A</v>
      </c>
      <c r="AM576" s="149" t="e">
        <f t="shared" si="72"/>
        <v>#N/A</v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e">
        <f>IF('Cable Info'!L437="","",CONCATENATE('Cable Info'!L437," - ",'Cable Info'!M437))</f>
        <v>#N/A</v>
      </c>
      <c r="AM577" s="149" t="e">
        <f t="shared" si="72"/>
        <v>#N/A</v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e">
        <f>IF('Cable Info'!L438="","",CONCATENATE('Cable Info'!L438," - ",'Cable Info'!M438))</f>
        <v>#N/A</v>
      </c>
      <c r="AM578" s="149" t="e">
        <f t="shared" si="72"/>
        <v>#N/A</v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e">
        <f>IF('Cable Info'!L439="","",CONCATENATE('Cable Info'!L439," - ",'Cable Info'!M439))</f>
        <v>#N/A</v>
      </c>
      <c r="AM579" s="149" t="e">
        <f t="shared" si="72"/>
        <v>#N/A</v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e">
        <f>IF('Cable Info'!L440="","",CONCATENATE('Cable Info'!L440," - ",'Cable Info'!M440))</f>
        <v>#N/A</v>
      </c>
      <c r="AM580" s="149" t="e">
        <f t="shared" si="72"/>
        <v>#N/A</v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e">
        <f>IF('Cable Info'!L441="","",CONCATENATE('Cable Info'!L441," - ",'Cable Info'!M441))</f>
        <v>#N/A</v>
      </c>
      <c r="AM581" s="149" t="e">
        <f t="shared" si="72"/>
        <v>#N/A</v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e">
        <f>IF('Cable Info'!L442="","",CONCATENATE('Cable Info'!L442," - ",'Cable Info'!M442))</f>
        <v>#N/A</v>
      </c>
      <c r="AM582" s="149" t="e">
        <f t="shared" si="72"/>
        <v>#N/A</v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e">
        <f>IF('Cable Info'!L443="","",CONCATENATE('Cable Info'!L443," - ",'Cable Info'!M443))</f>
        <v>#N/A</v>
      </c>
      <c r="AM583" s="149" t="e">
        <f t="shared" si="72"/>
        <v>#N/A</v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e">
        <f>IF('Cable Info'!L444="","",CONCATENATE('Cable Info'!L444," - ",'Cable Info'!M444))</f>
        <v>#N/A</v>
      </c>
      <c r="AM584" s="149" t="e">
        <f t="shared" si="72"/>
        <v>#N/A</v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e">
        <f>IF('Cable Info'!L445="","",CONCATENATE('Cable Info'!L445," - ",'Cable Info'!M445))</f>
        <v>#N/A</v>
      </c>
      <c r="AM585" s="149" t="e">
        <f t="shared" si="72"/>
        <v>#N/A</v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e">
        <f>IF('Cable Info'!L446="","",CONCATENATE('Cable Info'!L446," - ",'Cable Info'!M446))</f>
        <v>#N/A</v>
      </c>
      <c r="AM586" s="149" t="e">
        <f t="shared" si="72"/>
        <v>#N/A</v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e">
        <f>IF('Cable Info'!L447="","",CONCATENATE('Cable Info'!L447," - ",'Cable Info'!M447))</f>
        <v>#N/A</v>
      </c>
      <c r="AM587" s="149" t="e">
        <f t="shared" si="72"/>
        <v>#N/A</v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e">
        <f>IF('Cable Info'!L448="","",CONCATENATE('Cable Info'!L448," - ",'Cable Info'!M448))</f>
        <v>#N/A</v>
      </c>
      <c r="AM588" s="149" t="e">
        <f t="shared" si="72"/>
        <v>#N/A</v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e">
        <f>IF('Cable Info'!L449="","",CONCATENATE('Cable Info'!L449," - ",'Cable Info'!M449))</f>
        <v>#N/A</v>
      </c>
      <c r="AM589" s="149" t="e">
        <f t="shared" si="72"/>
        <v>#N/A</v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e">
        <f>IF('Cable Info'!L450="","",CONCATENATE('Cable Info'!L450," - ",'Cable Info'!M450))</f>
        <v>#N/A</v>
      </c>
      <c r="AM590" s="149" t="e">
        <f t="shared" si="72"/>
        <v>#N/A</v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e">
        <f>IF('Cable Info'!L451="","",CONCATENATE('Cable Info'!L451," - ",'Cable Info'!M451))</f>
        <v>#N/A</v>
      </c>
      <c r="AM591" s="149" t="e">
        <f t="shared" ref="AM591:AM654" si="78">IF(AK591="",AJ591,CONCATENATE(AJ591,"  &lt;=&gt; ",AK591," ",AL591))</f>
        <v>#N/A</v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e">
        <f>IF('Cable Info'!L452="","",CONCATENATE('Cable Info'!L452," - ",'Cable Info'!M452))</f>
        <v>#N/A</v>
      </c>
      <c r="AM592" s="149" t="e">
        <f t="shared" si="78"/>
        <v>#N/A</v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e">
        <f>IF('Cable Info'!L453="","",CONCATENATE('Cable Info'!L453," - ",'Cable Info'!M453))</f>
        <v>#N/A</v>
      </c>
      <c r="AM593" s="149" t="e">
        <f t="shared" si="78"/>
        <v>#N/A</v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e">
        <f>IF('Cable Info'!L454="","",CONCATENATE('Cable Info'!L454," - ",'Cable Info'!M454))</f>
        <v>#N/A</v>
      </c>
      <c r="AM594" s="149" t="e">
        <f t="shared" si="78"/>
        <v>#N/A</v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e">
        <f>IF('Cable Info'!L455="","",CONCATENATE('Cable Info'!L455," - ",'Cable Info'!M455))</f>
        <v>#N/A</v>
      </c>
      <c r="AM595" s="149" t="e">
        <f t="shared" si="78"/>
        <v>#N/A</v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e">
        <f>IF('Cable Info'!L456="","",CONCATENATE('Cable Info'!L456," - ",'Cable Info'!M456))</f>
        <v>#N/A</v>
      </c>
      <c r="AM596" s="149" t="e">
        <f t="shared" si="78"/>
        <v>#N/A</v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e">
        <f>IF('Cable Info'!L457="","",CONCATENATE('Cable Info'!L457," - ",'Cable Info'!M457))</f>
        <v>#N/A</v>
      </c>
      <c r="AM597" s="149" t="e">
        <f t="shared" si="78"/>
        <v>#N/A</v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e">
        <f>IF('Cable Info'!L458="","",CONCATENATE('Cable Info'!L458," - ",'Cable Info'!M458))</f>
        <v>#N/A</v>
      </c>
      <c r="AM598" s="149" t="e">
        <f t="shared" si="78"/>
        <v>#N/A</v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e">
        <f>IF('Cable Info'!L459="","",CONCATENATE('Cable Info'!L459," - ",'Cable Info'!M459))</f>
        <v>#N/A</v>
      </c>
      <c r="AM599" s="149" t="e">
        <f t="shared" si="78"/>
        <v>#N/A</v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e">
        <f>IF('Cable Info'!L460="","",CONCATENATE('Cable Info'!L460," - ",'Cable Info'!M460))</f>
        <v>#N/A</v>
      </c>
      <c r="AM600" s="149" t="e">
        <f t="shared" si="78"/>
        <v>#N/A</v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e">
        <f>IF('Cable Info'!L461="","",CONCATENATE('Cable Info'!L461," - ",'Cable Info'!M461))</f>
        <v>#N/A</v>
      </c>
      <c r="AM601" s="149" t="e">
        <f t="shared" si="78"/>
        <v>#N/A</v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e">
        <f>IF('Cable Info'!L462="","",CONCATENATE('Cable Info'!L462," - ",'Cable Info'!M462))</f>
        <v>#N/A</v>
      </c>
      <c r="AM602" s="149" t="e">
        <f t="shared" si="78"/>
        <v>#N/A</v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e">
        <f>IF('Cable Info'!L463="","",CONCATENATE('Cable Info'!L463," - ",'Cable Info'!M463))</f>
        <v>#N/A</v>
      </c>
      <c r="AM603" s="149" t="e">
        <f t="shared" si="78"/>
        <v>#N/A</v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e">
        <f>IF('Cable Info'!L464="","",CONCATENATE('Cable Info'!L464," - ",'Cable Info'!M464))</f>
        <v>#N/A</v>
      </c>
      <c r="AM604" s="149" t="e">
        <f t="shared" si="78"/>
        <v>#N/A</v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e">
        <f>IF('Cable Info'!L465="","",CONCATENATE('Cable Info'!L465," - ",'Cable Info'!M465))</f>
        <v>#N/A</v>
      </c>
      <c r="AM605" s="149" t="e">
        <f t="shared" si="78"/>
        <v>#N/A</v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e">
        <f>IF('Cable Info'!L466="","",CONCATENATE('Cable Info'!L466," - ",'Cable Info'!M466))</f>
        <v>#N/A</v>
      </c>
      <c r="AM606" s="149" t="e">
        <f t="shared" si="78"/>
        <v>#N/A</v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e">
        <f>IF('Cable Info'!L467="","",CONCATENATE('Cable Info'!L467," - ",'Cable Info'!M467))</f>
        <v>#N/A</v>
      </c>
      <c r="AM607" s="149" t="e">
        <f t="shared" si="78"/>
        <v>#N/A</v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e">
        <f>IF('Cable Info'!L468="","",CONCATENATE('Cable Info'!L468," - ",'Cable Info'!M468))</f>
        <v>#N/A</v>
      </c>
      <c r="AM608" s="149" t="e">
        <f t="shared" si="78"/>
        <v>#N/A</v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e">
        <f>IF('Cable Info'!L469="","",CONCATENATE('Cable Info'!L469," - ",'Cable Info'!M469))</f>
        <v>#N/A</v>
      </c>
      <c r="AM609" s="149" t="e">
        <f t="shared" si="78"/>
        <v>#N/A</v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e">
        <f>IF('Cable Info'!L470="","",CONCATENATE('Cable Info'!L470," - ",'Cable Info'!M470))</f>
        <v>#N/A</v>
      </c>
      <c r="AM610" s="149" t="e">
        <f t="shared" si="78"/>
        <v>#N/A</v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e">
        <f>IF('Cable Info'!L471="","",CONCATENATE('Cable Info'!L471," - ",'Cable Info'!M471))</f>
        <v>#N/A</v>
      </c>
      <c r="AM611" s="149" t="e">
        <f t="shared" si="78"/>
        <v>#N/A</v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e">
        <f>IF('Cable Info'!L472="","",CONCATENATE('Cable Info'!L472," - ",'Cable Info'!M472))</f>
        <v>#N/A</v>
      </c>
      <c r="AM612" s="149" t="e">
        <f t="shared" si="78"/>
        <v>#N/A</v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e">
        <f>IF('Cable Info'!L473="","",CONCATENATE('Cable Info'!L473," - ",'Cable Info'!M473))</f>
        <v>#N/A</v>
      </c>
      <c r="AM613" s="149" t="e">
        <f t="shared" si="78"/>
        <v>#N/A</v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e">
        <f>IF('Cable Info'!L474="","",CONCATENATE('Cable Info'!L474," - ",'Cable Info'!M474))</f>
        <v>#N/A</v>
      </c>
      <c r="AM614" s="149" t="e">
        <f t="shared" si="78"/>
        <v>#N/A</v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e">
        <f>IF('Cable Info'!L475="","",CONCATENATE('Cable Info'!L475," - ",'Cable Info'!M475))</f>
        <v>#N/A</v>
      </c>
      <c r="AM615" s="149" t="e">
        <f t="shared" si="78"/>
        <v>#N/A</v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e">
        <f>IF('Cable Info'!L476="","",CONCATENATE('Cable Info'!L476," - ",'Cable Info'!M476))</f>
        <v>#N/A</v>
      </c>
      <c r="AM616" s="149" t="e">
        <f t="shared" si="78"/>
        <v>#N/A</v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e">
        <f>IF('Cable Info'!L477="","",CONCATENATE('Cable Info'!L477," - ",'Cable Info'!M477))</f>
        <v>#N/A</v>
      </c>
      <c r="AM617" s="149" t="e">
        <f t="shared" si="78"/>
        <v>#N/A</v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e">
        <f>IF('Cable Info'!L478="","",CONCATENATE('Cable Info'!L478," - ",'Cable Info'!M478))</f>
        <v>#N/A</v>
      </c>
      <c r="AM618" s="149" t="e">
        <f t="shared" si="78"/>
        <v>#N/A</v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e">
        <f>IF('Cable Info'!L479="","",CONCATENATE('Cable Info'!L479," - ",'Cable Info'!M479))</f>
        <v>#N/A</v>
      </c>
      <c r="AM619" s="149" t="e">
        <f t="shared" si="78"/>
        <v>#N/A</v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e">
        <f>IF('Cable Info'!L480="","",CONCATENATE('Cable Info'!L480," - ",'Cable Info'!M480))</f>
        <v>#N/A</v>
      </c>
      <c r="AM620" s="149" t="e">
        <f t="shared" si="78"/>
        <v>#N/A</v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e">
        <f>IF('Cable Info'!L481="","",CONCATENATE('Cable Info'!L481," - ",'Cable Info'!M481))</f>
        <v>#N/A</v>
      </c>
      <c r="AM621" s="149" t="e">
        <f t="shared" si="78"/>
        <v>#N/A</v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e">
        <f>IF('Cable Info'!L482="","",CONCATENATE('Cable Info'!L482," - ",'Cable Info'!M482))</f>
        <v>#N/A</v>
      </c>
      <c r="AM622" s="149" t="e">
        <f t="shared" si="78"/>
        <v>#N/A</v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e">
        <f>IF('Cable Info'!L483="","",CONCATENATE('Cable Info'!L483," - ",'Cable Info'!M483))</f>
        <v>#N/A</v>
      </c>
      <c r="AM623" s="149" t="e">
        <f t="shared" si="78"/>
        <v>#N/A</v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e">
        <f>IF('Cable Info'!L484="","",CONCATENATE('Cable Info'!L484," - ",'Cable Info'!M484))</f>
        <v>#N/A</v>
      </c>
      <c r="AM624" s="149" t="e">
        <f t="shared" si="78"/>
        <v>#N/A</v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e">
        <f>IF('Cable Info'!L485="","",CONCATENATE('Cable Info'!L485," - ",'Cable Info'!M485))</f>
        <v>#N/A</v>
      </c>
      <c r="AM625" s="149" t="e">
        <f t="shared" si="78"/>
        <v>#N/A</v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e">
        <f>IF('Cable Info'!L486="","",CONCATENATE('Cable Info'!L486," - ",'Cable Info'!M486))</f>
        <v>#N/A</v>
      </c>
      <c r="AM626" s="149" t="e">
        <f t="shared" si="78"/>
        <v>#N/A</v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e">
        <f>IF('Cable Info'!L487="","",CONCATENATE('Cable Info'!L487," - ",'Cable Info'!M487))</f>
        <v>#N/A</v>
      </c>
      <c r="AM627" s="149" t="e">
        <f t="shared" si="78"/>
        <v>#N/A</v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e">
        <f>IF('Cable Info'!L488="","",CONCATENATE('Cable Info'!L488," - ",'Cable Info'!M488))</f>
        <v>#N/A</v>
      </c>
      <c r="AM628" s="149" t="e">
        <f t="shared" si="78"/>
        <v>#N/A</v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e">
        <f>IF('Cable Info'!L489="","",CONCATENATE('Cable Info'!L489," - ",'Cable Info'!M489))</f>
        <v>#N/A</v>
      </c>
      <c r="AM629" s="149" t="e">
        <f t="shared" si="78"/>
        <v>#N/A</v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e">
        <f>IF('Cable Info'!L490="","",CONCATENATE('Cable Info'!L490," - ",'Cable Info'!M490))</f>
        <v>#N/A</v>
      </c>
      <c r="AM630" s="149" t="e">
        <f t="shared" si="78"/>
        <v>#N/A</v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e">
        <f>IF('Cable Info'!L491="","",CONCATENATE('Cable Info'!L491," - ",'Cable Info'!M491))</f>
        <v>#N/A</v>
      </c>
      <c r="AM631" s="149" t="e">
        <f t="shared" si="78"/>
        <v>#N/A</v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e">
        <f>IF('Cable Info'!L492="","",CONCATENATE('Cable Info'!L492," - ",'Cable Info'!M492))</f>
        <v>#N/A</v>
      </c>
      <c r="AM632" s="149" t="e">
        <f t="shared" si="78"/>
        <v>#N/A</v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e">
        <f>IF('Cable Info'!L493="","",CONCATENATE('Cable Info'!L493," - ",'Cable Info'!M493))</f>
        <v>#N/A</v>
      </c>
      <c r="AM633" s="149" t="e">
        <f t="shared" si="78"/>
        <v>#N/A</v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e">
        <f>IF('Cable Info'!L494="","",CONCATENATE('Cable Info'!L494," - ",'Cable Info'!M494))</f>
        <v>#N/A</v>
      </c>
      <c r="AM634" s="149" t="e">
        <f t="shared" si="78"/>
        <v>#N/A</v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e">
        <f>IF('Cable Info'!L495="","",CONCATENATE('Cable Info'!L495," - ",'Cable Info'!M495))</f>
        <v>#N/A</v>
      </c>
      <c r="AM635" s="149" t="e">
        <f t="shared" si="78"/>
        <v>#N/A</v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e">
        <f>IF('Cable Info'!L496="","",CONCATENATE('Cable Info'!L496," - ",'Cable Info'!M496))</f>
        <v>#N/A</v>
      </c>
      <c r="AM636" s="149" t="e">
        <f t="shared" si="78"/>
        <v>#N/A</v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e">
        <f>IF('Cable Info'!L497="","",CONCATENATE('Cable Info'!L497," - ",'Cable Info'!M497))</f>
        <v>#N/A</v>
      </c>
      <c r="AM637" s="149" t="e">
        <f t="shared" si="78"/>
        <v>#N/A</v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e">
        <f>IF('Cable Info'!L498="","",CONCATENATE('Cable Info'!L498," - ",'Cable Info'!M498))</f>
        <v>#N/A</v>
      </c>
      <c r="AM638" s="149" t="e">
        <f t="shared" si="78"/>
        <v>#N/A</v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e">
        <f>IF('Cable Info'!L499="","",CONCATENATE('Cable Info'!L499," - ",'Cable Info'!M499))</f>
        <v>#N/A</v>
      </c>
      <c r="AM639" s="149" t="e">
        <f t="shared" si="78"/>
        <v>#N/A</v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e">
        <f>IF('Cable Info'!L500="","",CONCATENATE('Cable Info'!L500," - ",'Cable Info'!M500))</f>
        <v>#N/A</v>
      </c>
      <c r="AM640" s="149" t="e">
        <f t="shared" si="78"/>
        <v>#N/A</v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e">
        <f>IF('Cable Info'!L501="","",CONCATENATE('Cable Info'!L501," - ",'Cable Info'!M501))</f>
        <v>#N/A</v>
      </c>
      <c r="AM641" s="149" t="e">
        <f t="shared" si="78"/>
        <v>#N/A</v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e">
        <f>IF('Cable Info'!L502="","",CONCATENATE('Cable Info'!L502," - ",'Cable Info'!M502))</f>
        <v>#N/A</v>
      </c>
      <c r="AM642" s="149" t="e">
        <f t="shared" si="78"/>
        <v>#N/A</v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e">
        <f>IF('Cable Info'!L503="","",CONCATENATE('Cable Info'!L503," - ",'Cable Info'!M503))</f>
        <v>#N/A</v>
      </c>
      <c r="AM643" s="149" t="e">
        <f t="shared" si="78"/>
        <v>#N/A</v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e">
        <f>IF('Cable Info'!L504="","",CONCATENATE('Cable Info'!L504," - ",'Cable Info'!M504))</f>
        <v>#N/A</v>
      </c>
      <c r="AM644" s="149" t="e">
        <f t="shared" si="78"/>
        <v>#N/A</v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e">
        <f>IF('Cable Info'!L505="","",CONCATENATE('Cable Info'!L505," - ",'Cable Info'!M505))</f>
        <v>#N/A</v>
      </c>
      <c r="AM645" s="149" t="e">
        <f t="shared" si="78"/>
        <v>#N/A</v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e">
        <f>IF('Cable Info'!L506="","",CONCATENATE('Cable Info'!L506," - ",'Cable Info'!M506))</f>
        <v>#N/A</v>
      </c>
      <c r="AM646" s="149" t="e">
        <f t="shared" si="78"/>
        <v>#N/A</v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e">
        <f>IF('Cable Info'!L507="","",CONCATENATE('Cable Info'!L507," - ",'Cable Info'!M507))</f>
        <v>#N/A</v>
      </c>
      <c r="AM647" s="149" t="e">
        <f t="shared" si="78"/>
        <v>#N/A</v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e">
        <f>IF('Cable Info'!L508="","",CONCATENATE('Cable Info'!L508," - ",'Cable Info'!M508))</f>
        <v>#N/A</v>
      </c>
      <c r="AM648" s="149" t="e">
        <f t="shared" si="78"/>
        <v>#N/A</v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e">
        <f>IF('Cable Info'!L509="","",CONCATENATE('Cable Info'!L509," - ",'Cable Info'!M509))</f>
        <v>#N/A</v>
      </c>
      <c r="AM649" s="149" t="e">
        <f t="shared" si="78"/>
        <v>#N/A</v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e">
        <f>IF('Cable Info'!L510="","",CONCATENATE('Cable Info'!L510," - ",'Cable Info'!M510))</f>
        <v>#N/A</v>
      </c>
      <c r="AM650" s="149" t="e">
        <f t="shared" si="78"/>
        <v>#N/A</v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e">
        <f>IF('Cable Info'!L511="","",CONCATENATE('Cable Info'!L511," - ",'Cable Info'!M511))</f>
        <v>#N/A</v>
      </c>
      <c r="AM651" s="149" t="e">
        <f t="shared" si="78"/>
        <v>#N/A</v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e">
        <f>IF('Cable Info'!L512="","",CONCATENATE('Cable Info'!L512," - ",'Cable Info'!M512))</f>
        <v>#N/A</v>
      </c>
      <c r="AM652" s="149" t="e">
        <f t="shared" si="78"/>
        <v>#N/A</v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e">
        <f>IF('Cable Info'!L513="","",CONCATENATE('Cable Info'!L513," - ",'Cable Info'!M513))</f>
        <v>#N/A</v>
      </c>
      <c r="AM653" s="149" t="e">
        <f t="shared" si="78"/>
        <v>#N/A</v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e">
        <f>IF('Cable Info'!L514="","",CONCATENATE('Cable Info'!L514," - ",'Cable Info'!M514))</f>
        <v>#N/A</v>
      </c>
      <c r="AM654" s="149" t="e">
        <f t="shared" si="78"/>
        <v>#N/A</v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e">
        <f>IF('Cable Info'!L515="","",CONCATENATE('Cable Info'!L515," - ",'Cable Info'!M515))</f>
        <v>#N/A</v>
      </c>
      <c r="AM655" s="149" t="e">
        <f t="shared" ref="AM655:AM718" si="84">IF(AK655="",AJ655,CONCATENATE(AJ655,"  &lt;=&gt; ",AK655," ",AL655))</f>
        <v>#N/A</v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e">
        <f>IF('Cable Info'!L516="","",CONCATENATE('Cable Info'!L516," - ",'Cable Info'!M516))</f>
        <v>#N/A</v>
      </c>
      <c r="AM656" s="149" t="e">
        <f t="shared" si="84"/>
        <v>#N/A</v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e">
        <f>IF('Cable Info'!L517="","",CONCATENATE('Cable Info'!L517," - ",'Cable Info'!M517))</f>
        <v>#N/A</v>
      </c>
      <c r="AM657" s="149" t="e">
        <f t="shared" si="84"/>
        <v>#N/A</v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e">
        <f>IF('Cable Info'!L518="","",CONCATENATE('Cable Info'!L518," - ",'Cable Info'!M518))</f>
        <v>#N/A</v>
      </c>
      <c r="AM658" s="149" t="e">
        <f t="shared" si="84"/>
        <v>#N/A</v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e">
        <f>IF('Cable Info'!L519="","",CONCATENATE('Cable Info'!L519," - ",'Cable Info'!M519))</f>
        <v>#N/A</v>
      </c>
      <c r="AM659" s="149" t="e">
        <f t="shared" si="84"/>
        <v>#N/A</v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e">
        <f>IF('Cable Info'!L520="","",CONCATENATE('Cable Info'!L520," - ",'Cable Info'!M520))</f>
        <v>#N/A</v>
      </c>
      <c r="AM660" s="149" t="e">
        <f t="shared" si="84"/>
        <v>#N/A</v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e">
        <f>IF('Cable Info'!L521="","",CONCATENATE('Cable Info'!L521," - ",'Cable Info'!M521))</f>
        <v>#N/A</v>
      </c>
      <c r="AM661" s="149" t="e">
        <f t="shared" si="84"/>
        <v>#N/A</v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e">
        <f>IF('Cable Info'!L522="","",CONCATENATE('Cable Info'!L522," - ",'Cable Info'!M522))</f>
        <v>#N/A</v>
      </c>
      <c r="AM662" s="149" t="e">
        <f t="shared" si="84"/>
        <v>#N/A</v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e">
        <f>IF('Cable Info'!L523="","",CONCATENATE('Cable Info'!L523," - ",'Cable Info'!M523))</f>
        <v>#N/A</v>
      </c>
      <c r="AM663" s="149" t="e">
        <f t="shared" si="84"/>
        <v>#N/A</v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e">
        <f>IF('Cable Info'!L524="","",CONCATENATE('Cable Info'!L524," - ",'Cable Info'!M524))</f>
        <v>#N/A</v>
      </c>
      <c r="AM664" s="149" t="e">
        <f t="shared" si="84"/>
        <v>#N/A</v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e">
        <f>IF('Cable Info'!L525="","",CONCATENATE('Cable Info'!L525," - ",'Cable Info'!M525))</f>
        <v>#N/A</v>
      </c>
      <c r="AM665" s="149" t="e">
        <f t="shared" si="84"/>
        <v>#N/A</v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e">
        <f>IF('Cable Info'!L526="","",CONCATENATE('Cable Info'!L526," - ",'Cable Info'!M526))</f>
        <v>#N/A</v>
      </c>
      <c r="AM666" s="149" t="e">
        <f t="shared" si="84"/>
        <v>#N/A</v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e">
        <f>IF('Cable Info'!L527="","",CONCATENATE('Cable Info'!L527," - ",'Cable Info'!M527))</f>
        <v>#N/A</v>
      </c>
      <c r="AM667" s="149" t="e">
        <f t="shared" si="84"/>
        <v>#N/A</v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e">
        <f>IF('Cable Info'!L528="","",CONCATENATE('Cable Info'!L528," - ",'Cable Info'!M528))</f>
        <v>#N/A</v>
      </c>
      <c r="AM668" s="149" t="e">
        <f t="shared" si="84"/>
        <v>#N/A</v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e">
        <f>IF('Cable Info'!L529="","",CONCATENATE('Cable Info'!L529," - ",'Cable Info'!M529))</f>
        <v>#N/A</v>
      </c>
      <c r="AM669" s="149" t="e">
        <f t="shared" si="84"/>
        <v>#N/A</v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e">
        <f>IF('Cable Info'!L530="","",CONCATENATE('Cable Info'!L530," - ",'Cable Info'!M530))</f>
        <v>#N/A</v>
      </c>
      <c r="AM670" s="149" t="e">
        <f t="shared" si="84"/>
        <v>#N/A</v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e">
        <f>IF('Cable Info'!L531="","",CONCATENATE('Cable Info'!L531," - ",'Cable Info'!M531))</f>
        <v>#N/A</v>
      </c>
      <c r="AM671" s="149" t="e">
        <f t="shared" si="84"/>
        <v>#N/A</v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e">
        <f>IF('Cable Info'!L532="","",CONCATENATE('Cable Info'!L532," - ",'Cable Info'!M532))</f>
        <v>#N/A</v>
      </c>
      <c r="AM672" s="149" t="e">
        <f t="shared" si="84"/>
        <v>#N/A</v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e">
        <f>IF('Cable Info'!L533="","",CONCATENATE('Cable Info'!L533," - ",'Cable Info'!M533))</f>
        <v>#N/A</v>
      </c>
      <c r="AM673" s="149" t="e">
        <f t="shared" si="84"/>
        <v>#N/A</v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e">
        <f>IF('Cable Info'!L534="","",CONCATENATE('Cable Info'!L534," - ",'Cable Info'!M534))</f>
        <v>#N/A</v>
      </c>
      <c r="AM674" s="149" t="e">
        <f t="shared" si="84"/>
        <v>#N/A</v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e">
        <f>IF('Cable Info'!L535="","",CONCATENATE('Cable Info'!L535," - ",'Cable Info'!M535))</f>
        <v>#N/A</v>
      </c>
      <c r="AM675" s="149" t="e">
        <f t="shared" si="84"/>
        <v>#N/A</v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e">
        <f>IF('Cable Info'!L536="","",CONCATENATE('Cable Info'!L536," - ",'Cable Info'!M536))</f>
        <v>#N/A</v>
      </c>
      <c r="AM676" s="149" t="e">
        <f t="shared" si="84"/>
        <v>#N/A</v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e">
        <f>IF('Cable Info'!L537="","",CONCATENATE('Cable Info'!L537," - ",'Cable Info'!M537))</f>
        <v>#N/A</v>
      </c>
      <c r="AM677" s="149" t="e">
        <f t="shared" si="84"/>
        <v>#N/A</v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e">
        <f>IF('Cable Info'!L538="","",CONCATENATE('Cable Info'!L538," - ",'Cable Info'!M538))</f>
        <v>#N/A</v>
      </c>
      <c r="AM678" s="149" t="e">
        <f t="shared" si="84"/>
        <v>#N/A</v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e">
        <f>IF('Cable Info'!L539="","",CONCATENATE('Cable Info'!L539," - ",'Cable Info'!M539))</f>
        <v>#N/A</v>
      </c>
      <c r="AM679" s="149" t="e">
        <f t="shared" si="84"/>
        <v>#N/A</v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e">
        <f>IF('Cable Info'!L540="","",CONCATENATE('Cable Info'!L540," - ",'Cable Info'!M540))</f>
        <v>#N/A</v>
      </c>
      <c r="AM680" s="149" t="e">
        <f t="shared" si="84"/>
        <v>#N/A</v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e">
        <f>IF('Cable Info'!L541="","",CONCATENATE('Cable Info'!L541," - ",'Cable Info'!M541))</f>
        <v>#N/A</v>
      </c>
      <c r="AM681" s="149" t="e">
        <f t="shared" si="84"/>
        <v>#N/A</v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e">
        <f>IF('Cable Info'!L542="","",CONCATENATE('Cable Info'!L542," - ",'Cable Info'!M542))</f>
        <v>#N/A</v>
      </c>
      <c r="AM682" s="149" t="e">
        <f t="shared" si="84"/>
        <v>#N/A</v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e">
        <f>IF('Cable Info'!L543="","",CONCATENATE('Cable Info'!L543," - ",'Cable Info'!M543))</f>
        <v>#N/A</v>
      </c>
      <c r="AM683" s="149" t="e">
        <f t="shared" si="84"/>
        <v>#N/A</v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e">
        <f>IF('Cable Info'!L544="","",CONCATENATE('Cable Info'!L544," - ",'Cable Info'!M544))</f>
        <v>#N/A</v>
      </c>
      <c r="AM684" s="149" t="e">
        <f t="shared" si="84"/>
        <v>#N/A</v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e">
        <f>IF('Cable Info'!L545="","",CONCATENATE('Cable Info'!L545," - ",'Cable Info'!M545))</f>
        <v>#N/A</v>
      </c>
      <c r="AM685" s="149" t="e">
        <f t="shared" si="84"/>
        <v>#N/A</v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e">
        <f>IF('Cable Info'!L546="","",CONCATENATE('Cable Info'!L546," - ",'Cable Info'!M546))</f>
        <v>#N/A</v>
      </c>
      <c r="AM686" s="149" t="e">
        <f t="shared" si="84"/>
        <v>#N/A</v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e">
        <f>IF('Cable Info'!L547="","",CONCATENATE('Cable Info'!L547," - ",'Cable Info'!M547))</f>
        <v>#N/A</v>
      </c>
      <c r="AM687" s="149" t="e">
        <f t="shared" si="84"/>
        <v>#N/A</v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e">
        <f>IF('Cable Info'!L548="","",CONCATENATE('Cable Info'!L548," - ",'Cable Info'!M548))</f>
        <v>#N/A</v>
      </c>
      <c r="AM688" s="149" t="e">
        <f t="shared" si="84"/>
        <v>#N/A</v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e">
        <f>IF('Cable Info'!L549="","",CONCATENATE('Cable Info'!L549," - ",'Cable Info'!M549))</f>
        <v>#N/A</v>
      </c>
      <c r="AM689" s="149" t="e">
        <f t="shared" si="84"/>
        <v>#N/A</v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e">
        <f>IF('Cable Info'!L550="","",CONCATENATE('Cable Info'!L550," - ",'Cable Info'!M550))</f>
        <v>#N/A</v>
      </c>
      <c r="AM690" s="149" t="e">
        <f t="shared" si="84"/>
        <v>#N/A</v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e">
        <f>IF('Cable Info'!L551="","",CONCATENATE('Cable Info'!L551," - ",'Cable Info'!M551))</f>
        <v>#N/A</v>
      </c>
      <c r="AM691" s="149" t="e">
        <f t="shared" si="84"/>
        <v>#N/A</v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e">
        <f>IF('Cable Info'!L552="","",CONCATENATE('Cable Info'!L552," - ",'Cable Info'!M552))</f>
        <v>#N/A</v>
      </c>
      <c r="AM692" s="149" t="e">
        <f t="shared" si="84"/>
        <v>#N/A</v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e">
        <f>IF('Cable Info'!L553="","",CONCATENATE('Cable Info'!L553," - ",'Cable Info'!M553))</f>
        <v>#N/A</v>
      </c>
      <c r="AM693" s="149" t="e">
        <f t="shared" si="84"/>
        <v>#N/A</v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e">
        <f>IF('Cable Info'!L554="","",CONCATENATE('Cable Info'!L554," - ",'Cable Info'!M554))</f>
        <v>#N/A</v>
      </c>
      <c r="AM694" s="149" t="e">
        <f t="shared" si="84"/>
        <v>#N/A</v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e">
        <f>IF('Cable Info'!L555="","",CONCATENATE('Cable Info'!L555," - ",'Cable Info'!M555))</f>
        <v>#N/A</v>
      </c>
      <c r="AM695" s="149" t="e">
        <f t="shared" si="84"/>
        <v>#N/A</v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e">
        <f>IF('Cable Info'!L556="","",CONCATENATE('Cable Info'!L556," - ",'Cable Info'!M556))</f>
        <v>#N/A</v>
      </c>
      <c r="AM696" s="149" t="e">
        <f t="shared" si="84"/>
        <v>#N/A</v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e">
        <f>IF('Cable Info'!L557="","",CONCATENATE('Cable Info'!L557," - ",'Cable Info'!M557))</f>
        <v>#N/A</v>
      </c>
      <c r="AM697" s="149" t="e">
        <f t="shared" si="84"/>
        <v>#N/A</v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e">
        <f>IF('Cable Info'!L558="","",CONCATENATE('Cable Info'!L558," - ",'Cable Info'!M558))</f>
        <v>#N/A</v>
      </c>
      <c r="AM698" s="149" t="e">
        <f t="shared" si="84"/>
        <v>#N/A</v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e">
        <f>IF('Cable Info'!L559="","",CONCATENATE('Cable Info'!L559," - ",'Cable Info'!M559))</f>
        <v>#N/A</v>
      </c>
      <c r="AM699" s="149" t="e">
        <f t="shared" si="84"/>
        <v>#N/A</v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e">
        <f>IF('Cable Info'!L560="","",CONCATENATE('Cable Info'!L560," - ",'Cable Info'!M560))</f>
        <v>#N/A</v>
      </c>
      <c r="AM700" s="149" t="e">
        <f t="shared" si="84"/>
        <v>#N/A</v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e">
        <f>IF('Cable Info'!L561="","",CONCATENATE('Cable Info'!L561," - ",'Cable Info'!M561))</f>
        <v>#N/A</v>
      </c>
      <c r="AM701" s="149" t="e">
        <f t="shared" si="84"/>
        <v>#N/A</v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e">
        <f>IF('Cable Info'!L562="","",CONCATENATE('Cable Info'!L562," - ",'Cable Info'!M562))</f>
        <v>#N/A</v>
      </c>
      <c r="AM702" s="149" t="e">
        <f t="shared" si="84"/>
        <v>#N/A</v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e">
        <f>IF('Cable Info'!L563="","",CONCATENATE('Cable Info'!L563," - ",'Cable Info'!M563))</f>
        <v>#N/A</v>
      </c>
      <c r="AM703" s="149" t="e">
        <f t="shared" si="84"/>
        <v>#N/A</v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e">
        <f>IF('Cable Info'!L564="","",CONCATENATE('Cable Info'!L564," - ",'Cable Info'!M564))</f>
        <v>#N/A</v>
      </c>
      <c r="AM704" s="149" t="e">
        <f t="shared" si="84"/>
        <v>#N/A</v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e">
        <f>IF('Cable Info'!L565="","",CONCATENATE('Cable Info'!L565," - ",'Cable Info'!M565))</f>
        <v>#N/A</v>
      </c>
      <c r="AM705" s="149" t="e">
        <f t="shared" si="84"/>
        <v>#N/A</v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e">
        <f>IF('Cable Info'!L566="","",CONCATENATE('Cable Info'!L566," - ",'Cable Info'!M566))</f>
        <v>#N/A</v>
      </c>
      <c r="AM706" s="149" t="e">
        <f t="shared" si="84"/>
        <v>#N/A</v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e">
        <f>IF('Cable Info'!L567="","",CONCATENATE('Cable Info'!L567," - ",'Cable Info'!M567))</f>
        <v>#N/A</v>
      </c>
      <c r="AM707" s="149" t="e">
        <f t="shared" si="84"/>
        <v>#N/A</v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e">
        <f>IF('Cable Info'!L568="","",CONCATENATE('Cable Info'!L568," - ",'Cable Info'!M568))</f>
        <v>#N/A</v>
      </c>
      <c r="AM708" s="149" t="e">
        <f t="shared" si="84"/>
        <v>#N/A</v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e">
        <f>IF('Cable Info'!L569="","",CONCATENATE('Cable Info'!L569," - ",'Cable Info'!M569))</f>
        <v>#N/A</v>
      </c>
      <c r="AM709" s="149" t="e">
        <f t="shared" si="84"/>
        <v>#N/A</v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e">
        <f>IF('Cable Info'!L570="","",CONCATENATE('Cable Info'!L570," - ",'Cable Info'!M570))</f>
        <v>#N/A</v>
      </c>
      <c r="AM710" s="149" t="e">
        <f t="shared" si="84"/>
        <v>#N/A</v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e">
        <f>IF('Cable Info'!L571="","",CONCATENATE('Cable Info'!L571," - ",'Cable Info'!M571))</f>
        <v>#N/A</v>
      </c>
      <c r="AM711" s="149" t="e">
        <f t="shared" si="84"/>
        <v>#N/A</v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e">
        <f>IF('Cable Info'!L572="","",CONCATENATE('Cable Info'!L572," - ",'Cable Info'!M572))</f>
        <v>#N/A</v>
      </c>
      <c r="AM712" s="149" t="e">
        <f t="shared" si="84"/>
        <v>#N/A</v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e">
        <f>IF('Cable Info'!L573="","",CONCATENATE('Cable Info'!L573," - ",'Cable Info'!M573))</f>
        <v>#N/A</v>
      </c>
      <c r="AM713" s="149" t="e">
        <f t="shared" si="84"/>
        <v>#N/A</v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e">
        <f>IF('Cable Info'!L574="","",CONCATENATE('Cable Info'!L574," - ",'Cable Info'!M574))</f>
        <v>#N/A</v>
      </c>
      <c r="AM714" s="149" t="e">
        <f t="shared" si="84"/>
        <v>#N/A</v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e">
        <f>IF('Cable Info'!L575="","",CONCATENATE('Cable Info'!L575," - ",'Cable Info'!M575))</f>
        <v>#N/A</v>
      </c>
      <c r="AM715" s="149" t="e">
        <f t="shared" si="84"/>
        <v>#N/A</v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e">
        <f>IF('Cable Info'!L576="","",CONCATENATE('Cable Info'!L576," - ",'Cable Info'!M576))</f>
        <v>#N/A</v>
      </c>
      <c r="AM716" s="149" t="e">
        <f t="shared" si="84"/>
        <v>#N/A</v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e">
        <f>IF('Cable Info'!L577="","",CONCATENATE('Cable Info'!L577," - ",'Cable Info'!M577))</f>
        <v>#N/A</v>
      </c>
      <c r="AM717" s="149" t="e">
        <f t="shared" si="84"/>
        <v>#N/A</v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e">
        <f>IF('Cable Info'!L578="","",CONCATENATE('Cable Info'!L578," - ",'Cable Info'!M578))</f>
        <v>#N/A</v>
      </c>
      <c r="AM718" s="149" t="e">
        <f t="shared" si="84"/>
        <v>#N/A</v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e">
        <f>IF('Cable Info'!L579="","",CONCATENATE('Cable Info'!L579," - ",'Cable Info'!M579))</f>
        <v>#N/A</v>
      </c>
      <c r="AM719" s="149" t="e">
        <f t="shared" ref="AM719:AM782" si="90">IF(AK719="",AJ719,CONCATENATE(AJ719,"  &lt;=&gt; ",AK719," ",AL719))</f>
        <v>#N/A</v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e">
        <f>IF('Cable Info'!L580="","",CONCATENATE('Cable Info'!L580," - ",'Cable Info'!M580))</f>
        <v>#N/A</v>
      </c>
      <c r="AM720" s="149" t="e">
        <f t="shared" si="90"/>
        <v>#N/A</v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e">
        <f>IF('Cable Info'!L581="","",CONCATENATE('Cable Info'!L581," - ",'Cable Info'!M581))</f>
        <v>#N/A</v>
      </c>
      <c r="AM721" s="149" t="e">
        <f t="shared" si="90"/>
        <v>#N/A</v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e">
        <f>IF('Cable Info'!L582="","",CONCATENATE('Cable Info'!L582," - ",'Cable Info'!M582))</f>
        <v>#N/A</v>
      </c>
      <c r="AM722" s="149" t="e">
        <f t="shared" si="90"/>
        <v>#N/A</v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e">
        <f>IF('Cable Info'!L583="","",CONCATENATE('Cable Info'!L583," - ",'Cable Info'!M583))</f>
        <v>#N/A</v>
      </c>
      <c r="AM723" s="149" t="e">
        <f t="shared" si="90"/>
        <v>#N/A</v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e">
        <f>IF('Cable Info'!L584="","",CONCATENATE('Cable Info'!L584," - ",'Cable Info'!M584))</f>
        <v>#N/A</v>
      </c>
      <c r="AM724" s="149" t="e">
        <f t="shared" si="90"/>
        <v>#N/A</v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e">
        <f>IF('Cable Info'!L585="","",CONCATENATE('Cable Info'!L585," - ",'Cable Info'!M585))</f>
        <v>#N/A</v>
      </c>
      <c r="AM725" s="149" t="e">
        <f t="shared" si="90"/>
        <v>#N/A</v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e">
        <f>IF('Cable Info'!L586="","",CONCATENATE('Cable Info'!L586," - ",'Cable Info'!M586))</f>
        <v>#N/A</v>
      </c>
      <c r="AM726" s="149" t="e">
        <f t="shared" si="90"/>
        <v>#N/A</v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e">
        <f>IF('Cable Info'!L587="","",CONCATENATE('Cable Info'!L587," - ",'Cable Info'!M587))</f>
        <v>#N/A</v>
      </c>
      <c r="AM727" s="149" t="e">
        <f t="shared" si="90"/>
        <v>#N/A</v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e">
        <f>IF('Cable Info'!L588="","",CONCATENATE('Cable Info'!L588," - ",'Cable Info'!M588))</f>
        <v>#N/A</v>
      </c>
      <c r="AM728" s="149" t="e">
        <f t="shared" si="90"/>
        <v>#N/A</v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e">
        <f>IF('Cable Info'!L589="","",CONCATENATE('Cable Info'!L589," - ",'Cable Info'!M589))</f>
        <v>#N/A</v>
      </c>
      <c r="AM729" s="149" t="e">
        <f t="shared" si="90"/>
        <v>#N/A</v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e">
        <f>IF('Cable Info'!L590="","",CONCATENATE('Cable Info'!L590," - ",'Cable Info'!M590))</f>
        <v>#N/A</v>
      </c>
      <c r="AM730" s="149" t="e">
        <f t="shared" si="90"/>
        <v>#N/A</v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e">
        <f>IF('Cable Info'!L591="","",CONCATENATE('Cable Info'!L591," - ",'Cable Info'!M591))</f>
        <v>#N/A</v>
      </c>
      <c r="AM731" s="149" t="e">
        <f t="shared" si="90"/>
        <v>#N/A</v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e">
        <f>IF('Cable Info'!L592="","",CONCATENATE('Cable Info'!L592," - ",'Cable Info'!M592))</f>
        <v>#N/A</v>
      </c>
      <c r="AM732" s="149" t="e">
        <f t="shared" si="90"/>
        <v>#N/A</v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e">
        <f>IF('Cable Info'!L593="","",CONCATENATE('Cable Info'!L593," - ",'Cable Info'!M593))</f>
        <v>#N/A</v>
      </c>
      <c r="AM733" s="149" t="e">
        <f t="shared" si="90"/>
        <v>#N/A</v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e">
        <f>IF('Cable Info'!L594="","",CONCATENATE('Cable Info'!L594," - ",'Cable Info'!M594))</f>
        <v>#N/A</v>
      </c>
      <c r="AM734" s="149" t="e">
        <f t="shared" si="90"/>
        <v>#N/A</v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e">
        <f>IF('Cable Info'!L595="","",CONCATENATE('Cable Info'!L595," - ",'Cable Info'!M595))</f>
        <v>#N/A</v>
      </c>
      <c r="AM735" s="149" t="e">
        <f t="shared" si="90"/>
        <v>#N/A</v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e">
        <f>IF('Cable Info'!L596="","",CONCATENATE('Cable Info'!L596," - ",'Cable Info'!M596))</f>
        <v>#N/A</v>
      </c>
      <c r="AM736" s="149" t="e">
        <f t="shared" si="90"/>
        <v>#N/A</v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e">
        <f>IF('Cable Info'!L597="","",CONCATENATE('Cable Info'!L597," - ",'Cable Info'!M597))</f>
        <v>#N/A</v>
      </c>
      <c r="AM737" s="149" t="e">
        <f t="shared" si="90"/>
        <v>#N/A</v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e">
        <f>IF('Cable Info'!L598="","",CONCATENATE('Cable Info'!L598," - ",'Cable Info'!M598))</f>
        <v>#N/A</v>
      </c>
      <c r="AM738" s="149" t="e">
        <f t="shared" si="90"/>
        <v>#N/A</v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e">
        <f>IF('Cable Info'!L599="","",CONCATENATE('Cable Info'!L599," - ",'Cable Info'!M599))</f>
        <v>#N/A</v>
      </c>
      <c r="AM739" s="149" t="e">
        <f t="shared" si="90"/>
        <v>#N/A</v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e">
        <f>IF('Cable Info'!L600="","",CONCATENATE('Cable Info'!L600," - ",'Cable Info'!M600))</f>
        <v>#N/A</v>
      </c>
      <c r="AM740" s="149" t="e">
        <f t="shared" si="90"/>
        <v>#N/A</v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e">
        <f>IF('Cable Info'!L601="","",CONCATENATE('Cable Info'!L601," - ",'Cable Info'!M601))</f>
        <v>#N/A</v>
      </c>
      <c r="AM741" s="149" t="e">
        <f t="shared" si="90"/>
        <v>#N/A</v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e">
        <f>IF('Cable Info'!L602="","",CONCATENATE('Cable Info'!L602," - ",'Cable Info'!M602))</f>
        <v>#N/A</v>
      </c>
      <c r="AM742" s="149" t="e">
        <f t="shared" si="90"/>
        <v>#N/A</v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e">
        <f>IF('Cable Info'!L603="","",CONCATENATE('Cable Info'!L603," - ",'Cable Info'!M603))</f>
        <v>#N/A</v>
      </c>
      <c r="AM743" s="149" t="e">
        <f t="shared" si="90"/>
        <v>#N/A</v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e">
        <f>IF('Cable Info'!L604="","",CONCATENATE('Cable Info'!L604," - ",'Cable Info'!M604))</f>
        <v>#N/A</v>
      </c>
      <c r="AM744" s="149" t="e">
        <f t="shared" si="90"/>
        <v>#N/A</v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e">
        <f>IF('Cable Info'!L605="","",CONCATENATE('Cable Info'!L605," - ",'Cable Info'!M605))</f>
        <v>#N/A</v>
      </c>
      <c r="AM745" s="149" t="e">
        <f t="shared" si="90"/>
        <v>#N/A</v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e">
        <f>IF('Cable Info'!L606="","",CONCATENATE('Cable Info'!L606," - ",'Cable Info'!M606))</f>
        <v>#N/A</v>
      </c>
      <c r="AM746" s="149" t="e">
        <f t="shared" si="90"/>
        <v>#N/A</v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e">
        <f>IF('Cable Info'!L607="","",CONCATENATE('Cable Info'!L607," - ",'Cable Info'!M607))</f>
        <v>#N/A</v>
      </c>
      <c r="AM747" s="149" t="e">
        <f t="shared" si="90"/>
        <v>#N/A</v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e">
        <f>IF('Cable Info'!L608="","",CONCATENATE('Cable Info'!L608," - ",'Cable Info'!M608))</f>
        <v>#N/A</v>
      </c>
      <c r="AM748" s="149" t="e">
        <f t="shared" si="90"/>
        <v>#N/A</v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e">
        <f>IF('Cable Info'!L609="","",CONCATENATE('Cable Info'!L609," - ",'Cable Info'!M609))</f>
        <v>#N/A</v>
      </c>
      <c r="AM749" s="149" t="e">
        <f t="shared" si="90"/>
        <v>#N/A</v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e">
        <f>IF('Cable Info'!L610="","",CONCATENATE('Cable Info'!L610," - ",'Cable Info'!M610))</f>
        <v>#N/A</v>
      </c>
      <c r="AM750" s="149" t="e">
        <f t="shared" si="90"/>
        <v>#N/A</v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e">
        <f>IF('Cable Info'!L611="","",CONCATENATE('Cable Info'!L611," - ",'Cable Info'!M611))</f>
        <v>#N/A</v>
      </c>
      <c r="AM751" s="149" t="e">
        <f t="shared" si="90"/>
        <v>#N/A</v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e">
        <f>IF('Cable Info'!L612="","",CONCATENATE('Cable Info'!L612," - ",'Cable Info'!M612))</f>
        <v>#N/A</v>
      </c>
      <c r="AM752" s="149" t="e">
        <f t="shared" si="90"/>
        <v>#N/A</v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e">
        <f>IF('Cable Info'!L613="","",CONCATENATE('Cable Info'!L613," - ",'Cable Info'!M613))</f>
        <v>#N/A</v>
      </c>
      <c r="AM753" s="149" t="e">
        <f t="shared" si="90"/>
        <v>#N/A</v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e">
        <f>IF('Cable Info'!L614="","",CONCATENATE('Cable Info'!L614," - ",'Cable Info'!M614))</f>
        <v>#N/A</v>
      </c>
      <c r="AM754" s="149" t="e">
        <f t="shared" si="90"/>
        <v>#N/A</v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e">
        <f>IF('Cable Info'!L615="","",CONCATENATE('Cable Info'!L615," - ",'Cable Info'!M615))</f>
        <v>#N/A</v>
      </c>
      <c r="AM755" s="149" t="e">
        <f t="shared" si="90"/>
        <v>#N/A</v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e">
        <f>IF('Cable Info'!L616="","",CONCATENATE('Cable Info'!L616," - ",'Cable Info'!M616))</f>
        <v>#N/A</v>
      </c>
      <c r="AM756" s="149" t="e">
        <f t="shared" si="90"/>
        <v>#N/A</v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e">
        <f>IF('Cable Info'!L617="","",CONCATENATE('Cable Info'!L617," - ",'Cable Info'!M617))</f>
        <v>#N/A</v>
      </c>
      <c r="AM757" s="149" t="e">
        <f t="shared" si="90"/>
        <v>#N/A</v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e">
        <f>IF('Cable Info'!L618="","",CONCATENATE('Cable Info'!L618," - ",'Cable Info'!M618))</f>
        <v>#N/A</v>
      </c>
      <c r="AM758" s="149" t="e">
        <f t="shared" si="90"/>
        <v>#N/A</v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e">
        <f>IF('Cable Info'!L619="","",CONCATENATE('Cable Info'!L619," - ",'Cable Info'!M619))</f>
        <v>#N/A</v>
      </c>
      <c r="AM759" s="149" t="e">
        <f t="shared" si="90"/>
        <v>#N/A</v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e">
        <f>IF('Cable Info'!L620="","",CONCATENATE('Cable Info'!L620," - ",'Cable Info'!M620))</f>
        <v>#N/A</v>
      </c>
      <c r="AM760" s="149" t="e">
        <f t="shared" si="90"/>
        <v>#N/A</v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e">
        <f>IF('Cable Info'!L621="","",CONCATENATE('Cable Info'!L621," - ",'Cable Info'!M621))</f>
        <v>#N/A</v>
      </c>
      <c r="AM761" s="149" t="e">
        <f t="shared" si="90"/>
        <v>#N/A</v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e">
        <f>IF('Cable Info'!L622="","",CONCATENATE('Cable Info'!L622," - ",'Cable Info'!M622))</f>
        <v>#N/A</v>
      </c>
      <c r="AM762" s="149" t="e">
        <f t="shared" si="90"/>
        <v>#N/A</v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e">
        <f>IF('Cable Info'!L623="","",CONCATENATE('Cable Info'!L623," - ",'Cable Info'!M623))</f>
        <v>#N/A</v>
      </c>
      <c r="AM763" s="149" t="e">
        <f t="shared" si="90"/>
        <v>#N/A</v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e">
        <f>IF('Cable Info'!L624="","",CONCATENATE('Cable Info'!L624," - ",'Cable Info'!M624))</f>
        <v>#N/A</v>
      </c>
      <c r="AM764" s="149" t="e">
        <f t="shared" si="90"/>
        <v>#N/A</v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e">
        <f>IF('Cable Info'!L625="","",CONCATENATE('Cable Info'!L625," - ",'Cable Info'!M625))</f>
        <v>#N/A</v>
      </c>
      <c r="AM765" s="149" t="e">
        <f t="shared" si="90"/>
        <v>#N/A</v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e">
        <f>IF('Cable Info'!L626="","",CONCATENATE('Cable Info'!L626," - ",'Cable Info'!M626))</f>
        <v>#N/A</v>
      </c>
      <c r="AM766" s="149" t="e">
        <f t="shared" si="90"/>
        <v>#N/A</v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e">
        <f>IF('Cable Info'!L627="","",CONCATENATE('Cable Info'!L627," - ",'Cable Info'!M627))</f>
        <v>#N/A</v>
      </c>
      <c r="AM767" s="149" t="e">
        <f t="shared" si="90"/>
        <v>#N/A</v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e">
        <f>IF('Cable Info'!L628="","",CONCATENATE('Cable Info'!L628," - ",'Cable Info'!M628))</f>
        <v>#N/A</v>
      </c>
      <c r="AM768" s="149" t="e">
        <f t="shared" si="90"/>
        <v>#N/A</v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e">
        <f>IF('Cable Info'!L629="","",CONCATENATE('Cable Info'!L629," - ",'Cable Info'!M629))</f>
        <v>#N/A</v>
      </c>
      <c r="AM769" s="149" t="e">
        <f t="shared" si="90"/>
        <v>#N/A</v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e">
        <f>IF('Cable Info'!L630="","",CONCATENATE('Cable Info'!L630," - ",'Cable Info'!M630))</f>
        <v>#N/A</v>
      </c>
      <c r="AM770" s="149" t="e">
        <f t="shared" si="90"/>
        <v>#N/A</v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e">
        <f>IF('Cable Info'!L631="","",CONCATENATE('Cable Info'!L631," - ",'Cable Info'!M631))</f>
        <v>#N/A</v>
      </c>
      <c r="AM771" s="149" t="e">
        <f t="shared" si="90"/>
        <v>#N/A</v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e">
        <f>IF('Cable Info'!L632="","",CONCATENATE('Cable Info'!L632," - ",'Cable Info'!M632))</f>
        <v>#N/A</v>
      </c>
      <c r="AM772" s="149" t="e">
        <f t="shared" si="90"/>
        <v>#N/A</v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e">
        <f>IF('Cable Info'!L633="","",CONCATENATE('Cable Info'!L633," - ",'Cable Info'!M633))</f>
        <v>#N/A</v>
      </c>
      <c r="AM773" s="149" t="e">
        <f t="shared" si="90"/>
        <v>#N/A</v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e">
        <f>IF('Cable Info'!L634="","",CONCATENATE('Cable Info'!L634," - ",'Cable Info'!M634))</f>
        <v>#N/A</v>
      </c>
      <c r="AM774" s="149" t="e">
        <f t="shared" si="90"/>
        <v>#N/A</v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e">
        <f>IF('Cable Info'!L635="","",CONCATENATE('Cable Info'!L635," - ",'Cable Info'!M635))</f>
        <v>#N/A</v>
      </c>
      <c r="AM775" s="149" t="e">
        <f t="shared" si="90"/>
        <v>#N/A</v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e">
        <f>IF('Cable Info'!L636="","",CONCATENATE('Cable Info'!L636," - ",'Cable Info'!M636))</f>
        <v>#N/A</v>
      </c>
      <c r="AM776" s="149" t="e">
        <f t="shared" si="90"/>
        <v>#N/A</v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e">
        <f>IF('Cable Info'!L637="","",CONCATENATE('Cable Info'!L637," - ",'Cable Info'!M637))</f>
        <v>#N/A</v>
      </c>
      <c r="AM777" s="149" t="e">
        <f t="shared" si="90"/>
        <v>#N/A</v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e">
        <f>IF('Cable Info'!L638="","",CONCATENATE('Cable Info'!L638," - ",'Cable Info'!M638))</f>
        <v>#N/A</v>
      </c>
      <c r="AM778" s="149" t="e">
        <f t="shared" si="90"/>
        <v>#N/A</v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e">
        <f>IF('Cable Info'!L639="","",CONCATENATE('Cable Info'!L639," - ",'Cable Info'!M639))</f>
        <v>#N/A</v>
      </c>
      <c r="AM779" s="149" t="e">
        <f t="shared" si="90"/>
        <v>#N/A</v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e">
        <f>IF('Cable Info'!L640="","",CONCATENATE('Cable Info'!L640," - ",'Cable Info'!M640))</f>
        <v>#N/A</v>
      </c>
      <c r="AM780" s="149" t="e">
        <f t="shared" si="90"/>
        <v>#N/A</v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e">
        <f>IF('Cable Info'!L641="","",CONCATENATE('Cable Info'!L641," - ",'Cable Info'!M641))</f>
        <v>#N/A</v>
      </c>
      <c r="AM781" s="149" t="e">
        <f t="shared" si="90"/>
        <v>#N/A</v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e">
        <f>IF('Cable Info'!L642="","",CONCATENATE('Cable Info'!L642," - ",'Cable Info'!M642))</f>
        <v>#N/A</v>
      </c>
      <c r="AM782" s="149" t="e">
        <f t="shared" si="90"/>
        <v>#N/A</v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e">
        <f>IF('Cable Info'!L643="","",CONCATENATE('Cable Info'!L643," - ",'Cable Info'!M643))</f>
        <v>#N/A</v>
      </c>
      <c r="AM783" s="149" t="e">
        <f t="shared" ref="AM783:AM846" si="96">IF(AK783="",AJ783,CONCATENATE(AJ783,"  &lt;=&gt; ",AK783," ",AL783))</f>
        <v>#N/A</v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e">
        <f>IF('Cable Info'!L644="","",CONCATENATE('Cable Info'!L644," - ",'Cable Info'!M644))</f>
        <v>#N/A</v>
      </c>
      <c r="AM784" s="149" t="e">
        <f t="shared" si="96"/>
        <v>#N/A</v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e">
        <f>IF('Cable Info'!L645="","",CONCATENATE('Cable Info'!L645," - ",'Cable Info'!M645))</f>
        <v>#N/A</v>
      </c>
      <c r="AM785" s="149" t="e">
        <f t="shared" si="96"/>
        <v>#N/A</v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e">
        <f>IF('Cable Info'!L646="","",CONCATENATE('Cable Info'!L646," - ",'Cable Info'!M646))</f>
        <v>#N/A</v>
      </c>
      <c r="AM786" s="149" t="e">
        <f t="shared" si="96"/>
        <v>#N/A</v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e">
        <f>IF('Cable Info'!L647="","",CONCATENATE('Cable Info'!L647," - ",'Cable Info'!M647))</f>
        <v>#N/A</v>
      </c>
      <c r="AM787" s="149" t="e">
        <f t="shared" si="96"/>
        <v>#N/A</v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e">
        <f>IF('Cable Info'!L648="","",CONCATENATE('Cable Info'!L648," - ",'Cable Info'!M648))</f>
        <v>#N/A</v>
      </c>
      <c r="AM788" s="149" t="e">
        <f t="shared" si="96"/>
        <v>#N/A</v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e">
        <f>IF('Cable Info'!L649="","",CONCATENATE('Cable Info'!L649," - ",'Cable Info'!M649))</f>
        <v>#N/A</v>
      </c>
      <c r="AM789" s="149" t="e">
        <f t="shared" si="96"/>
        <v>#N/A</v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e">
        <f>IF('Cable Info'!L650="","",CONCATENATE('Cable Info'!L650," - ",'Cable Info'!M650))</f>
        <v>#N/A</v>
      </c>
      <c r="AM790" s="149" t="e">
        <f t="shared" si="96"/>
        <v>#N/A</v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e">
        <f>IF('Cable Info'!L651="","",CONCATENATE('Cable Info'!L651," - ",'Cable Info'!M651))</f>
        <v>#N/A</v>
      </c>
      <c r="AM791" s="149" t="e">
        <f t="shared" si="96"/>
        <v>#N/A</v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e">
        <f>IF('Cable Info'!L652="","",CONCATENATE('Cable Info'!L652," - ",'Cable Info'!M652))</f>
        <v>#N/A</v>
      </c>
      <c r="AM792" s="149" t="e">
        <f t="shared" si="96"/>
        <v>#N/A</v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e">
        <f>IF('Cable Info'!L653="","",CONCATENATE('Cable Info'!L653," - ",'Cable Info'!M653))</f>
        <v>#N/A</v>
      </c>
      <c r="AM793" s="149" t="e">
        <f t="shared" si="96"/>
        <v>#N/A</v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e">
        <f>IF('Cable Info'!L654="","",CONCATENATE('Cable Info'!L654," - ",'Cable Info'!M654))</f>
        <v>#N/A</v>
      </c>
      <c r="AM794" s="149" t="e">
        <f t="shared" si="96"/>
        <v>#N/A</v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e">
        <f>IF('Cable Info'!L655="","",CONCATENATE('Cable Info'!L655," - ",'Cable Info'!M655))</f>
        <v>#N/A</v>
      </c>
      <c r="AM795" s="149" t="e">
        <f t="shared" si="96"/>
        <v>#N/A</v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e">
        <f>IF('Cable Info'!L656="","",CONCATENATE('Cable Info'!L656," - ",'Cable Info'!M656))</f>
        <v>#N/A</v>
      </c>
      <c r="AM796" s="149" t="e">
        <f t="shared" si="96"/>
        <v>#N/A</v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e">
        <f>IF('Cable Info'!L657="","",CONCATENATE('Cable Info'!L657," - ",'Cable Info'!M657))</f>
        <v>#N/A</v>
      </c>
      <c r="AM797" s="149" t="e">
        <f t="shared" si="96"/>
        <v>#N/A</v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e">
        <f>IF('Cable Info'!L658="","",CONCATENATE('Cable Info'!L658," - ",'Cable Info'!M658))</f>
        <v>#N/A</v>
      </c>
      <c r="AM798" s="149" t="e">
        <f t="shared" si="96"/>
        <v>#N/A</v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e">
        <f>IF('Cable Info'!L659="","",CONCATENATE('Cable Info'!L659," - ",'Cable Info'!M659))</f>
        <v>#N/A</v>
      </c>
      <c r="AM799" s="149" t="e">
        <f t="shared" si="96"/>
        <v>#N/A</v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e">
        <f>IF('Cable Info'!L660="","",CONCATENATE('Cable Info'!L660," - ",'Cable Info'!M660))</f>
        <v>#N/A</v>
      </c>
      <c r="AM800" s="149" t="e">
        <f t="shared" si="96"/>
        <v>#N/A</v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e">
        <f>IF('Cable Info'!L661="","",CONCATENATE('Cable Info'!L661," - ",'Cable Info'!M661))</f>
        <v>#N/A</v>
      </c>
      <c r="AM801" s="149" t="e">
        <f t="shared" si="96"/>
        <v>#N/A</v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e">
        <f>IF('Cable Info'!L662="","",CONCATENATE('Cable Info'!L662," - ",'Cable Info'!M662))</f>
        <v>#N/A</v>
      </c>
      <c r="AM802" s="149" t="e">
        <f t="shared" si="96"/>
        <v>#N/A</v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e">
        <f>IF('Cable Info'!L663="","",CONCATENATE('Cable Info'!L663," - ",'Cable Info'!M663))</f>
        <v>#N/A</v>
      </c>
      <c r="AM803" s="149" t="e">
        <f t="shared" si="96"/>
        <v>#N/A</v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e">
        <f>IF('Cable Info'!L664="","",CONCATENATE('Cable Info'!L664," - ",'Cable Info'!M664))</f>
        <v>#N/A</v>
      </c>
      <c r="AM804" s="149" t="e">
        <f t="shared" si="96"/>
        <v>#N/A</v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e">
        <f>IF('Cable Info'!L665="","",CONCATENATE('Cable Info'!L665," - ",'Cable Info'!M665))</f>
        <v>#N/A</v>
      </c>
      <c r="AM805" s="149" t="e">
        <f t="shared" si="96"/>
        <v>#N/A</v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e">
        <f>IF('Cable Info'!L666="","",CONCATENATE('Cable Info'!L666," - ",'Cable Info'!M666))</f>
        <v>#N/A</v>
      </c>
      <c r="AM806" s="149" t="e">
        <f t="shared" si="96"/>
        <v>#N/A</v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e">
        <f>IF('Cable Info'!L667="","",CONCATENATE('Cable Info'!L667," - ",'Cable Info'!M667))</f>
        <v>#N/A</v>
      </c>
      <c r="AM807" s="149" t="e">
        <f t="shared" si="96"/>
        <v>#N/A</v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e">
        <f>IF('Cable Info'!L668="","",CONCATENATE('Cable Info'!L668," - ",'Cable Info'!M668))</f>
        <v>#N/A</v>
      </c>
      <c r="AM808" s="149" t="e">
        <f t="shared" si="96"/>
        <v>#N/A</v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e">
        <f>IF('Cable Info'!L669="","",CONCATENATE('Cable Info'!L669," - ",'Cable Info'!M669))</f>
        <v>#N/A</v>
      </c>
      <c r="AM809" s="149" t="e">
        <f t="shared" si="96"/>
        <v>#N/A</v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e">
        <f>IF('Cable Info'!L670="","",CONCATENATE('Cable Info'!L670," - ",'Cable Info'!M670))</f>
        <v>#N/A</v>
      </c>
      <c r="AM810" s="149" t="e">
        <f t="shared" si="96"/>
        <v>#N/A</v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e">
        <f>IF('Cable Info'!L671="","",CONCATENATE('Cable Info'!L671," - ",'Cable Info'!M671))</f>
        <v>#N/A</v>
      </c>
      <c r="AM811" s="149" t="e">
        <f t="shared" si="96"/>
        <v>#N/A</v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e">
        <f>IF('Cable Info'!L672="","",CONCATENATE('Cable Info'!L672," - ",'Cable Info'!M672))</f>
        <v>#N/A</v>
      </c>
      <c r="AM812" s="149" t="e">
        <f t="shared" si="96"/>
        <v>#N/A</v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e">
        <f>IF('Cable Info'!L673="","",CONCATENATE('Cable Info'!L673," - ",'Cable Info'!M673))</f>
        <v>#N/A</v>
      </c>
      <c r="AM813" s="149" t="e">
        <f t="shared" si="96"/>
        <v>#N/A</v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e">
        <f>IF('Cable Info'!L674="","",CONCATENATE('Cable Info'!L674," - ",'Cable Info'!M674))</f>
        <v>#N/A</v>
      </c>
      <c r="AM814" s="149" t="e">
        <f t="shared" si="96"/>
        <v>#N/A</v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e">
        <f>IF('Cable Info'!L675="","",CONCATENATE('Cable Info'!L675," - ",'Cable Info'!M675))</f>
        <v>#N/A</v>
      </c>
      <c r="AM815" s="149" t="e">
        <f t="shared" si="96"/>
        <v>#N/A</v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e">
        <f>IF('Cable Info'!L676="","",CONCATENATE('Cable Info'!L676," - ",'Cable Info'!M676))</f>
        <v>#N/A</v>
      </c>
      <c r="AM816" s="149" t="e">
        <f t="shared" si="96"/>
        <v>#N/A</v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e">
        <f>IF('Cable Info'!L677="","",CONCATENATE('Cable Info'!L677," - ",'Cable Info'!M677))</f>
        <v>#N/A</v>
      </c>
      <c r="AM817" s="149" t="e">
        <f t="shared" si="96"/>
        <v>#N/A</v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e">
        <f>IF('Cable Info'!L678="","",CONCATENATE('Cable Info'!L678," - ",'Cable Info'!M678))</f>
        <v>#N/A</v>
      </c>
      <c r="AM818" s="149" t="e">
        <f t="shared" si="96"/>
        <v>#N/A</v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e">
        <f>IF('Cable Info'!L679="","",CONCATENATE('Cable Info'!L679," - ",'Cable Info'!M679))</f>
        <v>#N/A</v>
      </c>
      <c r="AM819" s="149" t="e">
        <f t="shared" si="96"/>
        <v>#N/A</v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e">
        <f>IF('Cable Info'!L680="","",CONCATENATE('Cable Info'!L680," - ",'Cable Info'!M680))</f>
        <v>#N/A</v>
      </c>
      <c r="AM820" s="149" t="e">
        <f t="shared" si="96"/>
        <v>#N/A</v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e">
        <f>IF('Cable Info'!L681="","",CONCATENATE('Cable Info'!L681," - ",'Cable Info'!M681))</f>
        <v>#N/A</v>
      </c>
      <c r="AM821" s="149" t="e">
        <f t="shared" si="96"/>
        <v>#N/A</v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e">
        <f>IF('Cable Info'!L682="","",CONCATENATE('Cable Info'!L682," - ",'Cable Info'!M682))</f>
        <v>#N/A</v>
      </c>
      <c r="AM822" s="149" t="e">
        <f t="shared" si="96"/>
        <v>#N/A</v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e">
        <f>IF('Cable Info'!L683="","",CONCATENATE('Cable Info'!L683," - ",'Cable Info'!M683))</f>
        <v>#N/A</v>
      </c>
      <c r="AM823" s="149" t="e">
        <f t="shared" si="96"/>
        <v>#N/A</v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e">
        <f>IF('Cable Info'!L684="","",CONCATENATE('Cable Info'!L684," - ",'Cable Info'!M684))</f>
        <v>#N/A</v>
      </c>
      <c r="AM824" s="149" t="e">
        <f t="shared" si="96"/>
        <v>#N/A</v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e">
        <f>IF('Cable Info'!L685="","",CONCATENATE('Cable Info'!L685," - ",'Cable Info'!M685))</f>
        <v>#N/A</v>
      </c>
      <c r="AM825" s="149" t="e">
        <f t="shared" si="96"/>
        <v>#N/A</v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e">
        <f>IF('Cable Info'!L686="","",CONCATENATE('Cable Info'!L686," - ",'Cable Info'!M686))</f>
        <v>#N/A</v>
      </c>
      <c r="AM826" s="149" t="e">
        <f t="shared" si="96"/>
        <v>#N/A</v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e">
        <f>IF('Cable Info'!L687="","",CONCATENATE('Cable Info'!L687," - ",'Cable Info'!M687))</f>
        <v>#N/A</v>
      </c>
      <c r="AM827" s="149" t="e">
        <f t="shared" si="96"/>
        <v>#N/A</v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e">
        <f>IF('Cable Info'!L688="","",CONCATENATE('Cable Info'!L688," - ",'Cable Info'!M688))</f>
        <v>#N/A</v>
      </c>
      <c r="AM828" s="149" t="e">
        <f t="shared" si="96"/>
        <v>#N/A</v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e">
        <f>IF('Cable Info'!L689="","",CONCATENATE('Cable Info'!L689," - ",'Cable Info'!M689))</f>
        <v>#N/A</v>
      </c>
      <c r="AM829" s="149" t="e">
        <f t="shared" si="96"/>
        <v>#N/A</v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e">
        <f>IF('Cable Info'!L690="","",CONCATENATE('Cable Info'!L690," - ",'Cable Info'!M690))</f>
        <v>#N/A</v>
      </c>
      <c r="AM830" s="149" t="e">
        <f t="shared" si="96"/>
        <v>#N/A</v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e">
        <f>IF('Cable Info'!L691="","",CONCATENATE('Cable Info'!L691," - ",'Cable Info'!M691))</f>
        <v>#N/A</v>
      </c>
      <c r="AM831" s="149" t="e">
        <f t="shared" si="96"/>
        <v>#N/A</v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e">
        <f>IF('Cable Info'!L692="","",CONCATENATE('Cable Info'!L692," - ",'Cable Info'!M692))</f>
        <v>#N/A</v>
      </c>
      <c r="AM832" s="149" t="e">
        <f t="shared" si="96"/>
        <v>#N/A</v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e">
        <f>IF('Cable Info'!L693="","",CONCATENATE('Cable Info'!L693," - ",'Cable Info'!M693))</f>
        <v>#N/A</v>
      </c>
      <c r="AM833" s="149" t="e">
        <f t="shared" si="96"/>
        <v>#N/A</v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e">
        <f>IF('Cable Info'!L694="","",CONCATENATE('Cable Info'!L694," - ",'Cable Info'!M694))</f>
        <v>#N/A</v>
      </c>
      <c r="AM834" s="149" t="e">
        <f t="shared" si="96"/>
        <v>#N/A</v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e">
        <f>IF('Cable Info'!L695="","",CONCATENATE('Cable Info'!L695," - ",'Cable Info'!M695))</f>
        <v>#N/A</v>
      </c>
      <c r="AM835" s="149" t="e">
        <f t="shared" si="96"/>
        <v>#N/A</v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e">
        <f>IF('Cable Info'!L696="","",CONCATENATE('Cable Info'!L696," - ",'Cable Info'!M696))</f>
        <v>#N/A</v>
      </c>
      <c r="AM836" s="149" t="e">
        <f t="shared" si="96"/>
        <v>#N/A</v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e">
        <f>IF('Cable Info'!L697="","",CONCATENATE('Cable Info'!L697," - ",'Cable Info'!M697))</f>
        <v>#N/A</v>
      </c>
      <c r="AM837" s="149" t="e">
        <f t="shared" si="96"/>
        <v>#N/A</v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e">
        <f>IF('Cable Info'!L698="","",CONCATENATE('Cable Info'!L698," - ",'Cable Info'!M698))</f>
        <v>#N/A</v>
      </c>
      <c r="AM838" s="149" t="e">
        <f t="shared" si="96"/>
        <v>#N/A</v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e">
        <f>IF('Cable Info'!L699="","",CONCATENATE('Cable Info'!L699," - ",'Cable Info'!M699))</f>
        <v>#N/A</v>
      </c>
      <c r="AM839" s="149" t="e">
        <f t="shared" si="96"/>
        <v>#N/A</v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e">
        <f>IF('Cable Info'!L700="","",CONCATENATE('Cable Info'!L700," - ",'Cable Info'!M700))</f>
        <v>#N/A</v>
      </c>
      <c r="AM840" s="149" t="e">
        <f t="shared" si="96"/>
        <v>#N/A</v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e">
        <f>IF('Cable Info'!L701="","",CONCATENATE('Cable Info'!L701," - ",'Cable Info'!M701))</f>
        <v>#N/A</v>
      </c>
      <c r="AM841" s="149" t="e">
        <f t="shared" si="96"/>
        <v>#N/A</v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e">
        <f>IF('Cable Info'!L702="","",CONCATENATE('Cable Info'!L702," - ",'Cable Info'!M702))</f>
        <v>#N/A</v>
      </c>
      <c r="AM842" s="149" t="e">
        <f t="shared" si="96"/>
        <v>#N/A</v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e">
        <f>IF('Cable Info'!L703="","",CONCATENATE('Cable Info'!L703," - ",'Cable Info'!M703))</f>
        <v>#N/A</v>
      </c>
      <c r="AM843" s="149" t="e">
        <f t="shared" si="96"/>
        <v>#N/A</v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e">
        <f>IF('Cable Info'!L704="","",CONCATENATE('Cable Info'!L704," - ",'Cable Info'!M704))</f>
        <v>#N/A</v>
      </c>
      <c r="AM844" s="149" t="e">
        <f t="shared" si="96"/>
        <v>#N/A</v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e">
        <f>IF('Cable Info'!L705="","",CONCATENATE('Cable Info'!L705," - ",'Cable Info'!M705))</f>
        <v>#N/A</v>
      </c>
      <c r="AM845" s="149" t="e">
        <f t="shared" si="96"/>
        <v>#N/A</v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e">
        <f>IF('Cable Info'!L706="","",CONCATENATE('Cable Info'!L706," - ",'Cable Info'!M706))</f>
        <v>#N/A</v>
      </c>
      <c r="AM846" s="149" t="e">
        <f t="shared" si="96"/>
        <v>#N/A</v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e">
        <f>IF('Cable Info'!L707="","",CONCATENATE('Cable Info'!L707," - ",'Cable Info'!M707))</f>
        <v>#N/A</v>
      </c>
      <c r="AM847" s="149" t="e">
        <f t="shared" ref="AM847:AM910" si="102">IF(AK847="",AJ847,CONCATENATE(AJ847,"  &lt;=&gt; ",AK847," ",AL847))</f>
        <v>#N/A</v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e">
        <f>IF('Cable Info'!L708="","",CONCATENATE('Cable Info'!L708," - ",'Cable Info'!M708))</f>
        <v>#N/A</v>
      </c>
      <c r="AM848" s="149" t="e">
        <f t="shared" si="102"/>
        <v>#N/A</v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e">
        <f>IF('Cable Info'!L709="","",CONCATENATE('Cable Info'!L709," - ",'Cable Info'!M709))</f>
        <v>#N/A</v>
      </c>
      <c r="AM849" s="149" t="e">
        <f t="shared" si="102"/>
        <v>#N/A</v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e">
        <f>IF('Cable Info'!L710="","",CONCATENATE('Cable Info'!L710," - ",'Cable Info'!M710))</f>
        <v>#N/A</v>
      </c>
      <c r="AM850" s="149" t="e">
        <f t="shared" si="102"/>
        <v>#N/A</v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e">
        <f>IF('Cable Info'!L711="","",CONCATENATE('Cable Info'!L711," - ",'Cable Info'!M711))</f>
        <v>#N/A</v>
      </c>
      <c r="AM851" s="149" t="e">
        <f t="shared" si="102"/>
        <v>#N/A</v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e">
        <f>IF('Cable Info'!L712="","",CONCATENATE('Cable Info'!L712," - ",'Cable Info'!M712))</f>
        <v>#N/A</v>
      </c>
      <c r="AM852" s="149" t="e">
        <f t="shared" si="102"/>
        <v>#N/A</v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e">
        <f>IF('Cable Info'!L713="","",CONCATENATE('Cable Info'!L713," - ",'Cable Info'!M713))</f>
        <v>#N/A</v>
      </c>
      <c r="AM853" s="149" t="e">
        <f t="shared" si="102"/>
        <v>#N/A</v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e">
        <f>IF('Cable Info'!L714="","",CONCATENATE('Cable Info'!L714," - ",'Cable Info'!M714))</f>
        <v>#N/A</v>
      </c>
      <c r="AM854" s="149" t="e">
        <f t="shared" si="102"/>
        <v>#N/A</v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e">
        <f>IF('Cable Info'!L715="","",CONCATENATE('Cable Info'!L715," - ",'Cable Info'!M715))</f>
        <v>#N/A</v>
      </c>
      <c r="AM855" s="149" t="e">
        <f t="shared" si="102"/>
        <v>#N/A</v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e">
        <f>IF('Cable Info'!L716="","",CONCATENATE('Cable Info'!L716," - ",'Cable Info'!M716))</f>
        <v>#N/A</v>
      </c>
      <c r="AM856" s="149" t="e">
        <f t="shared" si="102"/>
        <v>#N/A</v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e">
        <f>IF('Cable Info'!L717="","",CONCATENATE('Cable Info'!L717," - ",'Cable Info'!M717))</f>
        <v>#N/A</v>
      </c>
      <c r="AM857" s="149" t="e">
        <f t="shared" si="102"/>
        <v>#N/A</v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e">
        <f>IF('Cable Info'!L718="","",CONCATENATE('Cable Info'!L718," - ",'Cable Info'!M718))</f>
        <v>#N/A</v>
      </c>
      <c r="AM858" s="149" t="e">
        <f t="shared" si="102"/>
        <v>#N/A</v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e">
        <f>IF('Cable Info'!L719="","",CONCATENATE('Cable Info'!L719," - ",'Cable Info'!M719))</f>
        <v>#N/A</v>
      </c>
      <c r="AM859" s="149" t="e">
        <f t="shared" si="102"/>
        <v>#N/A</v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e">
        <f>IF('Cable Info'!L720="","",CONCATENATE('Cable Info'!L720," - ",'Cable Info'!M720))</f>
        <v>#N/A</v>
      </c>
      <c r="AM860" s="149" t="e">
        <f t="shared" si="102"/>
        <v>#N/A</v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e">
        <f>IF('Cable Info'!L721="","",CONCATENATE('Cable Info'!L721," - ",'Cable Info'!M721))</f>
        <v>#N/A</v>
      </c>
      <c r="AM861" s="149" t="e">
        <f t="shared" si="102"/>
        <v>#N/A</v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e">
        <f>IF('Cable Info'!L722="","",CONCATENATE('Cable Info'!L722," - ",'Cable Info'!M722))</f>
        <v>#N/A</v>
      </c>
      <c r="AM862" s="149" t="e">
        <f t="shared" si="102"/>
        <v>#N/A</v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e">
        <f>IF('Cable Info'!L723="","",CONCATENATE('Cable Info'!L723," - ",'Cable Info'!M723))</f>
        <v>#N/A</v>
      </c>
      <c r="AM863" s="149" t="e">
        <f t="shared" si="102"/>
        <v>#N/A</v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e">
        <f>IF('Cable Info'!L724="","",CONCATENATE('Cable Info'!L724," - ",'Cable Info'!M724))</f>
        <v>#N/A</v>
      </c>
      <c r="AM864" s="149" t="e">
        <f t="shared" si="102"/>
        <v>#N/A</v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e">
        <f>IF('Cable Info'!L725="","",CONCATENATE('Cable Info'!L725," - ",'Cable Info'!M725))</f>
        <v>#N/A</v>
      </c>
      <c r="AM865" s="149" t="e">
        <f t="shared" si="102"/>
        <v>#N/A</v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e">
        <f>IF('Cable Info'!L726="","",CONCATENATE('Cable Info'!L726," - ",'Cable Info'!M726))</f>
        <v>#N/A</v>
      </c>
      <c r="AM866" s="149" t="e">
        <f t="shared" si="102"/>
        <v>#N/A</v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e">
        <f>IF('Cable Info'!L727="","",CONCATENATE('Cable Info'!L727," - ",'Cable Info'!M727))</f>
        <v>#N/A</v>
      </c>
      <c r="AM867" s="149" t="e">
        <f t="shared" si="102"/>
        <v>#N/A</v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e">
        <f>IF('Cable Info'!L728="","",CONCATENATE('Cable Info'!L728," - ",'Cable Info'!M728))</f>
        <v>#N/A</v>
      </c>
      <c r="AM868" s="149" t="e">
        <f t="shared" si="102"/>
        <v>#N/A</v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e">
        <f>IF('Cable Info'!L729="","",CONCATENATE('Cable Info'!L729," - ",'Cable Info'!M729))</f>
        <v>#N/A</v>
      </c>
      <c r="AM869" s="149" t="e">
        <f t="shared" si="102"/>
        <v>#N/A</v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e">
        <f>IF('Cable Info'!L730="","",CONCATENATE('Cable Info'!L730," - ",'Cable Info'!M730))</f>
        <v>#N/A</v>
      </c>
      <c r="AM870" s="149" t="e">
        <f t="shared" si="102"/>
        <v>#N/A</v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e">
        <f>IF('Cable Info'!L731="","",CONCATENATE('Cable Info'!L731," - ",'Cable Info'!M731))</f>
        <v>#N/A</v>
      </c>
      <c r="AM871" s="149" t="e">
        <f t="shared" si="102"/>
        <v>#N/A</v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e">
        <f>IF('Cable Info'!L732="","",CONCATENATE('Cable Info'!L732," - ",'Cable Info'!M732))</f>
        <v>#N/A</v>
      </c>
      <c r="AM872" s="149" t="e">
        <f t="shared" si="102"/>
        <v>#N/A</v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e">
        <f>IF('Cable Info'!L733="","",CONCATENATE('Cable Info'!L733," - ",'Cable Info'!M733))</f>
        <v>#N/A</v>
      </c>
      <c r="AM873" s="149" t="e">
        <f t="shared" si="102"/>
        <v>#N/A</v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e">
        <f>IF('Cable Info'!L734="","",CONCATENATE('Cable Info'!L734," - ",'Cable Info'!M734))</f>
        <v>#N/A</v>
      </c>
      <c r="AM874" s="149" t="e">
        <f t="shared" si="102"/>
        <v>#N/A</v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e">
        <f>IF('Cable Info'!L735="","",CONCATENATE('Cable Info'!L735," - ",'Cable Info'!M735))</f>
        <v>#N/A</v>
      </c>
      <c r="AM875" s="149" t="e">
        <f t="shared" si="102"/>
        <v>#N/A</v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e">
        <f>IF('Cable Info'!L736="","",CONCATENATE('Cable Info'!L736," - ",'Cable Info'!M736))</f>
        <v>#N/A</v>
      </c>
      <c r="AM876" s="149" t="e">
        <f t="shared" si="102"/>
        <v>#N/A</v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e">
        <f>IF('Cable Info'!L737="","",CONCATENATE('Cable Info'!L737," - ",'Cable Info'!M737))</f>
        <v>#N/A</v>
      </c>
      <c r="AM877" s="149" t="e">
        <f t="shared" si="102"/>
        <v>#N/A</v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e">
        <f>IF('Cable Info'!L738="","",CONCATENATE('Cable Info'!L738," - ",'Cable Info'!M738))</f>
        <v>#N/A</v>
      </c>
      <c r="AM878" s="149" t="e">
        <f t="shared" si="102"/>
        <v>#N/A</v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e">
        <f>IF('Cable Info'!L739="","",CONCATENATE('Cable Info'!L739," - ",'Cable Info'!M739))</f>
        <v>#N/A</v>
      </c>
      <c r="AM879" s="149" t="e">
        <f t="shared" si="102"/>
        <v>#N/A</v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e">
        <f>IF('Cable Info'!L740="","",CONCATENATE('Cable Info'!L740," - ",'Cable Info'!M740))</f>
        <v>#N/A</v>
      </c>
      <c r="AM880" s="149" t="e">
        <f t="shared" si="102"/>
        <v>#N/A</v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e">
        <f>IF('Cable Info'!L741="","",CONCATENATE('Cable Info'!L741," - ",'Cable Info'!M741))</f>
        <v>#N/A</v>
      </c>
      <c r="AM881" s="149" t="e">
        <f t="shared" si="102"/>
        <v>#N/A</v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e">
        <f>IF('Cable Info'!L742="","",CONCATENATE('Cable Info'!L742," - ",'Cable Info'!M742))</f>
        <v>#N/A</v>
      </c>
      <c r="AM882" s="149" t="e">
        <f t="shared" si="102"/>
        <v>#N/A</v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e">
        <f>IF('Cable Info'!L743="","",CONCATENATE('Cable Info'!L743," - ",'Cable Info'!M743))</f>
        <v>#N/A</v>
      </c>
      <c r="AM883" s="149" t="e">
        <f t="shared" si="102"/>
        <v>#N/A</v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e">
        <f>IF('Cable Info'!L744="","",CONCATENATE('Cable Info'!L744," - ",'Cable Info'!M744))</f>
        <v>#N/A</v>
      </c>
      <c r="AM884" s="149" t="e">
        <f t="shared" si="102"/>
        <v>#N/A</v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e">
        <f>IF('Cable Info'!L745="","",CONCATENATE('Cable Info'!L745," - ",'Cable Info'!M745))</f>
        <v>#N/A</v>
      </c>
      <c r="AM885" s="149" t="e">
        <f t="shared" si="102"/>
        <v>#N/A</v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e">
        <f>IF('Cable Info'!L746="","",CONCATENATE('Cable Info'!L746," - ",'Cable Info'!M746))</f>
        <v>#N/A</v>
      </c>
      <c r="AM886" s="149" t="e">
        <f t="shared" si="102"/>
        <v>#N/A</v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e">
        <f>IF('Cable Info'!L747="","",CONCATENATE('Cable Info'!L747," - ",'Cable Info'!M747))</f>
        <v>#N/A</v>
      </c>
      <c r="AM887" s="149" t="e">
        <f t="shared" si="102"/>
        <v>#N/A</v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e">
        <f>IF('Cable Info'!L748="","",CONCATENATE('Cable Info'!L748," - ",'Cable Info'!M748))</f>
        <v>#N/A</v>
      </c>
      <c r="AM888" s="149" t="e">
        <f t="shared" si="102"/>
        <v>#N/A</v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e">
        <f>IF('Cable Info'!L749="","",CONCATENATE('Cable Info'!L749," - ",'Cable Info'!M749))</f>
        <v>#N/A</v>
      </c>
      <c r="AM889" s="149" t="e">
        <f t="shared" si="102"/>
        <v>#N/A</v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e">
        <f>IF('Cable Info'!L750="","",CONCATENATE('Cable Info'!L750," - ",'Cable Info'!M750))</f>
        <v>#N/A</v>
      </c>
      <c r="AM890" s="149" t="e">
        <f t="shared" si="102"/>
        <v>#N/A</v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e">
        <f>IF('Cable Info'!L751="","",CONCATENATE('Cable Info'!L751," - ",'Cable Info'!M751))</f>
        <v>#N/A</v>
      </c>
      <c r="AM891" s="149" t="e">
        <f t="shared" si="102"/>
        <v>#N/A</v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e">
        <f>IF('Cable Info'!L752="","",CONCATENATE('Cable Info'!L752," - ",'Cable Info'!M752))</f>
        <v>#N/A</v>
      </c>
      <c r="AM892" s="149" t="e">
        <f t="shared" si="102"/>
        <v>#N/A</v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e">
        <f>IF('Cable Info'!L753="","",CONCATENATE('Cable Info'!L753," - ",'Cable Info'!M753))</f>
        <v>#N/A</v>
      </c>
      <c r="AM893" s="149" t="e">
        <f t="shared" si="102"/>
        <v>#N/A</v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e">
        <f>IF('Cable Info'!L754="","",CONCATENATE('Cable Info'!L754," - ",'Cable Info'!M754))</f>
        <v>#N/A</v>
      </c>
      <c r="AM894" s="149" t="e">
        <f t="shared" si="102"/>
        <v>#N/A</v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e">
        <f>IF('Cable Info'!L755="","",CONCATENATE('Cable Info'!L755," - ",'Cable Info'!M755))</f>
        <v>#N/A</v>
      </c>
      <c r="AM895" s="149" t="e">
        <f t="shared" si="102"/>
        <v>#N/A</v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e">
        <f>IF('Cable Info'!L756="","",CONCATENATE('Cable Info'!L756," - ",'Cable Info'!M756))</f>
        <v>#N/A</v>
      </c>
      <c r="AM896" s="149" t="e">
        <f t="shared" si="102"/>
        <v>#N/A</v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e">
        <f>IF('Cable Info'!L757="","",CONCATENATE('Cable Info'!L757," - ",'Cable Info'!M757))</f>
        <v>#N/A</v>
      </c>
      <c r="AM897" s="149" t="e">
        <f t="shared" si="102"/>
        <v>#N/A</v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e">
        <f>IF('Cable Info'!L758="","",CONCATENATE('Cable Info'!L758," - ",'Cable Info'!M758))</f>
        <v>#N/A</v>
      </c>
      <c r="AM898" s="149" t="e">
        <f t="shared" si="102"/>
        <v>#N/A</v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e">
        <f>IF('Cable Info'!L759="","",CONCATENATE('Cable Info'!L759," - ",'Cable Info'!M759))</f>
        <v>#N/A</v>
      </c>
      <c r="AM899" s="149" t="e">
        <f t="shared" si="102"/>
        <v>#N/A</v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e">
        <f>IF('Cable Info'!L760="","",CONCATENATE('Cable Info'!L760," - ",'Cable Info'!M760))</f>
        <v>#N/A</v>
      </c>
      <c r="AM900" s="149" t="e">
        <f t="shared" si="102"/>
        <v>#N/A</v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e">
        <f>IF('Cable Info'!L761="","",CONCATENATE('Cable Info'!L761," - ",'Cable Info'!M761))</f>
        <v>#N/A</v>
      </c>
      <c r="AM901" s="149" t="e">
        <f t="shared" si="102"/>
        <v>#N/A</v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e">
        <f>IF('Cable Info'!L762="","",CONCATENATE('Cable Info'!L762," - ",'Cable Info'!M762))</f>
        <v>#N/A</v>
      </c>
      <c r="AM902" s="149" t="e">
        <f t="shared" si="102"/>
        <v>#N/A</v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e">
        <f>IF('Cable Info'!L763="","",CONCATENATE('Cable Info'!L763," - ",'Cable Info'!M763))</f>
        <v>#N/A</v>
      </c>
      <c r="AM903" s="149" t="e">
        <f t="shared" si="102"/>
        <v>#N/A</v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e">
        <f>IF('Cable Info'!L764="","",CONCATENATE('Cable Info'!L764," - ",'Cable Info'!M764))</f>
        <v>#N/A</v>
      </c>
      <c r="AM904" s="149" t="e">
        <f t="shared" si="102"/>
        <v>#N/A</v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e">
        <f>IF('Cable Info'!L765="","",CONCATENATE('Cable Info'!L765," - ",'Cable Info'!M765))</f>
        <v>#N/A</v>
      </c>
      <c r="AM905" s="149" t="e">
        <f t="shared" si="102"/>
        <v>#N/A</v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e">
        <f>IF('Cable Info'!L766="","",CONCATENATE('Cable Info'!L766," - ",'Cable Info'!M766))</f>
        <v>#N/A</v>
      </c>
      <c r="AM906" s="149" t="e">
        <f t="shared" si="102"/>
        <v>#N/A</v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e">
        <f>IF('Cable Info'!L767="","",CONCATENATE('Cable Info'!L767," - ",'Cable Info'!M767))</f>
        <v>#N/A</v>
      </c>
      <c r="AM907" s="149" t="e">
        <f t="shared" si="102"/>
        <v>#N/A</v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e">
        <f>IF('Cable Info'!L768="","",CONCATENATE('Cable Info'!L768," - ",'Cable Info'!M768))</f>
        <v>#N/A</v>
      </c>
      <c r="AM908" s="149" t="e">
        <f t="shared" si="102"/>
        <v>#N/A</v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e">
        <f>IF('Cable Info'!L769="","",CONCATENATE('Cable Info'!L769," - ",'Cable Info'!M769))</f>
        <v>#N/A</v>
      </c>
      <c r="AM909" s="149" t="e">
        <f t="shared" si="102"/>
        <v>#N/A</v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e">
        <f>IF('Cable Info'!L770="","",CONCATENATE('Cable Info'!L770," - ",'Cable Info'!M770))</f>
        <v>#N/A</v>
      </c>
      <c r="AM910" s="149" t="e">
        <f t="shared" si="102"/>
        <v>#N/A</v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e">
        <f>IF('Cable Info'!L771="","",CONCATENATE('Cable Info'!L771," - ",'Cable Info'!M771))</f>
        <v>#N/A</v>
      </c>
      <c r="AM911" s="149" t="e">
        <f t="shared" ref="AM911:AM974" si="108">IF(AK911="",AJ911,CONCATENATE(AJ911,"  &lt;=&gt; ",AK911," ",AL911))</f>
        <v>#N/A</v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e">
        <f>IF('Cable Info'!L772="","",CONCATENATE('Cable Info'!L772," - ",'Cable Info'!M772))</f>
        <v>#N/A</v>
      </c>
      <c r="AM912" s="149" t="e">
        <f t="shared" si="108"/>
        <v>#N/A</v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e">
        <f>IF('Cable Info'!L773="","",CONCATENATE('Cable Info'!L773," - ",'Cable Info'!M773))</f>
        <v>#N/A</v>
      </c>
      <c r="AM913" s="149" t="e">
        <f t="shared" si="108"/>
        <v>#N/A</v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e">
        <f>IF('Cable Info'!L774="","",CONCATENATE('Cable Info'!L774," - ",'Cable Info'!M774))</f>
        <v>#N/A</v>
      </c>
      <c r="AM914" s="149" t="e">
        <f t="shared" si="108"/>
        <v>#N/A</v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e">
        <f>IF('Cable Info'!L775="","",CONCATENATE('Cable Info'!L775," - ",'Cable Info'!M775))</f>
        <v>#N/A</v>
      </c>
      <c r="AM915" s="149" t="e">
        <f t="shared" si="108"/>
        <v>#N/A</v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e">
        <f>IF('Cable Info'!L776="","",CONCATENATE('Cable Info'!L776," - ",'Cable Info'!M776))</f>
        <v>#N/A</v>
      </c>
      <c r="AM916" s="149" t="e">
        <f t="shared" si="108"/>
        <v>#N/A</v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e">
        <f>IF('Cable Info'!L777="","",CONCATENATE('Cable Info'!L777," - ",'Cable Info'!M777))</f>
        <v>#N/A</v>
      </c>
      <c r="AM917" s="149" t="e">
        <f t="shared" si="108"/>
        <v>#N/A</v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e">
        <f>IF('Cable Info'!L778="","",CONCATENATE('Cable Info'!L778," - ",'Cable Info'!M778))</f>
        <v>#N/A</v>
      </c>
      <c r="AM918" s="149" t="e">
        <f t="shared" si="108"/>
        <v>#N/A</v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e">
        <f>IF('Cable Info'!L779="","",CONCATENATE('Cable Info'!L779," - ",'Cable Info'!M779))</f>
        <v>#N/A</v>
      </c>
      <c r="AM919" s="149" t="e">
        <f t="shared" si="108"/>
        <v>#N/A</v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e">
        <f>IF('Cable Info'!L780="","",CONCATENATE('Cable Info'!L780," - ",'Cable Info'!M780))</f>
        <v>#N/A</v>
      </c>
      <c r="AM920" s="149" t="e">
        <f t="shared" si="108"/>
        <v>#N/A</v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e">
        <f>IF('Cable Info'!L781="","",CONCATENATE('Cable Info'!L781," - ",'Cable Info'!M781))</f>
        <v>#N/A</v>
      </c>
      <c r="AM921" s="149" t="e">
        <f t="shared" si="108"/>
        <v>#N/A</v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e">
        <f>IF('Cable Info'!L782="","",CONCATENATE('Cable Info'!L782," - ",'Cable Info'!M782))</f>
        <v>#N/A</v>
      </c>
      <c r="AM922" s="149" t="e">
        <f t="shared" si="108"/>
        <v>#N/A</v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e">
        <f>IF('Cable Info'!L783="","",CONCATENATE('Cable Info'!L783," - ",'Cable Info'!M783))</f>
        <v>#N/A</v>
      </c>
      <c r="AM923" s="149" t="e">
        <f t="shared" si="108"/>
        <v>#N/A</v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e">
        <f>IF('Cable Info'!L784="","",CONCATENATE('Cable Info'!L784," - ",'Cable Info'!M784))</f>
        <v>#N/A</v>
      </c>
      <c r="AM924" s="149" t="e">
        <f t="shared" si="108"/>
        <v>#N/A</v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e">
        <f>IF('Cable Info'!L785="","",CONCATENATE('Cable Info'!L785," - ",'Cable Info'!M785))</f>
        <v>#N/A</v>
      </c>
      <c r="AM925" s="149" t="e">
        <f t="shared" si="108"/>
        <v>#N/A</v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e">
        <f>IF('Cable Info'!L786="","",CONCATENATE('Cable Info'!L786," - ",'Cable Info'!M786))</f>
        <v>#N/A</v>
      </c>
      <c r="AM926" s="149" t="e">
        <f t="shared" si="108"/>
        <v>#N/A</v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e">
        <f>IF('Cable Info'!L787="","",CONCATENATE('Cable Info'!L787," - ",'Cable Info'!M787))</f>
        <v>#N/A</v>
      </c>
      <c r="AM927" s="149" t="e">
        <f t="shared" si="108"/>
        <v>#N/A</v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e">
        <f>IF('Cable Info'!L788="","",CONCATENATE('Cable Info'!L788," - ",'Cable Info'!M788))</f>
        <v>#N/A</v>
      </c>
      <c r="AM928" s="149" t="e">
        <f t="shared" si="108"/>
        <v>#N/A</v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e">
        <f>IF('Cable Info'!L789="","",CONCATENATE('Cable Info'!L789," - ",'Cable Info'!M789))</f>
        <v>#N/A</v>
      </c>
      <c r="AM929" s="149" t="e">
        <f t="shared" si="108"/>
        <v>#N/A</v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e">
        <f>IF('Cable Info'!L790="","",CONCATENATE('Cable Info'!L790," - ",'Cable Info'!M790))</f>
        <v>#N/A</v>
      </c>
      <c r="AM930" s="149" t="e">
        <f t="shared" si="108"/>
        <v>#N/A</v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e">
        <f>IF('Cable Info'!L791="","",CONCATENATE('Cable Info'!L791," - ",'Cable Info'!M791))</f>
        <v>#N/A</v>
      </c>
      <c r="AM931" s="149" t="e">
        <f t="shared" si="108"/>
        <v>#N/A</v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e">
        <f>IF('Cable Info'!L792="","",CONCATENATE('Cable Info'!L792," - ",'Cable Info'!M792))</f>
        <v>#N/A</v>
      </c>
      <c r="AM932" s="149" t="e">
        <f t="shared" si="108"/>
        <v>#N/A</v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e">
        <f>IF('Cable Info'!L793="","",CONCATENATE('Cable Info'!L793," - ",'Cable Info'!M793))</f>
        <v>#N/A</v>
      </c>
      <c r="AM933" s="149" t="e">
        <f t="shared" si="108"/>
        <v>#N/A</v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e">
        <f>IF('Cable Info'!L794="","",CONCATENATE('Cable Info'!L794," - ",'Cable Info'!M794))</f>
        <v>#N/A</v>
      </c>
      <c r="AM934" s="149" t="e">
        <f t="shared" si="108"/>
        <v>#N/A</v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e">
        <f>IF('Cable Info'!L795="","",CONCATENATE('Cable Info'!L795," - ",'Cable Info'!M795))</f>
        <v>#N/A</v>
      </c>
      <c r="AM935" s="149" t="e">
        <f t="shared" si="108"/>
        <v>#N/A</v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e">
        <f>IF('Cable Info'!L796="","",CONCATENATE('Cable Info'!L796," - ",'Cable Info'!M796))</f>
        <v>#N/A</v>
      </c>
      <c r="AM936" s="149" t="e">
        <f t="shared" si="108"/>
        <v>#N/A</v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e">
        <f>IF('Cable Info'!L797="","",CONCATENATE('Cable Info'!L797," - ",'Cable Info'!M797))</f>
        <v>#N/A</v>
      </c>
      <c r="AM937" s="149" t="e">
        <f t="shared" si="108"/>
        <v>#N/A</v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e">
        <f>IF('Cable Info'!L798="","",CONCATENATE('Cable Info'!L798," - ",'Cable Info'!M798))</f>
        <v>#N/A</v>
      </c>
      <c r="AM938" s="149" t="e">
        <f t="shared" si="108"/>
        <v>#N/A</v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e">
        <f>IF('Cable Info'!L799="","",CONCATENATE('Cable Info'!L799," - ",'Cable Info'!M799))</f>
        <v>#N/A</v>
      </c>
      <c r="AM939" s="149" t="e">
        <f t="shared" si="108"/>
        <v>#N/A</v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e">
        <f>IF('Cable Info'!L800="","",CONCATENATE('Cable Info'!L800," - ",'Cable Info'!M800))</f>
        <v>#N/A</v>
      </c>
      <c r="AM940" s="149" t="e">
        <f t="shared" si="108"/>
        <v>#N/A</v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e">
        <f>IF('Cable Info'!L801="","",CONCATENATE('Cable Info'!L801," - ",'Cable Info'!M801))</f>
        <v>#N/A</v>
      </c>
      <c r="AM941" s="149" t="e">
        <f t="shared" si="108"/>
        <v>#N/A</v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e">
        <f>IF('Cable Info'!L802="","",CONCATENATE('Cable Info'!L802," - ",'Cable Info'!M802))</f>
        <v>#N/A</v>
      </c>
      <c r="AM942" s="149" t="e">
        <f t="shared" si="108"/>
        <v>#N/A</v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e">
        <f>IF('Cable Info'!L803="","",CONCATENATE('Cable Info'!L803," - ",'Cable Info'!M803))</f>
        <v>#N/A</v>
      </c>
      <c r="AM943" s="149" t="e">
        <f t="shared" si="108"/>
        <v>#N/A</v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e">
        <f>IF('Cable Info'!L804="","",CONCATENATE('Cable Info'!L804," - ",'Cable Info'!M804))</f>
        <v>#N/A</v>
      </c>
      <c r="AM944" s="149" t="e">
        <f t="shared" si="108"/>
        <v>#N/A</v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e">
        <f>IF('Cable Info'!L805="","",CONCATENATE('Cable Info'!L805," - ",'Cable Info'!M805))</f>
        <v>#N/A</v>
      </c>
      <c r="AM945" s="149" t="e">
        <f t="shared" si="108"/>
        <v>#N/A</v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e">
        <f>IF('Cable Info'!L806="","",CONCATENATE('Cable Info'!L806," - ",'Cable Info'!M806))</f>
        <v>#N/A</v>
      </c>
      <c r="AM946" s="149" t="e">
        <f t="shared" si="108"/>
        <v>#N/A</v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e">
        <f>IF('Cable Info'!L807="","",CONCATENATE('Cable Info'!L807," - ",'Cable Info'!M807))</f>
        <v>#N/A</v>
      </c>
      <c r="AM947" s="149" t="e">
        <f t="shared" si="108"/>
        <v>#N/A</v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e">
        <f>IF('Cable Info'!L808="","",CONCATENATE('Cable Info'!L808," - ",'Cable Info'!M808))</f>
        <v>#N/A</v>
      </c>
      <c r="AM948" s="149" t="e">
        <f t="shared" si="108"/>
        <v>#N/A</v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e">
        <f>IF('Cable Info'!L809="","",CONCATENATE('Cable Info'!L809," - ",'Cable Info'!M809))</f>
        <v>#N/A</v>
      </c>
      <c r="AM949" s="149" t="e">
        <f t="shared" si="108"/>
        <v>#N/A</v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e">
        <f>IF('Cable Info'!L810="","",CONCATENATE('Cable Info'!L810," - ",'Cable Info'!M810))</f>
        <v>#N/A</v>
      </c>
      <c r="AM950" s="149" t="e">
        <f t="shared" si="108"/>
        <v>#N/A</v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e">
        <f>IF('Cable Info'!L811="","",CONCATENATE('Cable Info'!L811," - ",'Cable Info'!M811))</f>
        <v>#N/A</v>
      </c>
      <c r="AM951" s="149" t="e">
        <f t="shared" si="108"/>
        <v>#N/A</v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e">
        <f>IF('Cable Info'!L812="","",CONCATENATE('Cable Info'!L812," - ",'Cable Info'!M812))</f>
        <v>#N/A</v>
      </c>
      <c r="AM952" s="149" t="e">
        <f t="shared" si="108"/>
        <v>#N/A</v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e">
        <f>IF('Cable Info'!L813="","",CONCATENATE('Cable Info'!L813," - ",'Cable Info'!M813))</f>
        <v>#N/A</v>
      </c>
      <c r="AM953" s="149" t="e">
        <f t="shared" si="108"/>
        <v>#N/A</v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e">
        <f>IF('Cable Info'!L814="","",CONCATENATE('Cable Info'!L814," - ",'Cable Info'!M814))</f>
        <v>#N/A</v>
      </c>
      <c r="AM954" s="149" t="e">
        <f t="shared" si="108"/>
        <v>#N/A</v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e">
        <f>IF('Cable Info'!L815="","",CONCATENATE('Cable Info'!L815," - ",'Cable Info'!M815))</f>
        <v>#N/A</v>
      </c>
      <c r="AM955" s="149" t="e">
        <f t="shared" si="108"/>
        <v>#N/A</v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e">
        <f>IF('Cable Info'!L816="","",CONCATENATE('Cable Info'!L816," - ",'Cable Info'!M816))</f>
        <v>#N/A</v>
      </c>
      <c r="AM956" s="149" t="e">
        <f t="shared" si="108"/>
        <v>#N/A</v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e">
        <f>IF('Cable Info'!L817="","",CONCATENATE('Cable Info'!L817," - ",'Cable Info'!M817))</f>
        <v>#N/A</v>
      </c>
      <c r="AM957" s="149" t="e">
        <f t="shared" si="108"/>
        <v>#N/A</v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e">
        <f>IF('Cable Info'!L818="","",CONCATENATE('Cable Info'!L818," - ",'Cable Info'!M818))</f>
        <v>#N/A</v>
      </c>
      <c r="AM958" s="149" t="e">
        <f t="shared" si="108"/>
        <v>#N/A</v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e">
        <f>IF('Cable Info'!L819="","",CONCATENATE('Cable Info'!L819," - ",'Cable Info'!M819))</f>
        <v>#N/A</v>
      </c>
      <c r="AM959" s="149" t="e">
        <f t="shared" si="108"/>
        <v>#N/A</v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e">
        <f>IF('Cable Info'!L820="","",CONCATENATE('Cable Info'!L820," - ",'Cable Info'!M820))</f>
        <v>#N/A</v>
      </c>
      <c r="AM960" s="149" t="e">
        <f t="shared" si="108"/>
        <v>#N/A</v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e">
        <f>IF('Cable Info'!L821="","",CONCATENATE('Cable Info'!L821," - ",'Cable Info'!M821))</f>
        <v>#N/A</v>
      </c>
      <c r="AM961" s="149" t="e">
        <f t="shared" si="108"/>
        <v>#N/A</v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e">
        <f>IF('Cable Info'!L822="","",CONCATENATE('Cable Info'!L822," - ",'Cable Info'!M822))</f>
        <v>#N/A</v>
      </c>
      <c r="AM962" s="149" t="e">
        <f t="shared" si="108"/>
        <v>#N/A</v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e">
        <f>IF('Cable Info'!L823="","",CONCATENATE('Cable Info'!L823," - ",'Cable Info'!M823))</f>
        <v>#N/A</v>
      </c>
      <c r="AM963" s="149" t="e">
        <f t="shared" si="108"/>
        <v>#N/A</v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e">
        <f>IF('Cable Info'!L824="","",CONCATENATE('Cable Info'!L824," - ",'Cable Info'!M824))</f>
        <v>#N/A</v>
      </c>
      <c r="AM964" s="149" t="e">
        <f t="shared" si="108"/>
        <v>#N/A</v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e">
        <f>IF('Cable Info'!L825="","",CONCATENATE('Cable Info'!L825," - ",'Cable Info'!M825))</f>
        <v>#N/A</v>
      </c>
      <c r="AM965" s="149" t="e">
        <f t="shared" si="108"/>
        <v>#N/A</v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e">
        <f>IF('Cable Info'!L826="","",CONCATENATE('Cable Info'!L826," - ",'Cable Info'!M826))</f>
        <v>#N/A</v>
      </c>
      <c r="AM966" s="149" t="e">
        <f t="shared" si="108"/>
        <v>#N/A</v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e">
        <f>IF('Cable Info'!L827="","",CONCATENATE('Cable Info'!L827," - ",'Cable Info'!M827))</f>
        <v>#N/A</v>
      </c>
      <c r="AM967" s="149" t="e">
        <f t="shared" si="108"/>
        <v>#N/A</v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e">
        <f>IF('Cable Info'!L828="","",CONCATENATE('Cable Info'!L828," - ",'Cable Info'!M828))</f>
        <v>#N/A</v>
      </c>
      <c r="AM968" s="149" t="e">
        <f t="shared" si="108"/>
        <v>#N/A</v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e">
        <f>IF('Cable Info'!L829="","",CONCATENATE('Cable Info'!L829," - ",'Cable Info'!M829))</f>
        <v>#N/A</v>
      </c>
      <c r="AM969" s="149" t="e">
        <f t="shared" si="108"/>
        <v>#N/A</v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e">
        <f>IF('Cable Info'!L830="","",CONCATENATE('Cable Info'!L830," - ",'Cable Info'!M830))</f>
        <v>#N/A</v>
      </c>
      <c r="AM970" s="149" t="e">
        <f t="shared" si="108"/>
        <v>#N/A</v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e">
        <f>IF('Cable Info'!L831="","",CONCATENATE('Cable Info'!L831," - ",'Cable Info'!M831))</f>
        <v>#N/A</v>
      </c>
      <c r="AM971" s="149" t="e">
        <f t="shared" si="108"/>
        <v>#N/A</v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e">
        <f>IF('Cable Info'!L832="","",CONCATENATE('Cable Info'!L832," - ",'Cable Info'!M832))</f>
        <v>#N/A</v>
      </c>
      <c r="AM972" s="149" t="e">
        <f t="shared" si="108"/>
        <v>#N/A</v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e">
        <f>IF('Cable Info'!L833="","",CONCATENATE('Cable Info'!L833," - ",'Cable Info'!M833))</f>
        <v>#N/A</v>
      </c>
      <c r="AM973" s="149" t="e">
        <f t="shared" si="108"/>
        <v>#N/A</v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e">
        <f>IF('Cable Info'!L834="","",CONCATENATE('Cable Info'!L834," - ",'Cable Info'!M834))</f>
        <v>#N/A</v>
      </c>
      <c r="AM974" s="149" t="e">
        <f t="shared" si="108"/>
        <v>#N/A</v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e">
        <f>IF('Cable Info'!L835="","",CONCATENATE('Cable Info'!L835," - ",'Cable Info'!M835))</f>
        <v>#N/A</v>
      </c>
      <c r="AM975" s="149" t="e">
        <f t="shared" ref="AM975:AM1005" si="114">IF(AK975="",AJ975,CONCATENATE(AJ975,"  &lt;=&gt; ",AK975," ",AL975))</f>
        <v>#N/A</v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e">
        <f>IF('Cable Info'!L836="","",CONCATENATE('Cable Info'!L836," - ",'Cable Info'!M836))</f>
        <v>#N/A</v>
      </c>
      <c r="AM976" s="149" t="e">
        <f t="shared" si="114"/>
        <v>#N/A</v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e">
        <f>IF('Cable Info'!L837="","",CONCATENATE('Cable Info'!L837," - ",'Cable Info'!M837))</f>
        <v>#N/A</v>
      </c>
      <c r="AM977" s="149" t="e">
        <f t="shared" si="114"/>
        <v>#N/A</v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e">
        <f>IF('Cable Info'!L838="","",CONCATENATE('Cable Info'!L838," - ",'Cable Info'!M838))</f>
        <v>#N/A</v>
      </c>
      <c r="AM978" s="149" t="e">
        <f t="shared" si="114"/>
        <v>#N/A</v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e">
        <f>IF('Cable Info'!L839="","",CONCATENATE('Cable Info'!L839," - ",'Cable Info'!M839))</f>
        <v>#N/A</v>
      </c>
      <c r="AM979" s="149" t="e">
        <f t="shared" si="114"/>
        <v>#N/A</v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e">
        <f>IF('Cable Info'!L840="","",CONCATENATE('Cable Info'!L840," - ",'Cable Info'!M840))</f>
        <v>#N/A</v>
      </c>
      <c r="AM980" s="149" t="e">
        <f t="shared" si="114"/>
        <v>#N/A</v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e">
        <f>IF('Cable Info'!L841="","",CONCATENATE('Cable Info'!L841," - ",'Cable Info'!M841))</f>
        <v>#N/A</v>
      </c>
      <c r="AM981" s="149" t="e">
        <f t="shared" si="114"/>
        <v>#N/A</v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e">
        <f>IF('Cable Info'!L842="","",CONCATENATE('Cable Info'!L842," - ",'Cable Info'!M842))</f>
        <v>#N/A</v>
      </c>
      <c r="AM982" s="149" t="e">
        <f t="shared" si="114"/>
        <v>#N/A</v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e">
        <f>IF('Cable Info'!L843="","",CONCATENATE('Cable Info'!L843," - ",'Cable Info'!M843))</f>
        <v>#N/A</v>
      </c>
      <c r="AM983" s="149" t="e">
        <f t="shared" si="114"/>
        <v>#N/A</v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e">
        <f>IF('Cable Info'!L844="","",CONCATENATE('Cable Info'!L844," - ",'Cable Info'!M844))</f>
        <v>#N/A</v>
      </c>
      <c r="AM984" s="149" t="e">
        <f t="shared" si="114"/>
        <v>#N/A</v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e">
        <f>IF('Cable Info'!L845="","",CONCATENATE('Cable Info'!L845," - ",'Cable Info'!M845))</f>
        <v>#N/A</v>
      </c>
      <c r="AM985" s="149" t="e">
        <f t="shared" si="114"/>
        <v>#N/A</v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e">
        <f>IF('Cable Info'!L846="","",CONCATENATE('Cable Info'!L846," - ",'Cable Info'!M846))</f>
        <v>#N/A</v>
      </c>
      <c r="AM986" s="149" t="e">
        <f t="shared" si="114"/>
        <v>#N/A</v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e">
        <f>IF('Cable Info'!L847="","",CONCATENATE('Cable Info'!L847," - ",'Cable Info'!M847))</f>
        <v>#N/A</v>
      </c>
      <c r="AM987" s="149" t="e">
        <f t="shared" si="114"/>
        <v>#N/A</v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e">
        <f>IF('Cable Info'!L848="","",CONCATENATE('Cable Info'!L848," - ",'Cable Info'!M848))</f>
        <v>#N/A</v>
      </c>
      <c r="AM988" s="149" t="e">
        <f t="shared" si="114"/>
        <v>#N/A</v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e">
        <f>IF('Cable Info'!L849="","",CONCATENATE('Cable Info'!L849," - ",'Cable Info'!M849))</f>
        <v>#N/A</v>
      </c>
      <c r="AM989" s="149" t="e">
        <f t="shared" si="114"/>
        <v>#N/A</v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e">
        <f>IF('Cable Info'!L850="","",CONCATENATE('Cable Info'!L850," - ",'Cable Info'!M850))</f>
        <v>#N/A</v>
      </c>
      <c r="AM990" s="149" t="e">
        <f t="shared" si="114"/>
        <v>#N/A</v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e">
        <f>IF('Cable Info'!L851="","",CONCATENATE('Cable Info'!L851," - ",'Cable Info'!M851))</f>
        <v>#N/A</v>
      </c>
      <c r="AM991" s="149" t="e">
        <f t="shared" si="114"/>
        <v>#N/A</v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e">
        <f>IF('Cable Info'!L852="","",CONCATENATE('Cable Info'!L852," - ",'Cable Info'!M852))</f>
        <v>#N/A</v>
      </c>
      <c r="AM992" s="149" t="e">
        <f t="shared" si="114"/>
        <v>#N/A</v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e">
        <f>IF('Cable Info'!L853="","",CONCATENATE('Cable Info'!L853," - ",'Cable Info'!M853))</f>
        <v>#N/A</v>
      </c>
      <c r="AM993" s="149" t="e">
        <f t="shared" si="114"/>
        <v>#N/A</v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e">
        <f>IF('Cable Info'!L854="","",CONCATENATE('Cable Info'!L854," - ",'Cable Info'!M854))</f>
        <v>#N/A</v>
      </c>
      <c r="AM994" s="149" t="e">
        <f t="shared" si="114"/>
        <v>#N/A</v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e">
        <f>IF('Cable Info'!L855="","",CONCATENATE('Cable Info'!L855," - ",'Cable Info'!M855))</f>
        <v>#N/A</v>
      </c>
      <c r="AM995" s="149" t="e">
        <f t="shared" si="114"/>
        <v>#N/A</v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e">
        <f>IF('Cable Info'!L856="","",CONCATENATE('Cable Info'!L856," - ",'Cable Info'!M856))</f>
        <v>#N/A</v>
      </c>
      <c r="AM996" s="149" t="e">
        <f t="shared" si="114"/>
        <v>#N/A</v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e">
        <f>IF('Cable Info'!L857="","",CONCATENATE('Cable Info'!L857," - ",'Cable Info'!M857))</f>
        <v>#N/A</v>
      </c>
      <c r="AM997" s="149" t="e">
        <f t="shared" si="114"/>
        <v>#N/A</v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e">
        <f>IF('Cable Info'!L858="","",CONCATENATE('Cable Info'!L858," - ",'Cable Info'!M858))</f>
        <v>#N/A</v>
      </c>
      <c r="AM998" s="149" t="e">
        <f t="shared" si="114"/>
        <v>#N/A</v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e">
        <f>IF('Cable Info'!L859="","",CONCATENATE('Cable Info'!L859," - ",'Cable Info'!M859))</f>
        <v>#N/A</v>
      </c>
      <c r="AM999" s="149" t="e">
        <f t="shared" si="114"/>
        <v>#N/A</v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e">
        <f>IF('Cable Info'!L860="","",CONCATENATE('Cable Info'!L860," - ",'Cable Info'!M860))</f>
        <v>#N/A</v>
      </c>
      <c r="AM1000" s="149" t="e">
        <f t="shared" si="114"/>
        <v>#N/A</v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e">
        <f>IF('Cable Info'!L861="","",CONCATENATE('Cable Info'!L861," - ",'Cable Info'!M861))</f>
        <v>#N/A</v>
      </c>
      <c r="AM1001" s="149" t="e">
        <f t="shared" si="114"/>
        <v>#N/A</v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e">
        <f>IF('Cable Info'!L862="","",CONCATENATE('Cable Info'!L862," - ",'Cable Info'!M862))</f>
        <v>#N/A</v>
      </c>
      <c r="AM1002" s="149" t="e">
        <f t="shared" si="114"/>
        <v>#N/A</v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e">
        <f>IF('Cable Info'!L863="","",CONCATENATE('Cable Info'!L863," - ",'Cable Info'!M863))</f>
        <v>#N/A</v>
      </c>
      <c r="AM1003" s="149" t="e">
        <f t="shared" si="114"/>
        <v>#N/A</v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e">
        <f>IF('Cable Info'!L864="","",CONCATENATE('Cable Info'!L864," - ",'Cable Info'!M864))</f>
        <v>#N/A</v>
      </c>
      <c r="AM1004" s="149" t="e">
        <f t="shared" si="114"/>
        <v>#N/A</v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e">
        <f>IF('Cable Info'!L865="","",CONCATENATE('Cable Info'!L865," - ",'Cable Info'!M865))</f>
        <v>#N/A</v>
      </c>
      <c r="AM1005" s="149" t="e">
        <f t="shared" si="114"/>
        <v>#N/A</v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76</v>
      </c>
      <c r="Q1" s="368" t="s">
        <v>78</v>
      </c>
    </row>
    <row r="2" spans="1:19" ht="13.5" thickBot="1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77</v>
      </c>
      <c r="Q2" s="368" t="s">
        <v>70</v>
      </c>
    </row>
    <row r="3" spans="1:19" ht="12.75" customHeight="1">
      <c r="A3" s="370"/>
      <c r="B3" s="587" t="str">
        <f>'Cover - Location Info'!J8</f>
        <v>101767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1.1</v>
      </c>
      <c r="O3" s="377"/>
      <c r="P3" s="367"/>
      <c r="Q3" s="368"/>
    </row>
    <row r="4" spans="1:19" ht="12.75" customHeight="1" thickBot="1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11</v>
      </c>
    </row>
    <row r="6" spans="1:19" ht="29.25" customHeight="1" thickBot="1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38</v>
      </c>
      <c r="N7" s="610"/>
      <c r="O7" s="595"/>
      <c r="P7" s="373"/>
    </row>
    <row r="8" spans="1:19" ht="13.5" customHeight="1" thickBot="1">
      <c r="A8" s="389"/>
      <c r="B8" s="390"/>
      <c r="C8" s="391" t="s">
        <v>84</v>
      </c>
      <c r="D8" s="392" t="s">
        <v>36</v>
      </c>
      <c r="E8" s="393" t="s">
        <v>73</v>
      </c>
      <c r="F8" s="394"/>
      <c r="G8" s="395" t="s">
        <v>74</v>
      </c>
      <c r="H8" s="396" t="s">
        <v>75</v>
      </c>
      <c r="I8" s="596" t="s">
        <v>143</v>
      </c>
      <c r="J8" s="397"/>
      <c r="K8" s="398"/>
      <c r="L8" s="388"/>
      <c r="M8" s="598" t="s">
        <v>146</v>
      </c>
      <c r="N8" s="399"/>
      <c r="O8" s="595"/>
      <c r="P8" s="373"/>
      <c r="S8" s="600" t="s">
        <v>144</v>
      </c>
    </row>
    <row r="9" spans="1:19" ht="13.5" thickBot="1">
      <c r="A9" s="389"/>
      <c r="B9" s="400" t="s">
        <v>34</v>
      </c>
      <c r="C9" s="401" t="s">
        <v>37</v>
      </c>
      <c r="D9" s="400" t="s">
        <v>3</v>
      </c>
      <c r="E9" s="597" t="s">
        <v>72</v>
      </c>
      <c r="F9" s="602"/>
      <c r="G9" s="603"/>
      <c r="H9" s="402" t="s">
        <v>80</v>
      </c>
      <c r="I9" s="597"/>
      <c r="J9" s="403" t="s">
        <v>87</v>
      </c>
      <c r="K9" s="404" t="s">
        <v>86</v>
      </c>
      <c r="L9" s="405"/>
      <c r="M9" s="599"/>
      <c r="N9" s="400" t="s">
        <v>145</v>
      </c>
      <c r="O9" s="595"/>
      <c r="P9" s="457">
        <f>SUM(P10:P124)</f>
        <v>0</v>
      </c>
      <c r="S9" s="60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58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58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58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58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58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58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58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58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58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58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58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58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58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58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58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58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58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58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58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58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58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58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58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58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58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58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58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58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58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58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58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58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58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58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58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58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58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58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58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58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58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58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58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58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58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58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58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58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58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58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58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58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58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58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58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58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58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58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58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58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58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58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58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58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58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58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58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58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58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58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58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58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58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58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58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58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58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58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58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58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58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58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58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58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58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58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58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58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58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58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58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58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58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58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58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58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58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58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58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58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58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58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58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58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58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58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58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58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58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58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58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58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58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58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58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101767</v>
      </c>
      <c r="C3" s="329"/>
      <c r="D3" s="336" t="str">
        <f>'Cover - Location Info'!$J$10</f>
        <v>1.1</v>
      </c>
      <c r="E3" s="330"/>
      <c r="F3" s="344"/>
      <c r="G3" s="632" t="s">
        <v>106</v>
      </c>
      <c r="H3" s="632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4" t="s">
        <v>117</v>
      </c>
      <c r="C5" s="625"/>
      <c r="D5" s="626"/>
      <c r="E5" s="330"/>
      <c r="F5" s="344"/>
      <c r="G5" s="334" t="s">
        <v>109</v>
      </c>
      <c r="H5" s="334" t="s">
        <v>110</v>
      </c>
    </row>
    <row r="6" spans="1:66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>
      <c r="A7" s="328"/>
      <c r="B7" s="352">
        <f>IF('Cover - Location Info'!D41="","",'Cover - Location Info'!D41)</f>
        <v>24</v>
      </c>
      <c r="C7" s="353" t="str">
        <f>IF('Cover - Location Info'!E41="","",'Cover - Location Info'!E41)</f>
        <v>MOPE</v>
      </c>
      <c r="D7" s="354"/>
      <c r="E7" s="330"/>
      <c r="F7" s="344"/>
      <c r="H7" s="334" t="s">
        <v>112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27" t="s">
        <v>118</v>
      </c>
      <c r="C9" s="628"/>
      <c r="D9" s="629"/>
      <c r="E9" s="330"/>
      <c r="F9" s="344"/>
      <c r="H9" s="334" t="s">
        <v>114</v>
      </c>
    </row>
    <row r="10" spans="1:66" ht="17.25" customHeight="1">
      <c r="A10" s="328"/>
      <c r="B10" s="348" t="s">
        <v>139</v>
      </c>
      <c r="C10" s="622"/>
      <c r="D10" s="623"/>
      <c r="E10" s="330"/>
      <c r="F10" s="344"/>
      <c r="H10" s="334" t="s">
        <v>115</v>
      </c>
    </row>
    <row r="11" spans="1:66" ht="17.25" customHeight="1">
      <c r="A11" s="328"/>
      <c r="B11" s="348" t="s">
        <v>125</v>
      </c>
      <c r="C11" s="622"/>
      <c r="D11" s="623"/>
      <c r="E11" s="330"/>
      <c r="F11" s="344"/>
      <c r="H11" s="334" t="s">
        <v>116</v>
      </c>
    </row>
    <row r="12" spans="1:66" s="324" customFormat="1" ht="17.25" customHeight="1" thickBot="1">
      <c r="A12" s="328"/>
      <c r="B12" s="356" t="s">
        <v>120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27" t="s">
        <v>119</v>
      </c>
      <c r="C14" s="628"/>
      <c r="D14" s="629"/>
      <c r="E14" s="330"/>
      <c r="F14" s="344"/>
    </row>
    <row r="15" spans="1:66" ht="17.25" customHeight="1">
      <c r="A15" s="328"/>
      <c r="B15" s="355" t="s">
        <v>126</v>
      </c>
      <c r="C15" s="633"/>
      <c r="D15" s="634"/>
      <c r="E15" s="330"/>
      <c r="F15" s="344"/>
    </row>
    <row r="16" spans="1:66" ht="17.25" customHeight="1">
      <c r="A16" s="328"/>
      <c r="B16" s="355" t="s">
        <v>127</v>
      </c>
      <c r="C16" s="633"/>
      <c r="D16" s="634"/>
      <c r="E16" s="330"/>
      <c r="F16" s="344"/>
    </row>
    <row r="17" spans="1:66" ht="17.25" customHeight="1">
      <c r="A17" s="328"/>
      <c r="B17" s="355" t="s">
        <v>128</v>
      </c>
      <c r="C17" s="635"/>
      <c r="D17" s="636"/>
      <c r="E17" s="330"/>
      <c r="F17" s="344"/>
    </row>
    <row r="18" spans="1:66" ht="17.25" customHeight="1">
      <c r="A18" s="328"/>
      <c r="B18" s="355" t="s">
        <v>129</v>
      </c>
      <c r="C18" s="635"/>
      <c r="D18" s="636"/>
      <c r="E18" s="330"/>
      <c r="F18" s="344"/>
    </row>
    <row r="19" spans="1:66" s="324" customFormat="1" ht="17.25" customHeight="1" thickBot="1">
      <c r="A19" s="341"/>
      <c r="B19" s="357" t="s">
        <v>130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85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95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98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96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Amir Ahmed</cp:lastModifiedBy>
  <cp:lastPrinted>2014-07-02T16:10:46Z</cp:lastPrinted>
  <dcterms:created xsi:type="dcterms:W3CDTF">1998-05-29T15:48:38Z</dcterms:created>
  <dcterms:modified xsi:type="dcterms:W3CDTF">2016-12-16T17:04:50Z</dcterms:modified>
</cp:coreProperties>
</file>