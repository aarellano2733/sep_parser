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3040" windowHeight="9975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C21" i="17"/>
  <c r="H21" i="17"/>
  <c r="M21" i="17"/>
  <c r="X21" i="17"/>
  <c r="Y21" i="17"/>
  <c r="Z21" i="17"/>
  <c r="AA21" i="17"/>
  <c r="AB21" i="17" s="1"/>
  <c r="C22" i="17"/>
  <c r="H22" i="17"/>
  <c r="AB22" i="17" s="1"/>
  <c r="M22" i="17"/>
  <c r="X22" i="17"/>
  <c r="Y22" i="17"/>
  <c r="Z22" i="17"/>
  <c r="AA22" i="17"/>
  <c r="C23" i="17"/>
  <c r="H23" i="17"/>
  <c r="AB23" i="17" s="1"/>
  <c r="M23" i="17"/>
  <c r="X23" i="17"/>
  <c r="Y23" i="17"/>
  <c r="Z23" i="17"/>
  <c r="AA23" i="17"/>
  <c r="C24" i="17"/>
  <c r="H24" i="17"/>
  <c r="AB24" i="17" s="1"/>
  <c r="M24" i="17"/>
  <c r="X24" i="17"/>
  <c r="Y24" i="17"/>
  <c r="Z24" i="17"/>
  <c r="AA24" i="17"/>
  <c r="C25" i="17"/>
  <c r="H25" i="17"/>
  <c r="AB25" i="17" s="1"/>
  <c r="M25" i="17"/>
  <c r="X25" i="17"/>
  <c r="Y25" i="17"/>
  <c r="Z25" i="17"/>
  <c r="AA25" i="17"/>
  <c r="C26" i="17"/>
  <c r="H26" i="17"/>
  <c r="M26" i="17"/>
  <c r="Y26" i="17"/>
  <c r="Z26" i="17"/>
  <c r="AA26" i="17"/>
  <c r="AB26" i="17" s="1"/>
  <c r="C27" i="17"/>
  <c r="H27" i="17"/>
  <c r="M27" i="17"/>
  <c r="Y27" i="17"/>
  <c r="Z27" i="17"/>
  <c r="AA27" i="17"/>
  <c r="C28" i="17"/>
  <c r="H28" i="17"/>
  <c r="M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27" i="17" l="1"/>
  <c r="AB20" i="17"/>
  <c r="AB16" i="17"/>
  <c r="AB12" i="17"/>
  <c r="AB18" i="17"/>
  <c r="AB14" i="17"/>
  <c r="E3" i="14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Y11" i="17"/>
  <c r="X11" i="17"/>
  <c r="H11" i="17"/>
  <c r="AA10" i="17"/>
  <c r="Z10" i="17"/>
  <c r="Y10" i="17"/>
  <c r="X10" i="17"/>
  <c r="H10" i="17"/>
  <c r="D53" i="16"/>
  <c r="E50" i="16"/>
  <c r="A44" i="16"/>
  <c r="M3" i="16"/>
  <c r="M2" i="16"/>
  <c r="M1" i="16"/>
  <c r="X28" i="17" l="1"/>
  <c r="X30" i="17"/>
  <c r="AB10" i="17"/>
  <c r="AB9" i="17" s="1"/>
  <c r="G5" i="17" s="1"/>
  <c r="X26" i="17"/>
  <c r="X27" i="17"/>
  <c r="Z9" i="17"/>
  <c r="I6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S837" i="14"/>
  <c r="R837" i="14"/>
  <c r="Q837" i="14"/>
  <c r="P837" i="14"/>
  <c r="O837" i="14"/>
  <c r="N837" i="14"/>
  <c r="M837" i="14"/>
  <c r="L837" i="14"/>
  <c r="W836" i="14"/>
  <c r="V836" i="14"/>
  <c r="U836" i="14"/>
  <c r="T836" i="14"/>
  <c r="S836" i="14"/>
  <c r="R836" i="14"/>
  <c r="Q836" i="14"/>
  <c r="P836" i="14"/>
  <c r="O836" i="14"/>
  <c r="N836" i="14"/>
  <c r="M836" i="14"/>
  <c r="L836" i="14"/>
  <c r="W835" i="14"/>
  <c r="V835" i="14"/>
  <c r="U835" i="14"/>
  <c r="T835" i="14"/>
  <c r="S835" i="14"/>
  <c r="R835" i="14"/>
  <c r="Q835" i="14"/>
  <c r="P835" i="14"/>
  <c r="O835" i="14"/>
  <c r="N835" i="14"/>
  <c r="M835" i="14"/>
  <c r="L835" i="14"/>
  <c r="W834" i="14"/>
  <c r="V834" i="14"/>
  <c r="U834" i="14"/>
  <c r="T834" i="14"/>
  <c r="S834" i="14"/>
  <c r="R834" i="14"/>
  <c r="Q834" i="14"/>
  <c r="P834" i="14"/>
  <c r="O834" i="14"/>
  <c r="N834" i="14"/>
  <c r="M834" i="14"/>
  <c r="L834" i="14"/>
  <c r="W833" i="14"/>
  <c r="V833" i="14"/>
  <c r="U833" i="14"/>
  <c r="T833" i="14"/>
  <c r="S833" i="14"/>
  <c r="R833" i="14"/>
  <c r="Q833" i="14"/>
  <c r="P833" i="14"/>
  <c r="O833" i="14"/>
  <c r="N833" i="14"/>
  <c r="M833" i="14"/>
  <c r="L833" i="14"/>
  <c r="W832" i="14"/>
  <c r="V832" i="14"/>
  <c r="U832" i="14"/>
  <c r="T832" i="14"/>
  <c r="S832" i="14"/>
  <c r="R832" i="14"/>
  <c r="Q832" i="14"/>
  <c r="P832" i="14"/>
  <c r="O832" i="14"/>
  <c r="N832" i="14"/>
  <c r="M832" i="14"/>
  <c r="L832" i="14"/>
  <c r="W831" i="14"/>
  <c r="V831" i="14"/>
  <c r="U831" i="14"/>
  <c r="T831" i="14"/>
  <c r="S831" i="14"/>
  <c r="R831" i="14"/>
  <c r="Q831" i="14"/>
  <c r="P831" i="14"/>
  <c r="O831" i="14"/>
  <c r="N831" i="14"/>
  <c r="M831" i="14"/>
  <c r="L831" i="14"/>
  <c r="W830" i="14"/>
  <c r="V830" i="14"/>
  <c r="U830" i="14"/>
  <c r="T830" i="14"/>
  <c r="S830" i="14"/>
  <c r="R830" i="14"/>
  <c r="Q830" i="14"/>
  <c r="P830" i="14"/>
  <c r="O830" i="14"/>
  <c r="N830" i="14"/>
  <c r="M830" i="14"/>
  <c r="L830" i="14"/>
  <c r="W829" i="14"/>
  <c r="V829" i="14"/>
  <c r="U829" i="14"/>
  <c r="T829" i="14"/>
  <c r="S829" i="14"/>
  <c r="R829" i="14"/>
  <c r="Q829" i="14"/>
  <c r="P829" i="14"/>
  <c r="O829" i="14"/>
  <c r="N829" i="14"/>
  <c r="M829" i="14"/>
  <c r="L829" i="14"/>
  <c r="W828" i="14"/>
  <c r="V828" i="14"/>
  <c r="U828" i="14"/>
  <c r="T828" i="14"/>
  <c r="S828" i="14"/>
  <c r="R828" i="14"/>
  <c r="Q828" i="14"/>
  <c r="P828" i="14"/>
  <c r="O828" i="14"/>
  <c r="N828" i="14"/>
  <c r="M828" i="14"/>
  <c r="L828" i="14"/>
  <c r="W827" i="14"/>
  <c r="V827" i="14"/>
  <c r="U827" i="14"/>
  <c r="T827" i="14"/>
  <c r="S827" i="14"/>
  <c r="R827" i="14"/>
  <c r="Q827" i="14"/>
  <c r="P827" i="14"/>
  <c r="O827" i="14"/>
  <c r="N827" i="14"/>
  <c r="M827" i="14"/>
  <c r="L827" i="14"/>
  <c r="W826" i="14"/>
  <c r="V826" i="14"/>
  <c r="U826" i="14"/>
  <c r="T826" i="14"/>
  <c r="S826" i="14"/>
  <c r="R826" i="14"/>
  <c r="Q826" i="14"/>
  <c r="P826" i="14"/>
  <c r="O826" i="14"/>
  <c r="N826" i="14"/>
  <c r="M826" i="14"/>
  <c r="L826" i="14"/>
  <c r="W825" i="14"/>
  <c r="V825" i="14"/>
  <c r="U825" i="14"/>
  <c r="T825" i="14"/>
  <c r="S825" i="14"/>
  <c r="R825" i="14"/>
  <c r="Q825" i="14"/>
  <c r="P825" i="14"/>
  <c r="O825" i="14"/>
  <c r="N825" i="14"/>
  <c r="M825" i="14"/>
  <c r="L825" i="14"/>
  <c r="W824" i="14"/>
  <c r="V824" i="14"/>
  <c r="U824" i="14"/>
  <c r="T824" i="14"/>
  <c r="S824" i="14"/>
  <c r="R824" i="14"/>
  <c r="Q824" i="14"/>
  <c r="P824" i="14"/>
  <c r="O824" i="14"/>
  <c r="N824" i="14"/>
  <c r="M824" i="14"/>
  <c r="L824" i="14"/>
  <c r="W823" i="14"/>
  <c r="V823" i="14"/>
  <c r="U823" i="14"/>
  <c r="T823" i="14"/>
  <c r="S823" i="14"/>
  <c r="R823" i="14"/>
  <c r="Q823" i="14"/>
  <c r="P823" i="14"/>
  <c r="O823" i="14"/>
  <c r="N823" i="14"/>
  <c r="M823" i="14"/>
  <c r="L823" i="14"/>
  <c r="W822" i="14"/>
  <c r="V822" i="14"/>
  <c r="U822" i="14"/>
  <c r="T822" i="14"/>
  <c r="S822" i="14"/>
  <c r="R822" i="14"/>
  <c r="Q822" i="14"/>
  <c r="P822" i="14"/>
  <c r="O822" i="14"/>
  <c r="N822" i="14"/>
  <c r="M822" i="14"/>
  <c r="L822" i="14"/>
  <c r="W821" i="14"/>
  <c r="V821" i="14"/>
  <c r="U821" i="14"/>
  <c r="T821" i="14"/>
  <c r="S821" i="14"/>
  <c r="R821" i="14"/>
  <c r="Q821" i="14"/>
  <c r="P821" i="14"/>
  <c r="O821" i="14"/>
  <c r="N821" i="14"/>
  <c r="M821" i="14"/>
  <c r="L821" i="14"/>
  <c r="W820" i="14"/>
  <c r="V820" i="14"/>
  <c r="U820" i="14"/>
  <c r="T820" i="14"/>
  <c r="S820" i="14"/>
  <c r="R820" i="14"/>
  <c r="Q820" i="14"/>
  <c r="P820" i="14"/>
  <c r="O820" i="14"/>
  <c r="N820" i="14"/>
  <c r="M820" i="14"/>
  <c r="L820" i="14"/>
  <c r="W819" i="14"/>
  <c r="V819" i="14"/>
  <c r="U819" i="14"/>
  <c r="T819" i="14"/>
  <c r="S819" i="14"/>
  <c r="R819" i="14"/>
  <c r="Q819" i="14"/>
  <c r="P819" i="14"/>
  <c r="O819" i="14"/>
  <c r="N819" i="14"/>
  <c r="M819" i="14"/>
  <c r="L819" i="14"/>
  <c r="W818" i="14"/>
  <c r="V818" i="14"/>
  <c r="U818" i="14"/>
  <c r="T818" i="14"/>
  <c r="S818" i="14"/>
  <c r="R818" i="14"/>
  <c r="Q818" i="14"/>
  <c r="P818" i="14"/>
  <c r="O818" i="14"/>
  <c r="N818" i="14"/>
  <c r="M818" i="14"/>
  <c r="L818" i="14"/>
  <c r="W817" i="14"/>
  <c r="V817" i="14"/>
  <c r="U817" i="14"/>
  <c r="T817" i="14"/>
  <c r="S817" i="14"/>
  <c r="R817" i="14"/>
  <c r="Q817" i="14"/>
  <c r="P817" i="14"/>
  <c r="O817" i="14"/>
  <c r="N817" i="14"/>
  <c r="M817" i="14"/>
  <c r="L817" i="14"/>
  <c r="W816" i="14"/>
  <c r="V816" i="14"/>
  <c r="U816" i="14"/>
  <c r="T816" i="14"/>
  <c r="S816" i="14"/>
  <c r="R816" i="14"/>
  <c r="Q816" i="14"/>
  <c r="P816" i="14"/>
  <c r="O816" i="14"/>
  <c r="N816" i="14"/>
  <c r="M816" i="14"/>
  <c r="L816" i="14"/>
  <c r="W815" i="14"/>
  <c r="V815" i="14"/>
  <c r="U815" i="14"/>
  <c r="T815" i="14"/>
  <c r="S815" i="14"/>
  <c r="R815" i="14"/>
  <c r="Q815" i="14"/>
  <c r="P815" i="14"/>
  <c r="O815" i="14"/>
  <c r="N815" i="14"/>
  <c r="M815" i="14"/>
  <c r="L815" i="14"/>
  <c r="W814" i="14"/>
  <c r="V814" i="14"/>
  <c r="U814" i="14"/>
  <c r="T814" i="14"/>
  <c r="S814" i="14"/>
  <c r="R814" i="14"/>
  <c r="Q814" i="14"/>
  <c r="P814" i="14"/>
  <c r="O814" i="14"/>
  <c r="N814" i="14"/>
  <c r="M814" i="14"/>
  <c r="L814" i="14"/>
  <c r="W813" i="14"/>
  <c r="V813" i="14"/>
  <c r="U813" i="14"/>
  <c r="T813" i="14"/>
  <c r="S813" i="14"/>
  <c r="R813" i="14"/>
  <c r="Q813" i="14"/>
  <c r="P813" i="14"/>
  <c r="O813" i="14"/>
  <c r="N813" i="14"/>
  <c r="M813" i="14"/>
  <c r="L813" i="14"/>
  <c r="W812" i="14"/>
  <c r="V812" i="14"/>
  <c r="U812" i="14"/>
  <c r="T812" i="14"/>
  <c r="S812" i="14"/>
  <c r="R812" i="14"/>
  <c r="Q812" i="14"/>
  <c r="P812" i="14"/>
  <c r="O812" i="14"/>
  <c r="N812" i="14"/>
  <c r="M812" i="14"/>
  <c r="L812" i="14"/>
  <c r="W811" i="14"/>
  <c r="V811" i="14"/>
  <c r="U811" i="14"/>
  <c r="T811" i="14"/>
  <c r="S811" i="14"/>
  <c r="R811" i="14"/>
  <c r="Q811" i="14"/>
  <c r="P811" i="14"/>
  <c r="O811" i="14"/>
  <c r="N811" i="14"/>
  <c r="M811" i="14"/>
  <c r="L811" i="14"/>
  <c r="W810" i="14"/>
  <c r="V810" i="14"/>
  <c r="U810" i="14"/>
  <c r="T810" i="14"/>
  <c r="S810" i="14"/>
  <c r="R810" i="14"/>
  <c r="Q810" i="14"/>
  <c r="P810" i="14"/>
  <c r="O810" i="14"/>
  <c r="N810" i="14"/>
  <c r="M810" i="14"/>
  <c r="L810" i="14"/>
  <c r="W809" i="14"/>
  <c r="V809" i="14"/>
  <c r="U809" i="14"/>
  <c r="T809" i="14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W728" i="14"/>
  <c r="V728" i="14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S717" i="14"/>
  <c r="R717" i="14"/>
  <c r="P717" i="14"/>
  <c r="Q717" i="14" s="1"/>
  <c r="N717" i="14"/>
  <c r="O717" i="14" s="1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R712" i="14"/>
  <c r="S712" i="14" s="1"/>
  <c r="P712" i="14"/>
  <c r="Q712" i="14" s="1"/>
  <c r="O712" i="14"/>
  <c r="N712" i="14"/>
  <c r="L712" i="14"/>
  <c r="M712" i="14" s="1"/>
  <c r="V711" i="14"/>
  <c r="W711" i="14" s="1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O710" i="14"/>
  <c r="N710" i="14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R706" i="14"/>
  <c r="S706" i="14" s="1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N701" i="14"/>
  <c r="O701" i="14" s="1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V695" i="14"/>
  <c r="W695" i="14" s="1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R690" i="14"/>
  <c r="S690" i="14" s="1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N685" i="14"/>
  <c r="O685" i="14" s="1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W681" i="14"/>
  <c r="V681" i="14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S680" i="14"/>
  <c r="R680" i="14"/>
  <c r="P680" i="14"/>
  <c r="Q680" i="14" s="1"/>
  <c r="O680" i="14"/>
  <c r="N680" i="14"/>
  <c r="L680" i="14"/>
  <c r="M680" i="14" s="1"/>
  <c r="V679" i="14"/>
  <c r="W679" i="14" s="1"/>
  <c r="T679" i="14"/>
  <c r="U679" i="14" s="1"/>
  <c r="S679" i="14"/>
  <c r="R679" i="14"/>
  <c r="P679" i="14"/>
  <c r="Q679" i="14" s="1"/>
  <c r="O679" i="14"/>
  <c r="N679" i="14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W677" i="14"/>
  <c r="V677" i="14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S676" i="14"/>
  <c r="R676" i="14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O675" i="14"/>
  <c r="N675" i="14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N653" i="14"/>
  <c r="O653" i="14" s="1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P541" i="14"/>
  <c r="Q541" i="14" s="1"/>
  <c r="N541" i="14"/>
  <c r="O541" i="14" s="1"/>
  <c r="L541" i="14"/>
  <c r="M541" i="14" s="1"/>
  <c r="V540" i="14"/>
  <c r="W540" i="14" s="1"/>
  <c r="U540" i="14"/>
  <c r="T540" i="14"/>
  <c r="R540" i="14"/>
  <c r="S540" i="14" s="1"/>
  <c r="P540" i="14"/>
  <c r="Q540" i="14" s="1"/>
  <c r="N540" i="14"/>
  <c r="O540" i="14" s="1"/>
  <c r="L540" i="14"/>
  <c r="M540" i="14" s="1"/>
  <c r="V539" i="14"/>
  <c r="W539" i="14" s="1"/>
  <c r="T539" i="14"/>
  <c r="U539" i="14" s="1"/>
  <c r="R539" i="14"/>
  <c r="S539" i="14" s="1"/>
  <c r="Q539" i="14"/>
  <c r="P539" i="14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U537" i="14"/>
  <c r="T537" i="14"/>
  <c r="R537" i="14"/>
  <c r="S537" i="14" s="1"/>
  <c r="P537" i="14"/>
  <c r="Q537" i="14" s="1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L536" i="14"/>
  <c r="M536" i="14" s="1"/>
  <c r="V535" i="14"/>
  <c r="W535" i="14" s="1"/>
  <c r="T535" i="14"/>
  <c r="U535" i="14" s="1"/>
  <c r="R535" i="14"/>
  <c r="S535" i="14" s="1"/>
  <c r="Q535" i="14"/>
  <c r="P535" i="14"/>
  <c r="N535" i="14"/>
  <c r="O535" i="14" s="1"/>
  <c r="L535" i="14"/>
  <c r="M535" i="14" s="1"/>
  <c r="V534" i="14"/>
  <c r="W534" i="14" s="1"/>
  <c r="T534" i="14"/>
  <c r="U534" i="14" s="1"/>
  <c r="R534" i="14"/>
  <c r="S534" i="14" s="1"/>
  <c r="P534" i="14"/>
  <c r="Q534" i="14" s="1"/>
  <c r="N534" i="14"/>
  <c r="O534" i="14" s="1"/>
  <c r="L534" i="14"/>
  <c r="M534" i="14" s="1"/>
  <c r="V533" i="14"/>
  <c r="W533" i="14" s="1"/>
  <c r="T533" i="14"/>
  <c r="U533" i="14" s="1"/>
  <c r="R533" i="14"/>
  <c r="S533" i="14" s="1"/>
  <c r="Q533" i="14"/>
  <c r="P533" i="14"/>
  <c r="N533" i="14"/>
  <c r="O533" i="14" s="1"/>
  <c r="L533" i="14"/>
  <c r="M533" i="14" s="1"/>
  <c r="V532" i="14"/>
  <c r="W532" i="14" s="1"/>
  <c r="T532" i="14"/>
  <c r="U532" i="14" s="1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P531" i="14"/>
  <c r="Q531" i="14" s="1"/>
  <c r="N531" i="14"/>
  <c r="O531" i="14" s="1"/>
  <c r="L531" i="14"/>
  <c r="M531" i="14" s="1"/>
  <c r="V530" i="14"/>
  <c r="W530" i="14" s="1"/>
  <c r="U530" i="14"/>
  <c r="T530" i="14"/>
  <c r="R530" i="14"/>
  <c r="S530" i="14" s="1"/>
  <c r="P530" i="14"/>
  <c r="Q530" i="14" s="1"/>
  <c r="N530" i="14"/>
  <c r="O530" i="14" s="1"/>
  <c r="L530" i="14"/>
  <c r="M530" i="14" s="1"/>
  <c r="V529" i="14"/>
  <c r="W529" i="14" s="1"/>
  <c r="T529" i="14"/>
  <c r="U529" i="14" s="1"/>
  <c r="R529" i="14"/>
  <c r="S529" i="14" s="1"/>
  <c r="Q529" i="14"/>
  <c r="P529" i="14"/>
  <c r="N529" i="14"/>
  <c r="O529" i="14" s="1"/>
  <c r="L529" i="14"/>
  <c r="M529" i="14" s="1"/>
  <c r="V528" i="14"/>
  <c r="W528" i="14" s="1"/>
  <c r="T528" i="14"/>
  <c r="U528" i="14" s="1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P527" i="14"/>
  <c r="Q527" i="14" s="1"/>
  <c r="N527" i="14"/>
  <c r="O527" i="14" s="1"/>
  <c r="L527" i="14"/>
  <c r="M527" i="14" s="1"/>
  <c r="V526" i="14"/>
  <c r="W526" i="14" s="1"/>
  <c r="U526" i="14"/>
  <c r="T526" i="14"/>
  <c r="R526" i="14"/>
  <c r="S526" i="14" s="1"/>
  <c r="P526" i="14"/>
  <c r="Q526" i="14" s="1"/>
  <c r="N526" i="14"/>
  <c r="O526" i="14" s="1"/>
  <c r="L526" i="14"/>
  <c r="M526" i="14" s="1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T524" i="14"/>
  <c r="U524" i="14" s="1"/>
  <c r="R524" i="14"/>
  <c r="S524" i="14" s="1"/>
  <c r="P524" i="14"/>
  <c r="Q524" i="14" s="1"/>
  <c r="N524" i="14"/>
  <c r="O524" i="14" s="1"/>
  <c r="M524" i="14"/>
  <c r="L524" i="14"/>
  <c r="V523" i="14"/>
  <c r="W523" i="14" s="1"/>
  <c r="T523" i="14"/>
  <c r="U523" i="14" s="1"/>
  <c r="R523" i="14"/>
  <c r="S523" i="14" s="1"/>
  <c r="P523" i="14"/>
  <c r="Q523" i="14" s="1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L522" i="14"/>
  <c r="M522" i="14" s="1"/>
  <c r="V521" i="14"/>
  <c r="W521" i="14" s="1"/>
  <c r="T521" i="14"/>
  <c r="U521" i="14" s="1"/>
  <c r="R521" i="14"/>
  <c r="S521" i="14" s="1"/>
  <c r="Q521" i="14"/>
  <c r="P521" i="14"/>
  <c r="N521" i="14"/>
  <c r="O521" i="14" s="1"/>
  <c r="L521" i="14"/>
  <c r="M521" i="14" s="1"/>
  <c r="V520" i="14"/>
  <c r="W520" i="14" s="1"/>
  <c r="T520" i="14"/>
  <c r="U520" i="14" s="1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P519" i="14"/>
  <c r="Q519" i="14" s="1"/>
  <c r="N519" i="14"/>
  <c r="O519" i="14" s="1"/>
  <c r="L519" i="14"/>
  <c r="M519" i="14" s="1"/>
  <c r="V518" i="14"/>
  <c r="W518" i="14" s="1"/>
  <c r="U518" i="14"/>
  <c r="T518" i="14"/>
  <c r="R518" i="14"/>
  <c r="S518" i="14" s="1"/>
  <c r="P518" i="14"/>
  <c r="Q518" i="14" s="1"/>
  <c r="N518" i="14"/>
  <c r="O518" i="14" s="1"/>
  <c r="L518" i="14"/>
  <c r="M518" i="14" s="1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T516" i="14"/>
  <c r="U516" i="14" s="1"/>
  <c r="R516" i="14"/>
  <c r="S516" i="14" s="1"/>
  <c r="P516" i="14"/>
  <c r="Q516" i="14" s="1"/>
  <c r="N516" i="14"/>
  <c r="O516" i="14" s="1"/>
  <c r="M516" i="14"/>
  <c r="L516" i="14"/>
  <c r="V515" i="14"/>
  <c r="W515" i="14" s="1"/>
  <c r="T515" i="14"/>
  <c r="U515" i="14" s="1"/>
  <c r="R515" i="14"/>
  <c r="S515" i="14" s="1"/>
  <c r="P515" i="14"/>
  <c r="Q515" i="14" s="1"/>
  <c r="N515" i="14"/>
  <c r="O515" i="14" s="1"/>
  <c r="L515" i="14"/>
  <c r="M515" i="14" s="1"/>
  <c r="V514" i="14"/>
  <c r="W514" i="14" s="1"/>
  <c r="U514" i="14"/>
  <c r="T514" i="14"/>
  <c r="R514" i="14"/>
  <c r="S514" i="14" s="1"/>
  <c r="P514" i="14"/>
  <c r="Q514" i="14" s="1"/>
  <c r="N514" i="14"/>
  <c r="O514" i="14" s="1"/>
  <c r="L514" i="14"/>
  <c r="M514" i="14" s="1"/>
  <c r="V513" i="14"/>
  <c r="W513" i="14" s="1"/>
  <c r="T513" i="14"/>
  <c r="U513" i="14" s="1"/>
  <c r="R513" i="14"/>
  <c r="S513" i="14" s="1"/>
  <c r="Q513" i="14"/>
  <c r="P513" i="14"/>
  <c r="N513" i="14"/>
  <c r="O513" i="14" s="1"/>
  <c r="L513" i="14"/>
  <c r="M513" i="14" s="1"/>
  <c r="V512" i="14"/>
  <c r="W512" i="14" s="1"/>
  <c r="T512" i="14"/>
  <c r="U512" i="14" s="1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P511" i="14"/>
  <c r="Q511" i="14" s="1"/>
  <c r="N511" i="14"/>
  <c r="O511" i="14" s="1"/>
  <c r="L511" i="14"/>
  <c r="M511" i="14" s="1"/>
  <c r="V510" i="14"/>
  <c r="W510" i="14" s="1"/>
  <c r="U510" i="14"/>
  <c r="T510" i="14"/>
  <c r="R510" i="14"/>
  <c r="S510" i="14" s="1"/>
  <c r="P510" i="14"/>
  <c r="Q510" i="14" s="1"/>
  <c r="N510" i="14"/>
  <c r="O510" i="14" s="1"/>
  <c r="L510" i="14"/>
  <c r="M510" i="14" s="1"/>
  <c r="V509" i="14"/>
  <c r="W509" i="14" s="1"/>
  <c r="T509" i="14"/>
  <c r="U509" i="14" s="1"/>
  <c r="R509" i="14"/>
  <c r="S509" i="14" s="1"/>
  <c r="Q509" i="14"/>
  <c r="P509" i="14"/>
  <c r="N509" i="14"/>
  <c r="O509" i="14" s="1"/>
  <c r="L509" i="14"/>
  <c r="M509" i="14" s="1"/>
  <c r="V508" i="14"/>
  <c r="W508" i="14" s="1"/>
  <c r="T508" i="14"/>
  <c r="U508" i="14" s="1"/>
  <c r="R508" i="14"/>
  <c r="S508" i="14" s="1"/>
  <c r="P508" i="14"/>
  <c r="Q508" i="14" s="1"/>
  <c r="N508" i="14"/>
  <c r="O508" i="14" s="1"/>
  <c r="M508" i="14"/>
  <c r="L508" i="14"/>
  <c r="V507" i="14"/>
  <c r="W507" i="14" s="1"/>
  <c r="T507" i="14"/>
  <c r="U507" i="14" s="1"/>
  <c r="R507" i="14"/>
  <c r="S507" i="14" s="1"/>
  <c r="P507" i="14"/>
  <c r="Q507" i="14" s="1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L506" i="14"/>
  <c r="M506" i="14" s="1"/>
  <c r="V505" i="14"/>
  <c r="W505" i="14" s="1"/>
  <c r="T505" i="14"/>
  <c r="U505" i="14" s="1"/>
  <c r="R505" i="14"/>
  <c r="S505" i="14" s="1"/>
  <c r="Q505" i="14"/>
  <c r="P505" i="14"/>
  <c r="N505" i="14"/>
  <c r="O505" i="14" s="1"/>
  <c r="L505" i="14"/>
  <c r="M505" i="14" s="1"/>
  <c r="V504" i="14"/>
  <c r="W504" i="14" s="1"/>
  <c r="T504" i="14"/>
  <c r="U504" i="14" s="1"/>
  <c r="R504" i="14"/>
  <c r="S504" i="14" s="1"/>
  <c r="P504" i="14"/>
  <c r="Q504" i="14" s="1"/>
  <c r="N504" i="14"/>
  <c r="O504" i="14" s="1"/>
  <c r="M504" i="14"/>
  <c r="L504" i="14"/>
  <c r="V503" i="14"/>
  <c r="W503" i="14" s="1"/>
  <c r="T503" i="14"/>
  <c r="U503" i="14" s="1"/>
  <c r="R503" i="14"/>
  <c r="S503" i="14" s="1"/>
  <c r="P503" i="14"/>
  <c r="Q503" i="14" s="1"/>
  <c r="N503" i="14"/>
  <c r="O503" i="14" s="1"/>
  <c r="L503" i="14"/>
  <c r="M503" i="14" s="1"/>
  <c r="V502" i="14"/>
  <c r="W502" i="14" s="1"/>
  <c r="U502" i="14"/>
  <c r="T502" i="14"/>
  <c r="R502" i="14"/>
  <c r="S502" i="14" s="1"/>
  <c r="P502" i="14"/>
  <c r="Q502" i="14" s="1"/>
  <c r="N502" i="14"/>
  <c r="O502" i="14" s="1"/>
  <c r="L502" i="14"/>
  <c r="M502" i="14" s="1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P500" i="14"/>
  <c r="Q500" i="14" s="1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L499" i="14"/>
  <c r="M499" i="14" s="1"/>
  <c r="V498" i="14"/>
  <c r="W498" i="14" s="1"/>
  <c r="U498" i="14"/>
  <c r="T498" i="14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L495" i="14"/>
  <c r="M495" i="14" s="1"/>
  <c r="V494" i="14"/>
  <c r="W494" i="14" s="1"/>
  <c r="U494" i="14"/>
  <c r="T494" i="14"/>
  <c r="R494" i="14"/>
  <c r="S494" i="14" s="1"/>
  <c r="P494" i="14"/>
  <c r="Q494" i="14" s="1"/>
  <c r="N494" i="14"/>
  <c r="O494" i="14" s="1"/>
  <c r="M494" i="14"/>
  <c r="L494" i="14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R121" i="14"/>
  <c r="S121" i="14" s="1"/>
  <c r="Q121" i="14"/>
  <c r="P121" i="14"/>
  <c r="N121" i="14"/>
  <c r="O121" i="14" s="1"/>
  <c r="M121" i="14"/>
  <c r="L121" i="14"/>
  <c r="V120" i="14"/>
  <c r="W120" i="14" s="1"/>
  <c r="U120" i="14"/>
  <c r="T120" i="14"/>
  <c r="R120" i="14"/>
  <c r="S120" i="14" s="1"/>
  <c r="Q120" i="14"/>
  <c r="P120" i="14"/>
  <c r="N120" i="14"/>
  <c r="O120" i="14" s="1"/>
  <c r="M120" i="14"/>
  <c r="L120" i="14"/>
  <c r="V119" i="14"/>
  <c r="W119" i="14" s="1"/>
  <c r="U119" i="14"/>
  <c r="T119" i="14"/>
  <c r="R119" i="14"/>
  <c r="S119" i="14" s="1"/>
  <c r="Q119" i="14"/>
  <c r="P119" i="14"/>
  <c r="N119" i="14"/>
  <c r="O119" i="14" s="1"/>
  <c r="M119" i="14"/>
  <c r="L119" i="14"/>
  <c r="V118" i="14"/>
  <c r="W118" i="14" s="1"/>
  <c r="U118" i="14"/>
  <c r="T118" i="14"/>
  <c r="R118" i="14"/>
  <c r="S118" i="14" s="1"/>
  <c r="Q118" i="14"/>
  <c r="P118" i="14"/>
  <c r="N118" i="14"/>
  <c r="O118" i="14" s="1"/>
  <c r="M118" i="14"/>
  <c r="L118" i="14"/>
  <c r="V117" i="14"/>
  <c r="W117" i="14" s="1"/>
  <c r="U117" i="14"/>
  <c r="T117" i="14"/>
  <c r="R117" i="14"/>
  <c r="S117" i="14" s="1"/>
  <c r="Q117" i="14"/>
  <c r="P117" i="14"/>
  <c r="N117" i="14"/>
  <c r="O117" i="14" s="1"/>
  <c r="M117" i="14"/>
  <c r="L117" i="14"/>
  <c r="V116" i="14"/>
  <c r="W116" i="14" s="1"/>
  <c r="U116" i="14"/>
  <c r="T116" i="14"/>
  <c r="R116" i="14"/>
  <c r="S116" i="14" s="1"/>
  <c r="Q116" i="14"/>
  <c r="P116" i="14"/>
  <c r="N116" i="14"/>
  <c r="O116" i="14" s="1"/>
  <c r="M116" i="14"/>
  <c r="L116" i="14"/>
  <c r="V115" i="14"/>
  <c r="W115" i="14" s="1"/>
  <c r="U115" i="14"/>
  <c r="T115" i="14"/>
  <c r="R115" i="14"/>
  <c r="S115" i="14" s="1"/>
  <c r="Q115" i="14"/>
  <c r="P115" i="14"/>
  <c r="N115" i="14"/>
  <c r="O115" i="14" s="1"/>
  <c r="M115" i="14"/>
  <c r="L115" i="14"/>
  <c r="V114" i="14"/>
  <c r="W114" i="14" s="1"/>
  <c r="U114" i="14"/>
  <c r="T114" i="14"/>
  <c r="R114" i="14"/>
  <c r="S114" i="14" s="1"/>
  <c r="Q114" i="14"/>
  <c r="P114" i="14"/>
  <c r="N114" i="14"/>
  <c r="O114" i="14" s="1"/>
  <c r="M114" i="14"/>
  <c r="L114" i="14"/>
  <c r="V113" i="14"/>
  <c r="W113" i="14" s="1"/>
  <c r="U113" i="14"/>
  <c r="T113" i="14"/>
  <c r="R113" i="14"/>
  <c r="S113" i="14" s="1"/>
  <c r="Q113" i="14"/>
  <c r="P113" i="14"/>
  <c r="N113" i="14"/>
  <c r="O113" i="14" s="1"/>
  <c r="M113" i="14"/>
  <c r="L113" i="14"/>
  <c r="V112" i="14"/>
  <c r="W112" i="14" s="1"/>
  <c r="U112" i="14"/>
  <c r="T112" i="14"/>
  <c r="R112" i="14"/>
  <c r="S112" i="14" s="1"/>
  <c r="Q112" i="14"/>
  <c r="P112" i="14"/>
  <c r="N112" i="14"/>
  <c r="O112" i="14" s="1"/>
  <c r="M112" i="14"/>
  <c r="L112" i="14"/>
  <c r="V111" i="14"/>
  <c r="W111" i="14" s="1"/>
  <c r="U111" i="14"/>
  <c r="T111" i="14"/>
  <c r="R111" i="14"/>
  <c r="S111" i="14" s="1"/>
  <c r="Q111" i="14"/>
  <c r="P111" i="14"/>
  <c r="N111" i="14"/>
  <c r="O111" i="14" s="1"/>
  <c r="M111" i="14"/>
  <c r="L111" i="14"/>
  <c r="V110" i="14"/>
  <c r="W110" i="14" s="1"/>
  <c r="U110" i="14"/>
  <c r="T110" i="14"/>
  <c r="R110" i="14"/>
  <c r="S110" i="14" s="1"/>
  <c r="Q110" i="14"/>
  <c r="P110" i="14"/>
  <c r="N110" i="14"/>
  <c r="O110" i="14" s="1"/>
  <c r="M110" i="14"/>
  <c r="L110" i="14"/>
  <c r="V109" i="14"/>
  <c r="W109" i="14" s="1"/>
  <c r="U109" i="14"/>
  <c r="T109" i="14"/>
  <c r="R109" i="14"/>
  <c r="S109" i="14" s="1"/>
  <c r="Q109" i="14"/>
  <c r="P109" i="14"/>
  <c r="N109" i="14"/>
  <c r="O109" i="14" s="1"/>
  <c r="M109" i="14"/>
  <c r="L109" i="14"/>
  <c r="V108" i="14"/>
  <c r="W108" i="14" s="1"/>
  <c r="U108" i="14"/>
  <c r="T108" i="14"/>
  <c r="R108" i="14"/>
  <c r="S108" i="14" s="1"/>
  <c r="Q108" i="14"/>
  <c r="P108" i="14"/>
  <c r="N108" i="14"/>
  <c r="O108" i="14" s="1"/>
  <c r="M108" i="14"/>
  <c r="L108" i="14"/>
  <c r="V107" i="14"/>
  <c r="W107" i="14" s="1"/>
  <c r="U107" i="14"/>
  <c r="T107" i="14"/>
  <c r="R107" i="14"/>
  <c r="S107" i="14" s="1"/>
  <c r="Q107" i="14"/>
  <c r="P107" i="14"/>
  <c r="N107" i="14"/>
  <c r="O107" i="14" s="1"/>
  <c r="M107" i="14"/>
  <c r="L107" i="14"/>
  <c r="V106" i="14"/>
  <c r="W106" i="14" s="1"/>
  <c r="U106" i="14"/>
  <c r="T106" i="14"/>
  <c r="R106" i="14"/>
  <c r="S106" i="14" s="1"/>
  <c r="Q106" i="14"/>
  <c r="P106" i="14"/>
  <c r="N106" i="14"/>
  <c r="O106" i="14" s="1"/>
  <c r="M106" i="14"/>
  <c r="L106" i="14"/>
  <c r="V105" i="14"/>
  <c r="W105" i="14" s="1"/>
  <c r="U105" i="14"/>
  <c r="T105" i="14"/>
  <c r="R105" i="14"/>
  <c r="S105" i="14" s="1"/>
  <c r="Q105" i="14"/>
  <c r="P105" i="14"/>
  <c r="N105" i="14"/>
  <c r="O105" i="14" s="1"/>
  <c r="M105" i="14"/>
  <c r="L105" i="14"/>
  <c r="V104" i="14"/>
  <c r="W104" i="14" s="1"/>
  <c r="U104" i="14"/>
  <c r="T104" i="14"/>
  <c r="R104" i="14"/>
  <c r="S104" i="14" s="1"/>
  <c r="Q104" i="14"/>
  <c r="P104" i="14"/>
  <c r="N104" i="14"/>
  <c r="O104" i="14" s="1"/>
  <c r="M104" i="14"/>
  <c r="L104" i="14"/>
  <c r="V103" i="14"/>
  <c r="W103" i="14" s="1"/>
  <c r="U103" i="14"/>
  <c r="T103" i="14"/>
  <c r="R103" i="14"/>
  <c r="S103" i="14" s="1"/>
  <c r="Q103" i="14"/>
  <c r="P103" i="14"/>
  <c r="N103" i="14"/>
  <c r="O103" i="14" s="1"/>
  <c r="M103" i="14"/>
  <c r="L103" i="14"/>
  <c r="V102" i="14"/>
  <c r="W102" i="14" s="1"/>
  <c r="U102" i="14"/>
  <c r="T102" i="14"/>
  <c r="R102" i="14"/>
  <c r="S102" i="14" s="1"/>
  <c r="Q102" i="14"/>
  <c r="P102" i="14"/>
  <c r="N102" i="14"/>
  <c r="O102" i="14" s="1"/>
  <c r="M102" i="14"/>
  <c r="L102" i="14"/>
  <c r="V101" i="14"/>
  <c r="W101" i="14" s="1"/>
  <c r="U101" i="14"/>
  <c r="T101" i="14"/>
  <c r="R101" i="14"/>
  <c r="S101" i="14" s="1"/>
  <c r="Q101" i="14"/>
  <c r="P101" i="14"/>
  <c r="N101" i="14"/>
  <c r="O101" i="14" s="1"/>
  <c r="M101" i="14"/>
  <c r="L101" i="14"/>
  <c r="V100" i="14"/>
  <c r="W100" i="14" s="1"/>
  <c r="U100" i="14"/>
  <c r="T100" i="14"/>
  <c r="R100" i="14"/>
  <c r="S100" i="14" s="1"/>
  <c r="Q100" i="14"/>
  <c r="P100" i="14"/>
  <c r="N100" i="14"/>
  <c r="O100" i="14" s="1"/>
  <c r="M100" i="14"/>
  <c r="L100" i="14"/>
  <c r="V99" i="14"/>
  <c r="W99" i="14" s="1"/>
  <c r="U99" i="14"/>
  <c r="T99" i="14"/>
  <c r="R99" i="14"/>
  <c r="S99" i="14" s="1"/>
  <c r="Q99" i="14"/>
  <c r="P99" i="14"/>
  <c r="N99" i="14"/>
  <c r="O99" i="14" s="1"/>
  <c r="M99" i="14"/>
  <c r="L99" i="14"/>
  <c r="V98" i="14"/>
  <c r="W98" i="14" s="1"/>
  <c r="U98" i="14"/>
  <c r="T98" i="14"/>
  <c r="R98" i="14"/>
  <c r="S98" i="14" s="1"/>
  <c r="Q98" i="14"/>
  <c r="P98" i="14"/>
  <c r="N98" i="14"/>
  <c r="O98" i="14" s="1"/>
  <c r="M98" i="14"/>
  <c r="L98" i="14"/>
  <c r="V97" i="14"/>
  <c r="W97" i="14" s="1"/>
  <c r="U97" i="14"/>
  <c r="T97" i="14"/>
  <c r="R97" i="14"/>
  <c r="S97" i="14" s="1"/>
  <c r="Q97" i="14"/>
  <c r="P97" i="14"/>
  <c r="N97" i="14"/>
  <c r="O97" i="14" s="1"/>
  <c r="M97" i="14"/>
  <c r="L97" i="14"/>
  <c r="V96" i="14"/>
  <c r="W96" i="14" s="1"/>
  <c r="U96" i="14"/>
  <c r="T96" i="14"/>
  <c r="R96" i="14"/>
  <c r="S96" i="14" s="1"/>
  <c r="Q96" i="14"/>
  <c r="P96" i="14"/>
  <c r="N96" i="14"/>
  <c r="O96" i="14" s="1"/>
  <c r="M96" i="14"/>
  <c r="L96" i="14"/>
  <c r="V95" i="14"/>
  <c r="W95" i="14" s="1"/>
  <c r="U95" i="14"/>
  <c r="T95" i="14"/>
  <c r="R95" i="14"/>
  <c r="S95" i="14" s="1"/>
  <c r="Q95" i="14"/>
  <c r="P95" i="14"/>
  <c r="N95" i="14"/>
  <c r="O95" i="14" s="1"/>
  <c r="M95" i="14"/>
  <c r="L95" i="14"/>
  <c r="V94" i="14"/>
  <c r="W94" i="14" s="1"/>
  <c r="U94" i="14"/>
  <c r="T94" i="14"/>
  <c r="R94" i="14"/>
  <c r="S94" i="14" s="1"/>
  <c r="Q94" i="14"/>
  <c r="P94" i="14"/>
  <c r="N94" i="14"/>
  <c r="O94" i="14" s="1"/>
  <c r="M94" i="14"/>
  <c r="L94" i="14"/>
  <c r="V93" i="14"/>
  <c r="W93" i="14" s="1"/>
  <c r="U93" i="14"/>
  <c r="T93" i="14"/>
  <c r="R93" i="14"/>
  <c r="S93" i="14" s="1"/>
  <c r="Q93" i="14"/>
  <c r="P93" i="14"/>
  <c r="N93" i="14"/>
  <c r="O93" i="14" s="1"/>
  <c r="M93" i="14"/>
  <c r="L93" i="14"/>
  <c r="V92" i="14"/>
  <c r="W92" i="14" s="1"/>
  <c r="U92" i="14"/>
  <c r="T92" i="14"/>
  <c r="R92" i="14"/>
  <c r="S92" i="14" s="1"/>
  <c r="Q92" i="14"/>
  <c r="P92" i="14"/>
  <c r="N92" i="14"/>
  <c r="O92" i="14" s="1"/>
  <c r="M92" i="14"/>
  <c r="L92" i="14"/>
  <c r="V91" i="14"/>
  <c r="W91" i="14" s="1"/>
  <c r="U91" i="14"/>
  <c r="T91" i="14"/>
  <c r="R91" i="14"/>
  <c r="S91" i="14" s="1"/>
  <c r="Q91" i="14"/>
  <c r="P91" i="14"/>
  <c r="N91" i="14"/>
  <c r="O91" i="14" s="1"/>
  <c r="M91" i="14"/>
  <c r="L91" i="14"/>
  <c r="V90" i="14"/>
  <c r="W90" i="14" s="1"/>
  <c r="U90" i="14"/>
  <c r="T90" i="14"/>
  <c r="R90" i="14"/>
  <c r="S90" i="14" s="1"/>
  <c r="Q90" i="14"/>
  <c r="P90" i="14"/>
  <c r="N90" i="14"/>
  <c r="O90" i="14" s="1"/>
  <c r="M90" i="14"/>
  <c r="L90" i="14"/>
  <c r="V89" i="14"/>
  <c r="W89" i="14" s="1"/>
  <c r="U89" i="14"/>
  <c r="T89" i="14"/>
  <c r="R89" i="14"/>
  <c r="S89" i="14" s="1"/>
  <c r="Q89" i="14"/>
  <c r="P89" i="14"/>
  <c r="N89" i="14"/>
  <c r="O89" i="14" s="1"/>
  <c r="M89" i="14"/>
  <c r="L89" i="14"/>
  <c r="V88" i="14"/>
  <c r="W88" i="14" s="1"/>
  <c r="U88" i="14"/>
  <c r="T88" i="14"/>
  <c r="R88" i="14"/>
  <c r="S88" i="14" s="1"/>
  <c r="Q88" i="14"/>
  <c r="P88" i="14"/>
  <c r="N88" i="14"/>
  <c r="O88" i="14" s="1"/>
  <c r="M88" i="14"/>
  <c r="L88" i="14"/>
  <c r="V87" i="14"/>
  <c r="W87" i="14" s="1"/>
  <c r="U87" i="14"/>
  <c r="T87" i="14"/>
  <c r="R87" i="14"/>
  <c r="S87" i="14" s="1"/>
  <c r="Q87" i="14"/>
  <c r="P87" i="14"/>
  <c r="N87" i="14"/>
  <c r="O87" i="14" s="1"/>
  <c r="M87" i="14"/>
  <c r="L87" i="14"/>
  <c r="V86" i="14"/>
  <c r="W86" i="14" s="1"/>
  <c r="U86" i="14"/>
  <c r="T86" i="14"/>
  <c r="R86" i="14"/>
  <c r="S86" i="14" s="1"/>
  <c r="Q86" i="14"/>
  <c r="P86" i="14"/>
  <c r="N86" i="14"/>
  <c r="O86" i="14" s="1"/>
  <c r="M86" i="14"/>
  <c r="L86" i="14"/>
  <c r="V85" i="14"/>
  <c r="W85" i="14" s="1"/>
  <c r="U85" i="14"/>
  <c r="T85" i="14"/>
  <c r="R85" i="14"/>
  <c r="S85" i="14" s="1"/>
  <c r="Q85" i="14"/>
  <c r="P85" i="14"/>
  <c r="N85" i="14"/>
  <c r="O85" i="14" s="1"/>
  <c r="M85" i="14"/>
  <c r="L85" i="14"/>
  <c r="V84" i="14"/>
  <c r="W84" i="14" s="1"/>
  <c r="U84" i="14"/>
  <c r="T84" i="14"/>
  <c r="R84" i="14"/>
  <c r="S84" i="14" s="1"/>
  <c r="Q84" i="14"/>
  <c r="P84" i="14"/>
  <c r="N84" i="14"/>
  <c r="O84" i="14" s="1"/>
  <c r="M84" i="14"/>
  <c r="L84" i="14"/>
  <c r="V83" i="14"/>
  <c r="W83" i="14" s="1"/>
  <c r="U83" i="14"/>
  <c r="T83" i="14"/>
  <c r="R83" i="14"/>
  <c r="S83" i="14" s="1"/>
  <c r="Q83" i="14"/>
  <c r="P83" i="14"/>
  <c r="N83" i="14"/>
  <c r="O83" i="14" s="1"/>
  <c r="M83" i="14"/>
  <c r="L83" i="14"/>
  <c r="V82" i="14"/>
  <c r="W82" i="14" s="1"/>
  <c r="U82" i="14"/>
  <c r="T82" i="14"/>
  <c r="R82" i="14"/>
  <c r="S82" i="14" s="1"/>
  <c r="Q82" i="14"/>
  <c r="P82" i="14"/>
  <c r="N82" i="14"/>
  <c r="O82" i="14" s="1"/>
  <c r="M82" i="14"/>
  <c r="L82" i="14"/>
  <c r="V81" i="14"/>
  <c r="W81" i="14" s="1"/>
  <c r="U81" i="14"/>
  <c r="T81" i="14"/>
  <c r="R81" i="14"/>
  <c r="S81" i="14" s="1"/>
  <c r="Q81" i="14"/>
  <c r="P81" i="14"/>
  <c r="N81" i="14"/>
  <c r="O81" i="14" s="1"/>
  <c r="M81" i="14"/>
  <c r="L81" i="14"/>
  <c r="V80" i="14"/>
  <c r="W80" i="14" s="1"/>
  <c r="U80" i="14"/>
  <c r="T80" i="14"/>
  <c r="R80" i="14"/>
  <c r="S80" i="14" s="1"/>
  <c r="Q80" i="14"/>
  <c r="P80" i="14"/>
  <c r="N80" i="14"/>
  <c r="O80" i="14" s="1"/>
  <c r="M80" i="14"/>
  <c r="L80" i="14"/>
  <c r="V79" i="14"/>
  <c r="W79" i="14" s="1"/>
  <c r="U79" i="14"/>
  <c r="T79" i="14"/>
  <c r="R79" i="14"/>
  <c r="S79" i="14" s="1"/>
  <c r="Q79" i="14"/>
  <c r="P79" i="14"/>
  <c r="N79" i="14"/>
  <c r="O79" i="14" s="1"/>
  <c r="M79" i="14"/>
  <c r="L79" i="14"/>
  <c r="V78" i="14"/>
  <c r="W78" i="14" s="1"/>
  <c r="U78" i="14"/>
  <c r="T78" i="14"/>
  <c r="R78" i="14"/>
  <c r="S78" i="14" s="1"/>
  <c r="Q78" i="14"/>
  <c r="P78" i="14"/>
  <c r="N78" i="14"/>
  <c r="O78" i="14" s="1"/>
  <c r="M78" i="14"/>
  <c r="L78" i="14"/>
  <c r="V77" i="14"/>
  <c r="W77" i="14" s="1"/>
  <c r="U77" i="14"/>
  <c r="T77" i="14"/>
  <c r="R77" i="14"/>
  <c r="S77" i="14" s="1"/>
  <c r="Q77" i="14"/>
  <c r="P77" i="14"/>
  <c r="N77" i="14"/>
  <c r="O77" i="14" s="1"/>
  <c r="M77" i="14"/>
  <c r="L77" i="14"/>
  <c r="V76" i="14"/>
  <c r="W76" i="14" s="1"/>
  <c r="U76" i="14"/>
  <c r="T76" i="14"/>
  <c r="R76" i="14"/>
  <c r="S76" i="14" s="1"/>
  <c r="Q76" i="14"/>
  <c r="P76" i="14"/>
  <c r="N76" i="14"/>
  <c r="O76" i="14" s="1"/>
  <c r="M76" i="14"/>
  <c r="L76" i="14"/>
  <c r="V75" i="14"/>
  <c r="W75" i="14" s="1"/>
  <c r="U75" i="14"/>
  <c r="T75" i="14"/>
  <c r="R75" i="14"/>
  <c r="S75" i="14" s="1"/>
  <c r="Q75" i="14"/>
  <c r="P75" i="14"/>
  <c r="N75" i="14"/>
  <c r="O75" i="14" s="1"/>
  <c r="M75" i="14"/>
  <c r="L75" i="14"/>
  <c r="V74" i="14"/>
  <c r="W74" i="14" s="1"/>
  <c r="U74" i="14"/>
  <c r="T74" i="14"/>
  <c r="R74" i="14"/>
  <c r="S74" i="14" s="1"/>
  <c r="Q74" i="14"/>
  <c r="P74" i="14"/>
  <c r="N74" i="14"/>
  <c r="O74" i="14" s="1"/>
  <c r="M74" i="14"/>
  <c r="L74" i="14"/>
  <c r="V73" i="14"/>
  <c r="W73" i="14" s="1"/>
  <c r="U73" i="14"/>
  <c r="T73" i="14"/>
  <c r="R73" i="14"/>
  <c r="S73" i="14" s="1"/>
  <c r="Q73" i="14"/>
  <c r="P73" i="14"/>
  <c r="N73" i="14"/>
  <c r="O73" i="14" s="1"/>
  <c r="M73" i="14"/>
  <c r="L73" i="14"/>
  <c r="V72" i="14"/>
  <c r="W72" i="14" s="1"/>
  <c r="U72" i="14"/>
  <c r="T72" i="14"/>
  <c r="R72" i="14"/>
  <c r="S72" i="14" s="1"/>
  <c r="Q72" i="14"/>
  <c r="P72" i="14"/>
  <c r="N72" i="14"/>
  <c r="O72" i="14" s="1"/>
  <c r="M72" i="14"/>
  <c r="L72" i="14"/>
  <c r="V71" i="14"/>
  <c r="W71" i="14" s="1"/>
  <c r="U71" i="14"/>
  <c r="T71" i="14"/>
  <c r="R71" i="14"/>
  <c r="S71" i="14" s="1"/>
  <c r="Q71" i="14"/>
  <c r="P71" i="14"/>
  <c r="N71" i="14"/>
  <c r="O71" i="14" s="1"/>
  <c r="M71" i="14"/>
  <c r="L71" i="14"/>
  <c r="V70" i="14"/>
  <c r="W70" i="14" s="1"/>
  <c r="U70" i="14"/>
  <c r="T70" i="14"/>
  <c r="R70" i="14"/>
  <c r="S70" i="14" s="1"/>
  <c r="Q70" i="14"/>
  <c r="P70" i="14"/>
  <c r="N70" i="14"/>
  <c r="O70" i="14" s="1"/>
  <c r="M70" i="14"/>
  <c r="L70" i="14"/>
  <c r="V69" i="14"/>
  <c r="W69" i="14" s="1"/>
  <c r="U69" i="14"/>
  <c r="T69" i="14"/>
  <c r="R69" i="14"/>
  <c r="S69" i="14" s="1"/>
  <c r="Q69" i="14"/>
  <c r="P69" i="14"/>
  <c r="N69" i="14"/>
  <c r="O69" i="14" s="1"/>
  <c r="M69" i="14"/>
  <c r="L69" i="14"/>
  <c r="V68" i="14"/>
  <c r="W68" i="14" s="1"/>
  <c r="U68" i="14"/>
  <c r="T68" i="14"/>
  <c r="R68" i="14"/>
  <c r="S68" i="14" s="1"/>
  <c r="Q68" i="14"/>
  <c r="P68" i="14"/>
  <c r="N68" i="14"/>
  <c r="O68" i="14" s="1"/>
  <c r="M68" i="14"/>
  <c r="L68" i="14"/>
  <c r="V67" i="14"/>
  <c r="W67" i="14" s="1"/>
  <c r="U67" i="14"/>
  <c r="T67" i="14"/>
  <c r="R67" i="14"/>
  <c r="S67" i="14" s="1"/>
  <c r="Q67" i="14"/>
  <c r="P67" i="14"/>
  <c r="N67" i="14"/>
  <c r="O67" i="14" s="1"/>
  <c r="M67" i="14"/>
  <c r="L67" i="14"/>
  <c r="V66" i="14"/>
  <c r="W66" i="14" s="1"/>
  <c r="U66" i="14"/>
  <c r="T66" i="14"/>
  <c r="R66" i="14"/>
  <c r="S66" i="14" s="1"/>
  <c r="Q66" i="14"/>
  <c r="P66" i="14"/>
  <c r="N66" i="14"/>
  <c r="O66" i="14" s="1"/>
  <c r="M66" i="14"/>
  <c r="L66" i="14"/>
  <c r="V65" i="14"/>
  <c r="W65" i="14" s="1"/>
  <c r="U65" i="14"/>
  <c r="T65" i="14"/>
  <c r="R65" i="14"/>
  <c r="S65" i="14" s="1"/>
  <c r="Q65" i="14"/>
  <c r="P65" i="14"/>
  <c r="N65" i="14"/>
  <c r="O65" i="14" s="1"/>
  <c r="M65" i="14"/>
  <c r="L65" i="14"/>
  <c r="V64" i="14"/>
  <c r="W64" i="14" s="1"/>
  <c r="U64" i="14"/>
  <c r="T64" i="14"/>
  <c r="R64" i="14"/>
  <c r="S64" i="14" s="1"/>
  <c r="Q64" i="14"/>
  <c r="P64" i="14"/>
  <c r="N64" i="14"/>
  <c r="O64" i="14" s="1"/>
  <c r="M64" i="14"/>
  <c r="L64" i="14"/>
  <c r="V63" i="14"/>
  <c r="W63" i="14" s="1"/>
  <c r="U63" i="14"/>
  <c r="T63" i="14"/>
  <c r="R63" i="14"/>
  <c r="S63" i="14" s="1"/>
  <c r="Q63" i="14"/>
  <c r="P63" i="14"/>
  <c r="N63" i="14"/>
  <c r="O63" i="14" s="1"/>
  <c r="M63" i="14"/>
  <c r="L63" i="14"/>
  <c r="V62" i="14"/>
  <c r="W62" i="14" s="1"/>
  <c r="U62" i="14"/>
  <c r="T62" i="14"/>
  <c r="R62" i="14"/>
  <c r="S62" i="14" s="1"/>
  <c r="Q62" i="14"/>
  <c r="P62" i="14"/>
  <c r="N62" i="14"/>
  <c r="O62" i="14" s="1"/>
  <c r="M62" i="14"/>
  <c r="L62" i="14"/>
  <c r="V61" i="14"/>
  <c r="W61" i="14" s="1"/>
  <c r="U61" i="14"/>
  <c r="T61" i="14"/>
  <c r="R61" i="14"/>
  <c r="S61" i="14" s="1"/>
  <c r="Q61" i="14"/>
  <c r="P61" i="14"/>
  <c r="N61" i="14"/>
  <c r="O61" i="14" s="1"/>
  <c r="M61" i="14"/>
  <c r="L61" i="14"/>
  <c r="V60" i="14"/>
  <c r="W60" i="14" s="1"/>
  <c r="U60" i="14"/>
  <c r="T60" i="14"/>
  <c r="R60" i="14"/>
  <c r="S60" i="14" s="1"/>
  <c r="Q60" i="14"/>
  <c r="P60" i="14"/>
  <c r="N60" i="14"/>
  <c r="O60" i="14" s="1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P24" i="14"/>
  <c r="Q24" i="14" s="1"/>
  <c r="N24" i="14"/>
  <c r="O24" i="14" s="1"/>
  <c r="M24" i="14"/>
  <c r="L24" i="14"/>
  <c r="V23" i="14"/>
  <c r="W23" i="14" s="1"/>
  <c r="U23" i="14"/>
  <c r="T23" i="14"/>
  <c r="R23" i="14"/>
  <c r="S23" i="14" s="1"/>
  <c r="P23" i="14"/>
  <c r="Q23" i="14" s="1"/>
  <c r="N23" i="14"/>
  <c r="O23" i="14" s="1"/>
  <c r="L23" i="14"/>
  <c r="M23" i="14" s="1"/>
  <c r="V22" i="14"/>
  <c r="W22" i="14" s="1"/>
  <c r="U22" i="14"/>
  <c r="T22" i="14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O14" i="14"/>
  <c r="N14" i="14"/>
  <c r="L14" i="14"/>
  <c r="M14" i="14" s="1"/>
  <c r="V13" i="14"/>
  <c r="W13" i="14" s="1"/>
  <c r="T13" i="14"/>
  <c r="U13" i="14" s="1"/>
  <c r="S13" i="14"/>
  <c r="R13" i="14"/>
  <c r="P13" i="14"/>
  <c r="Q13" i="14" s="1"/>
  <c r="O13" i="14"/>
  <c r="N13" i="14"/>
  <c r="L13" i="14"/>
  <c r="M13" i="14" s="1"/>
  <c r="V12" i="14"/>
  <c r="W12" i="14" s="1"/>
  <c r="T12" i="14"/>
  <c r="U12" i="14" s="1"/>
  <c r="R12" i="14"/>
  <c r="S12" i="14" s="1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W10" i="14"/>
  <c r="V10" i="14"/>
  <c r="T10" i="14"/>
  <c r="U10" i="14" s="1"/>
  <c r="S10" i="14"/>
  <c r="R10" i="14"/>
  <c r="P10" i="14"/>
  <c r="Q10" i="14" s="1"/>
  <c r="N10" i="14"/>
  <c r="O10" i="14" s="1"/>
  <c r="L10" i="14"/>
  <c r="M10" i="14" s="1"/>
  <c r="V9" i="14"/>
  <c r="W9" i="14" s="1"/>
  <c r="T9" i="14"/>
  <c r="U9" i="14" s="1"/>
  <c r="S9" i="14"/>
  <c r="R9" i="14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O8" i="14"/>
  <c r="N8" i="14"/>
  <c r="L8" i="14"/>
  <c r="M8" i="14" s="1"/>
  <c r="W7" i="14"/>
  <c r="V7" i="14"/>
  <c r="T7" i="14"/>
  <c r="U7" i="14" s="1"/>
  <c r="R7" i="14"/>
  <c r="S7" i="14" s="1"/>
  <c r="P7" i="14"/>
  <c r="Q7" i="14" s="1"/>
  <c r="N7" i="14"/>
  <c r="O7" i="14" s="1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O5" i="14"/>
  <c r="N5" i="14"/>
  <c r="L5" i="14"/>
  <c r="M5" i="14" s="1"/>
  <c r="V4" i="14"/>
  <c r="W4" i="14" s="1"/>
  <c r="T4" i="14"/>
  <c r="U4" i="14" s="1"/>
  <c r="R4" i="14"/>
  <c r="S4" i="14" s="1"/>
  <c r="P4" i="14"/>
  <c r="Q4" i="14" s="1"/>
  <c r="O4" i="14"/>
  <c r="N4" i="14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399" i="5" l="1"/>
  <c r="W537" i="5"/>
  <c r="W548" i="5"/>
  <c r="W10" i="5"/>
  <c r="BI10" i="17"/>
  <c r="BL10" i="17" s="1"/>
  <c r="BI11" i="17"/>
  <c r="BL11" i="17" s="1"/>
  <c r="M18" i="5"/>
  <c r="AJ19" i="17" s="1"/>
  <c r="AM19" i="17" s="1"/>
  <c r="W22" i="5"/>
  <c r="BI23" i="17"/>
  <c r="BL23" i="17" s="1"/>
  <c r="O26" i="5"/>
  <c r="AO27" i="17" s="1"/>
  <c r="AR27" i="17" s="1"/>
  <c r="W30" i="5"/>
  <c r="BI31" i="17"/>
  <c r="BL31" i="17" s="1"/>
  <c r="M37" i="5"/>
  <c r="AJ38" i="17" s="1"/>
  <c r="AM38" i="17" s="1"/>
  <c r="Q42" i="5"/>
  <c r="AT43" i="17" s="1"/>
  <c r="AW43" i="17" s="1"/>
  <c r="W56" i="5"/>
  <c r="BI57" i="17"/>
  <c r="BL57" i="17" s="1"/>
  <c r="W61" i="5"/>
  <c r="BI62" i="17"/>
  <c r="BL62" i="17" s="1"/>
  <c r="Q69" i="5"/>
  <c r="AT70" i="17" s="1"/>
  <c r="AW70" i="17" s="1"/>
  <c r="Q74" i="5"/>
  <c r="AT75" i="17"/>
  <c r="AW75" i="17" s="1"/>
  <c r="Q79" i="5"/>
  <c r="AT80" i="17"/>
  <c r="AW80" i="17" s="1"/>
  <c r="O85" i="5"/>
  <c r="AO86" i="17" s="1"/>
  <c r="AR86" i="17" s="1"/>
  <c r="M91" i="5"/>
  <c r="AJ391" i="17" s="1"/>
  <c r="AM391" i="17" s="1"/>
  <c r="O96" i="5"/>
  <c r="AO97" i="17" s="1"/>
  <c r="AR97" i="17" s="1"/>
  <c r="AO396" i="17"/>
  <c r="AR396" i="17" s="1"/>
  <c r="W103" i="5"/>
  <c r="BI104" i="17"/>
  <c r="BL104" i="17" s="1"/>
  <c r="BI403" i="17"/>
  <c r="BL403" i="17" s="1"/>
  <c r="U110" i="5"/>
  <c r="BD111" i="17"/>
  <c r="BG111" i="17" s="1"/>
  <c r="BD410" i="17"/>
  <c r="BG410" i="17" s="1"/>
  <c r="W116" i="5"/>
  <c r="BI117" i="17"/>
  <c r="BL117" i="17" s="1"/>
  <c r="BI416" i="17"/>
  <c r="BL416" i="17" s="1"/>
  <c r="W123" i="5"/>
  <c r="BI124" i="17"/>
  <c r="BL124" i="17" s="1"/>
  <c r="BI423" i="17"/>
  <c r="BL423" i="17" s="1"/>
  <c r="U129" i="5"/>
  <c r="BD130" i="17"/>
  <c r="BG130" i="17" s="1"/>
  <c r="BD429" i="17"/>
  <c r="BG429" i="17" s="1"/>
  <c r="O137" i="5"/>
  <c r="AO138" i="17" s="1"/>
  <c r="AR138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W168" i="5"/>
  <c r="BI169" i="17"/>
  <c r="BL169" i="17" s="1"/>
  <c r="BI468" i="17"/>
  <c r="BL468" i="17" s="1"/>
  <c r="U174" i="5"/>
  <c r="BD175" i="17"/>
  <c r="BG175" i="17" s="1"/>
  <c r="BD474" i="17"/>
  <c r="BG474" i="17" s="1"/>
  <c r="BI181" i="17"/>
  <c r="BL181" i="17" s="1"/>
  <c r="BI480" i="17"/>
  <c r="BL480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O196" i="5"/>
  <c r="AO197" i="17"/>
  <c r="AR197" i="17" s="1"/>
  <c r="AO496" i="17"/>
  <c r="AR496" i="17" s="1"/>
  <c r="O200" i="5"/>
  <c r="AO201" i="17"/>
  <c r="AR201" i="17" s="1"/>
  <c r="AO500" i="17"/>
  <c r="AR500" i="17" s="1"/>
  <c r="W208" i="5"/>
  <c r="BI209" i="17"/>
  <c r="BL209" i="17" s="1"/>
  <c r="BI508" i="17"/>
  <c r="BL508" i="17" s="1"/>
  <c r="W218" i="5"/>
  <c r="BI219" i="17"/>
  <c r="BL219" i="17" s="1"/>
  <c r="BI518" i="17"/>
  <c r="BL518" i="17" s="1"/>
  <c r="W223" i="5"/>
  <c r="BI224" i="17"/>
  <c r="BL224" i="17" s="1"/>
  <c r="BI523" i="17"/>
  <c r="BL523" i="17" s="1"/>
  <c r="W234" i="5"/>
  <c r="BI235" i="17"/>
  <c r="BL235" i="17" s="1"/>
  <c r="BI534" i="17"/>
  <c r="BL534" i="17" s="1"/>
  <c r="W236" i="5"/>
  <c r="BI237" i="17"/>
  <c r="BL237" i="17" s="1"/>
  <c r="BI536" i="17"/>
  <c r="BL536" i="17" s="1"/>
  <c r="W244" i="5"/>
  <c r="BI245" i="17"/>
  <c r="BL245" i="17" s="1"/>
  <c r="BI544" i="17"/>
  <c r="BL544" i="17" s="1"/>
  <c r="W253" i="5"/>
  <c r="BI254" i="17"/>
  <c r="BL254" i="17" s="1"/>
  <c r="BI553" i="17"/>
  <c r="BL553" i="17" s="1"/>
  <c r="U258" i="5"/>
  <c r="BD259" i="17"/>
  <c r="BG259" i="17" s="1"/>
  <c r="BD558" i="17"/>
  <c r="BG558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O276" i="5"/>
  <c r="AO277" i="17"/>
  <c r="AR277" i="17" s="1"/>
  <c r="AO576" i="17"/>
  <c r="AR576" i="17" s="1"/>
  <c r="M288" i="5"/>
  <c r="AJ289" i="17"/>
  <c r="AM289" i="17" s="1"/>
  <c r="AJ588" i="17"/>
  <c r="AM588" i="17" s="1"/>
  <c r="W291" i="5"/>
  <c r="BI292" i="17"/>
  <c r="BL292" i="17" s="1"/>
  <c r="BI591" i="17"/>
  <c r="BL591" i="17" s="1"/>
  <c r="M298" i="5"/>
  <c r="AJ299" i="17"/>
  <c r="AM299" i="17" s="1"/>
  <c r="AJ598" i="17"/>
  <c r="AM598" i="17" s="1"/>
  <c r="Q308" i="5"/>
  <c r="AT309" i="17"/>
  <c r="AW309" i="17" s="1"/>
  <c r="AT608" i="17"/>
  <c r="AW608" i="17" s="1"/>
  <c r="W316" i="5"/>
  <c r="BI317" i="17"/>
  <c r="BL317" i="17" s="1"/>
  <c r="BI616" i="17"/>
  <c r="BL616" i="17" s="1"/>
  <c r="Q325" i="5"/>
  <c r="AT326" i="17"/>
  <c r="AW326" i="17" s="1"/>
  <c r="AT625" i="17"/>
  <c r="AW625" i="17" s="1"/>
  <c r="W332" i="5"/>
  <c r="BI333" i="17"/>
  <c r="BL333" i="17" s="1"/>
  <c r="BI632" i="17"/>
  <c r="BL632" i="17" s="1"/>
  <c r="S341" i="5"/>
  <c r="AY342" i="17"/>
  <c r="BB342" i="17" s="1"/>
  <c r="AY641" i="17"/>
  <c r="BB641" i="17" s="1"/>
  <c r="W348" i="5"/>
  <c r="BI349" i="17"/>
  <c r="BL349" i="17" s="1"/>
  <c r="BI648" i="17"/>
  <c r="BL648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U365" i="5"/>
  <c r="BD366" i="17"/>
  <c r="BG366" i="17" s="1"/>
  <c r="BD665" i="17"/>
  <c r="BG665" i="17" s="1"/>
  <c r="W370" i="5"/>
  <c r="BI371" i="17"/>
  <c r="BL371" i="17" s="1"/>
  <c r="BI670" i="17"/>
  <c r="BL670" i="17" s="1"/>
  <c r="W379" i="5"/>
  <c r="BI380" i="17"/>
  <c r="BL380" i="17" s="1"/>
  <c r="BI679" i="17"/>
  <c r="BL679" i="17" s="1"/>
  <c r="W387" i="5"/>
  <c r="BI687" i="17"/>
  <c r="BL687" i="17" s="1"/>
  <c r="W406" i="5"/>
  <c r="BI706" i="17"/>
  <c r="BL706" i="17" s="1"/>
  <c r="W412" i="5"/>
  <c r="BI712" i="17"/>
  <c r="BL712" i="17" s="1"/>
  <c r="W423" i="5"/>
  <c r="BI723" i="17"/>
  <c r="BL723" i="17" s="1"/>
  <c r="W428" i="5"/>
  <c r="BI728" i="17"/>
  <c r="BL728" i="17" s="1"/>
  <c r="M439" i="5"/>
  <c r="AJ739" i="17"/>
  <c r="AM739" i="17" s="1"/>
  <c r="W445" i="5"/>
  <c r="BI745" i="17"/>
  <c r="BL745" i="17" s="1"/>
  <c r="M452" i="5"/>
  <c r="AJ752" i="17"/>
  <c r="AM752" i="17" s="1"/>
  <c r="W456" i="5"/>
  <c r="BI756" i="17"/>
  <c r="BL756" i="17" s="1"/>
  <c r="W473" i="5"/>
  <c r="BI773" i="17"/>
  <c r="BL773" i="17" s="1"/>
  <c r="W481" i="5"/>
  <c r="BI781" i="17"/>
  <c r="BL781" i="17" s="1"/>
  <c r="W486" i="5"/>
  <c r="BI786" i="17"/>
  <c r="BL786" i="17" s="1"/>
  <c r="O493" i="5"/>
  <c r="AO793" i="17"/>
  <c r="AR793" i="17" s="1"/>
  <c r="W499" i="5"/>
  <c r="BI799" i="17"/>
  <c r="BL799" i="17" s="1"/>
  <c r="W507" i="5"/>
  <c r="BI807" i="17"/>
  <c r="BL807" i="17" s="1"/>
  <c r="W512" i="5"/>
  <c r="BI812" i="17"/>
  <c r="BL812" i="17" s="1"/>
  <c r="M520" i="5"/>
  <c r="AJ820" i="17"/>
  <c r="AM820" i="17" s="1"/>
  <c r="W524" i="5"/>
  <c r="BI824" i="17"/>
  <c r="BL824" i="17" s="1"/>
  <c r="W531" i="5"/>
  <c r="BI831" i="17"/>
  <c r="BL831" i="17" s="1"/>
  <c r="O539" i="5"/>
  <c r="AO839" i="17"/>
  <c r="AR839" i="17" s="1"/>
  <c r="M548" i="5"/>
  <c r="AJ848" i="17"/>
  <c r="AM848" i="17" s="1"/>
  <c r="W550" i="5"/>
  <c r="BI850" i="17"/>
  <c r="BL850" i="17" s="1"/>
  <c r="W558" i="5"/>
  <c r="BI858" i="17"/>
  <c r="BL858" i="17" s="1"/>
  <c r="W567" i="5"/>
  <c r="BI867" i="17"/>
  <c r="BL867" i="17" s="1"/>
  <c r="M576" i="5"/>
  <c r="AJ876" i="17"/>
  <c r="AM876" i="17" s="1"/>
  <c r="W583" i="5"/>
  <c r="BI883" i="17"/>
  <c r="BL883" i="17" s="1"/>
  <c r="W592" i="5"/>
  <c r="BI892" i="17"/>
  <c r="BL892" i="17" s="1"/>
  <c r="W601" i="5"/>
  <c r="BI901" i="17"/>
  <c r="BL901" i="17" s="1"/>
  <c r="W608" i="5"/>
  <c r="BI908" i="17"/>
  <c r="BL908" i="17" s="1"/>
  <c r="W615" i="5"/>
  <c r="BI915" i="17"/>
  <c r="BL915" i="17" s="1"/>
  <c r="W622" i="5"/>
  <c r="BI922" i="17"/>
  <c r="BL922" i="17" s="1"/>
  <c r="O632" i="5"/>
  <c r="AO932" i="17"/>
  <c r="AR932" i="17" s="1"/>
  <c r="M640" i="5"/>
  <c r="AJ940" i="17"/>
  <c r="AM940" i="17" s="1"/>
  <c r="U647" i="5"/>
  <c r="BD947" i="17"/>
  <c r="BG947" i="17" s="1"/>
  <c r="W658" i="5"/>
  <c r="BI958" i="17"/>
  <c r="BL958" i="17" s="1"/>
  <c r="W669" i="5"/>
  <c r="BI969" i="17"/>
  <c r="BL969" i="17" s="1"/>
  <c r="W680" i="5"/>
  <c r="BI980" i="17"/>
  <c r="BL980" i="17" s="1"/>
  <c r="W689" i="5"/>
  <c r="BI989" i="17"/>
  <c r="BL989" i="17" s="1"/>
  <c r="W697" i="5"/>
  <c r="BI997" i="17"/>
  <c r="BL997" i="17" s="1"/>
  <c r="W703" i="5"/>
  <c r="BI1003" i="17"/>
  <c r="BL1003" i="17" s="1"/>
  <c r="W712" i="5"/>
  <c r="BI1012" i="17"/>
  <c r="BL1012" i="17" s="1"/>
  <c r="W721" i="5"/>
  <c r="BI1021" i="17"/>
  <c r="BL1021" i="17" s="1"/>
  <c r="M727" i="5"/>
  <c r="AJ1027" i="17"/>
  <c r="AM1027" i="17" s="1"/>
  <c r="M736" i="5"/>
  <c r="AJ1036" i="17"/>
  <c r="AM1036" i="17" s="1"/>
  <c r="W745" i="5"/>
  <c r="BI1045" i="17"/>
  <c r="BL1045" i="17" s="1"/>
  <c r="W754" i="5"/>
  <c r="BI1054" i="17"/>
  <c r="BL1054" i="17" s="1"/>
  <c r="W760" i="5"/>
  <c r="BI1060" i="17"/>
  <c r="BL1060" i="17" s="1"/>
  <c r="W773" i="5"/>
  <c r="BI1073" i="17"/>
  <c r="BL1073" i="17" s="1"/>
  <c r="W791" i="5"/>
  <c r="BI1091" i="17"/>
  <c r="BL1091" i="17" s="1"/>
  <c r="W806" i="5"/>
  <c r="BI1106" i="17"/>
  <c r="BL1106" i="17" s="1"/>
  <c r="W833" i="5"/>
  <c r="BI1133" i="17"/>
  <c r="BL1133" i="17" s="1"/>
  <c r="W842" i="5"/>
  <c r="BI1142" i="17"/>
  <c r="BL1142" i="17" s="1"/>
  <c r="W849" i="5"/>
  <c r="BI1149" i="17"/>
  <c r="BL1149" i="17" s="1"/>
  <c r="W855" i="5"/>
  <c r="BI1155" i="17"/>
  <c r="BL1155" i="17" s="1"/>
  <c r="M864" i="5"/>
  <c r="AJ1164" i="17"/>
  <c r="AM1164" i="17" s="1"/>
  <c r="W12" i="5"/>
  <c r="BI13" i="17"/>
  <c r="BL13" i="17" s="1"/>
  <c r="W16" i="5"/>
  <c r="BI17" i="17"/>
  <c r="BL17" i="17" s="1"/>
  <c r="W20" i="5"/>
  <c r="BI21" i="17"/>
  <c r="BL21" i="17" s="1"/>
  <c r="U23" i="5"/>
  <c r="BD24" i="17"/>
  <c r="BG24" i="17" s="1"/>
  <c r="W26" i="5"/>
  <c r="BI27" i="17"/>
  <c r="BL27" i="17" s="1"/>
  <c r="W29" i="5"/>
  <c r="BI30" i="17"/>
  <c r="BL30" i="17" s="1"/>
  <c r="W32" i="5"/>
  <c r="BI33" i="17"/>
  <c r="BL33" i="17" s="1"/>
  <c r="W35" i="5"/>
  <c r="BI36" i="17"/>
  <c r="BL36" i="17" s="1"/>
  <c r="Q39" i="5"/>
  <c r="AT40" i="17" s="1"/>
  <c r="AW40" i="17" s="1"/>
  <c r="W41" i="5"/>
  <c r="BI42" i="17"/>
  <c r="BL42" i="17" s="1"/>
  <c r="Q45" i="5"/>
  <c r="AT46" i="17" s="1"/>
  <c r="AW46" i="17" s="1"/>
  <c r="Q49" i="5"/>
  <c r="AT50" i="17"/>
  <c r="AW50" i="17" s="1"/>
  <c r="Q52" i="5"/>
  <c r="AT53" i="17" s="1"/>
  <c r="AW53" i="17" s="1"/>
  <c r="W55" i="5"/>
  <c r="BI56" i="17"/>
  <c r="BL56" i="17" s="1"/>
  <c r="W57" i="5"/>
  <c r="BI58" i="17"/>
  <c r="BL58" i="17" s="1"/>
  <c r="W60" i="5"/>
  <c r="BI61" i="17"/>
  <c r="BL61" i="17" s="1"/>
  <c r="Q66" i="5"/>
  <c r="AT67" i="17" s="1"/>
  <c r="AW67" i="17" s="1"/>
  <c r="O70" i="5"/>
  <c r="AO71" i="17" s="1"/>
  <c r="AR71" i="17" s="1"/>
  <c r="W73" i="5"/>
  <c r="BI74" i="17"/>
  <c r="BL74" i="17" s="1"/>
  <c r="Q76" i="5"/>
  <c r="AT77" i="17"/>
  <c r="AW77" i="17" s="1"/>
  <c r="M80" i="5"/>
  <c r="AJ81" i="17" s="1"/>
  <c r="AM81" i="17" s="1"/>
  <c r="Q84" i="5"/>
  <c r="AT85" i="17"/>
  <c r="AW85" i="17" s="1"/>
  <c r="AT384" i="17"/>
  <c r="AW384" i="17" s="1"/>
  <c r="W87" i="5"/>
  <c r="BI88" i="17"/>
  <c r="BL88" i="17" s="1"/>
  <c r="BI387" i="17"/>
  <c r="BL387" i="17" s="1"/>
  <c r="Q90" i="5"/>
  <c r="AT91" i="17"/>
  <c r="AW91" i="17" s="1"/>
  <c r="AT390" i="17"/>
  <c r="AW390" i="17" s="1"/>
  <c r="W93" i="5"/>
  <c r="BI94" i="17"/>
  <c r="BL94" i="17" s="1"/>
  <c r="BI393" i="17"/>
  <c r="BL393" i="17" s="1"/>
  <c r="W97" i="5"/>
  <c r="BI98" i="17"/>
  <c r="BL98" i="17" s="1"/>
  <c r="BI397" i="17"/>
  <c r="BL397" i="17" s="1"/>
  <c r="M102" i="5"/>
  <c r="AJ402" i="17" s="1"/>
  <c r="AM402" i="17" s="1"/>
  <c r="W106" i="5"/>
  <c r="BI107" i="17"/>
  <c r="BL107" i="17" s="1"/>
  <c r="BI406" i="17"/>
  <c r="BL406" i="17" s="1"/>
  <c r="W111" i="5"/>
  <c r="BI112" i="17"/>
  <c r="BL112" i="17" s="1"/>
  <c r="BI411" i="17"/>
  <c r="BL411" i="17" s="1"/>
  <c r="W115" i="5"/>
  <c r="BI116" i="17"/>
  <c r="BL116" i="17" s="1"/>
  <c r="BI415" i="17"/>
  <c r="BL415" i="17" s="1"/>
  <c r="O120" i="5"/>
  <c r="AO420" i="17" s="1"/>
  <c r="AR420" i="17" s="1"/>
  <c r="Q127" i="5"/>
  <c r="AT128" i="17"/>
  <c r="AW128" i="17" s="1"/>
  <c r="AT427" i="17"/>
  <c r="AW427" i="17" s="1"/>
  <c r="O132" i="5"/>
  <c r="AO133" i="17" s="1"/>
  <c r="AR133" i="17" s="1"/>
  <c r="Q136" i="5"/>
  <c r="AT137" i="17"/>
  <c r="AW137" i="17" s="1"/>
  <c r="AT436" i="17"/>
  <c r="AW436" i="17" s="1"/>
  <c r="U144" i="5"/>
  <c r="BD145" i="17"/>
  <c r="BG145" i="17" s="1"/>
  <c r="BD444" i="17"/>
  <c r="BG444" i="17" s="1"/>
  <c r="W150" i="5"/>
  <c r="BI151" i="17"/>
  <c r="BL151" i="17" s="1"/>
  <c r="BI450" i="17"/>
  <c r="BL450" i="17" s="1"/>
  <c r="W155" i="5"/>
  <c r="BI156" i="17"/>
  <c r="BL156" i="17" s="1"/>
  <c r="BI455" i="17"/>
  <c r="BL455" i="17" s="1"/>
  <c r="Q160" i="5"/>
  <c r="AT161" i="17"/>
  <c r="AW161" i="17" s="1"/>
  <c r="AT460" i="17"/>
  <c r="AW460" i="17" s="1"/>
  <c r="W167" i="5"/>
  <c r="BI168" i="17"/>
  <c r="BL168" i="17" s="1"/>
  <c r="BI467" i="17"/>
  <c r="BL467" i="17" s="1"/>
  <c r="BI171" i="17"/>
  <c r="BL171" i="17" s="1"/>
  <c r="BI470" i="17"/>
  <c r="BL470" i="17" s="1"/>
  <c r="M174" i="5"/>
  <c r="AJ175" i="17"/>
  <c r="AM175" i="17" s="1"/>
  <c r="AJ474" i="17"/>
  <c r="AM474" i="17" s="1"/>
  <c r="Q177" i="5"/>
  <c r="AT178" i="17"/>
  <c r="AW178" i="17" s="1"/>
  <c r="AT477" i="17"/>
  <c r="AW477" i="17" s="1"/>
  <c r="M180" i="5"/>
  <c r="AJ181" i="17"/>
  <c r="AM181" i="17" s="1"/>
  <c r="AJ480" i="17"/>
  <c r="AM480" i="17" s="1"/>
  <c r="W182" i="5"/>
  <c r="BI183" i="17"/>
  <c r="BL183" i="17" s="1"/>
  <c r="BI482" i="17"/>
  <c r="BL482" i="17" s="1"/>
  <c r="M189" i="5"/>
  <c r="AJ190" i="17"/>
  <c r="AM190" i="17" s="1"/>
  <c r="AJ489" i="17"/>
  <c r="AM489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M199" i="5"/>
  <c r="AJ200" i="17"/>
  <c r="AM200" i="17" s="1"/>
  <c r="AJ499" i="17"/>
  <c r="AM499" i="17" s="1"/>
  <c r="M203" i="5"/>
  <c r="AJ204" i="17"/>
  <c r="AM204" i="17" s="1"/>
  <c r="AJ503" i="17"/>
  <c r="AM503" i="17" s="1"/>
  <c r="M207" i="5"/>
  <c r="AJ208" i="17"/>
  <c r="AM208" i="17" s="1"/>
  <c r="AJ507" i="17"/>
  <c r="AM507" i="17" s="1"/>
  <c r="W212" i="5"/>
  <c r="BI213" i="17"/>
  <c r="BL213" i="17" s="1"/>
  <c r="BI512" i="17"/>
  <c r="BL512" i="17" s="1"/>
  <c r="W216" i="5"/>
  <c r="BI217" i="17"/>
  <c r="BL217" i="17" s="1"/>
  <c r="BI516" i="17"/>
  <c r="BL516" i="17" s="1"/>
  <c r="M223" i="5"/>
  <c r="AJ224" i="17"/>
  <c r="AM224" i="17" s="1"/>
  <c r="AJ523" i="17"/>
  <c r="AM523" i="17" s="1"/>
  <c r="W228" i="5"/>
  <c r="BI229" i="17"/>
  <c r="BL229" i="17" s="1"/>
  <c r="BI528" i="17"/>
  <c r="BL528" i="17" s="1"/>
  <c r="W233" i="5"/>
  <c r="BI234" i="17"/>
  <c r="BL234" i="17" s="1"/>
  <c r="BI533" i="17"/>
  <c r="BL533" i="17" s="1"/>
  <c r="O236" i="5"/>
  <c r="AO237" i="17"/>
  <c r="AR237" i="17" s="1"/>
  <c r="AO536" i="17"/>
  <c r="AR536" i="17" s="1"/>
  <c r="W240" i="5"/>
  <c r="BI241" i="17"/>
  <c r="BL241" i="17" s="1"/>
  <c r="BI540" i="17"/>
  <c r="BL540" i="17" s="1"/>
  <c r="M244" i="5"/>
  <c r="AJ245" i="17"/>
  <c r="AM245" i="17" s="1"/>
  <c r="AJ544" i="17"/>
  <c r="AM544" i="17" s="1"/>
  <c r="O248" i="5"/>
  <c r="AO249" i="17"/>
  <c r="AR249" i="17" s="1"/>
  <c r="AO548" i="17"/>
  <c r="AR548" i="17" s="1"/>
  <c r="W252" i="5"/>
  <c r="BI253" i="17"/>
  <c r="BL253" i="17" s="1"/>
  <c r="BI552" i="17"/>
  <c r="BL552" i="17" s="1"/>
  <c r="M256" i="5"/>
  <c r="AJ257" i="17"/>
  <c r="AM257" i="17" s="1"/>
  <c r="AJ556" i="17"/>
  <c r="AM556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Q268" i="5"/>
  <c r="AT269" i="17"/>
  <c r="AW269" i="17" s="1"/>
  <c r="AT568" i="17"/>
  <c r="AW568" i="17" s="1"/>
  <c r="W271" i="5"/>
  <c r="BI272" i="17"/>
  <c r="BL272" i="17" s="1"/>
  <c r="BI571" i="17"/>
  <c r="BL571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U288" i="5"/>
  <c r="BD289" i="17"/>
  <c r="BG289" i="17" s="1"/>
  <c r="BD588" i="17"/>
  <c r="BG588" i="17" s="1"/>
  <c r="W290" i="5"/>
  <c r="BI291" i="17"/>
  <c r="BL291" i="17" s="1"/>
  <c r="BI590" i="17"/>
  <c r="BL590" i="17" s="1"/>
  <c r="W294" i="5"/>
  <c r="BI295" i="17"/>
  <c r="BL295" i="17" s="1"/>
  <c r="BI594" i="17"/>
  <c r="BL594" i="17" s="1"/>
  <c r="W298" i="5"/>
  <c r="BI299" i="17"/>
  <c r="BL299" i="17" s="1"/>
  <c r="BI598" i="17"/>
  <c r="BL598" i="17" s="1"/>
  <c r="W304" i="5"/>
  <c r="BI305" i="17"/>
  <c r="BL305" i="17" s="1"/>
  <c r="BI604" i="17"/>
  <c r="BL604" i="17" s="1"/>
  <c r="W309" i="5"/>
  <c r="BI310" i="17"/>
  <c r="BL310" i="17" s="1"/>
  <c r="BI609" i="17"/>
  <c r="BL609" i="17" s="1"/>
  <c r="W315" i="5"/>
  <c r="BI316" i="17"/>
  <c r="BL316" i="17" s="1"/>
  <c r="BI615" i="17"/>
  <c r="BL615" i="17" s="1"/>
  <c r="M323" i="5"/>
  <c r="AJ324" i="17"/>
  <c r="AM324" i="17" s="1"/>
  <c r="AJ623" i="17"/>
  <c r="AM623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W333" i="5"/>
  <c r="BI334" i="17"/>
  <c r="BL334" i="17" s="1"/>
  <c r="BI633" i="17"/>
  <c r="BL633" i="17" s="1"/>
  <c r="W340" i="5"/>
  <c r="BI341" i="17"/>
  <c r="BL341" i="17" s="1"/>
  <c r="BI640" i="17"/>
  <c r="BL640" i="17" s="1"/>
  <c r="O344" i="5"/>
  <c r="AO345" i="17"/>
  <c r="AR345" i="17" s="1"/>
  <c r="AO644" i="17"/>
  <c r="AR644" i="17" s="1"/>
  <c r="W352" i="5"/>
  <c r="BI353" i="17"/>
  <c r="BL353" i="17" s="1"/>
  <c r="BI652" i="17"/>
  <c r="BL652" i="17" s="1"/>
  <c r="M357" i="5"/>
  <c r="AJ358" i="17"/>
  <c r="AM358" i="17" s="1"/>
  <c r="AJ657" i="17"/>
  <c r="AM657" i="17" s="1"/>
  <c r="M361" i="5"/>
  <c r="AJ362" i="17"/>
  <c r="AM362" i="17" s="1"/>
  <c r="AJ661" i="17"/>
  <c r="AM661" i="17" s="1"/>
  <c r="O366" i="5"/>
  <c r="AO367" i="17"/>
  <c r="AR367" i="17" s="1"/>
  <c r="AO666" i="17"/>
  <c r="AR666" i="17" s="1"/>
  <c r="O370" i="5"/>
  <c r="AO371" i="17"/>
  <c r="AR371" i="17" s="1"/>
  <c r="AO670" i="17"/>
  <c r="AR670" i="17" s="1"/>
  <c r="S376" i="5"/>
  <c r="AY377" i="17"/>
  <c r="BB377" i="17" s="1"/>
  <c r="AY676" i="17"/>
  <c r="BB676" i="17" s="1"/>
  <c r="W381" i="5"/>
  <c r="BI382" i="17"/>
  <c r="BL382" i="17" s="1"/>
  <c r="BI681" i="17"/>
  <c r="BL681" i="17" s="1"/>
  <c r="W385" i="5"/>
  <c r="BI685" i="17"/>
  <c r="BL685" i="17" s="1"/>
  <c r="W392" i="5"/>
  <c r="BI692" i="17"/>
  <c r="BL692" i="17" s="1"/>
  <c r="W398" i="5"/>
  <c r="BI698" i="17"/>
  <c r="BL698" i="17" s="1"/>
  <c r="M403" i="5"/>
  <c r="AJ703" i="17"/>
  <c r="AM703" i="17" s="1"/>
  <c r="M408" i="5"/>
  <c r="AJ708" i="17"/>
  <c r="AM708" i="17" s="1"/>
  <c r="W414" i="5"/>
  <c r="BI714" i="17"/>
  <c r="BL714" i="17" s="1"/>
  <c r="W419" i="5"/>
  <c r="BI719" i="17"/>
  <c r="BL719" i="17" s="1"/>
  <c r="M425" i="5"/>
  <c r="AJ725" i="17"/>
  <c r="AM725" i="17" s="1"/>
  <c r="W430" i="5"/>
  <c r="BI730" i="17"/>
  <c r="BL730" i="17" s="1"/>
  <c r="W435" i="5"/>
  <c r="BI735" i="17"/>
  <c r="BL735" i="17" s="1"/>
  <c r="W440" i="5"/>
  <c r="BI740" i="17"/>
  <c r="BL740" i="17" s="1"/>
  <c r="W444" i="5"/>
  <c r="BI744" i="17"/>
  <c r="BL744" i="17" s="1"/>
  <c r="M449" i="5"/>
  <c r="AJ749" i="17"/>
  <c r="AM749" i="17" s="1"/>
  <c r="W452" i="5"/>
  <c r="BI752" i="17"/>
  <c r="BL752" i="17" s="1"/>
  <c r="W457" i="5"/>
  <c r="BI757" i="17"/>
  <c r="BL757" i="17" s="1"/>
  <c r="W460" i="5"/>
  <c r="BI760" i="17"/>
  <c r="BL760" i="17" s="1"/>
  <c r="W468" i="5"/>
  <c r="BI768" i="17"/>
  <c r="BL768" i="17" s="1"/>
  <c r="Q474" i="5"/>
  <c r="AT774" i="17"/>
  <c r="AW774" i="17" s="1"/>
  <c r="W479" i="5"/>
  <c r="BI779" i="17"/>
  <c r="BL779" i="17" s="1"/>
  <c r="W484" i="5"/>
  <c r="BI784" i="17"/>
  <c r="BL784" i="17" s="1"/>
  <c r="W489" i="5"/>
  <c r="BI789" i="17"/>
  <c r="BL789" i="17" s="1"/>
  <c r="M494" i="5"/>
  <c r="AJ794" i="17"/>
  <c r="AM794" i="17" s="1"/>
  <c r="W503" i="5"/>
  <c r="BI803" i="17"/>
  <c r="BL803" i="17" s="1"/>
  <c r="W508" i="5"/>
  <c r="BI808" i="17"/>
  <c r="BL808" i="17" s="1"/>
  <c r="W513" i="5"/>
  <c r="BI813" i="17"/>
  <c r="BL813" i="17" s="1"/>
  <c r="W518" i="5"/>
  <c r="BI818" i="17"/>
  <c r="BL818" i="17" s="1"/>
  <c r="W521" i="5"/>
  <c r="BI821" i="17"/>
  <c r="BL821" i="17" s="1"/>
  <c r="Q525" i="5"/>
  <c r="AT825" i="17"/>
  <c r="AW825" i="17" s="1"/>
  <c r="M533" i="5"/>
  <c r="AJ833" i="17"/>
  <c r="AM833" i="17" s="1"/>
  <c r="W543" i="5"/>
  <c r="BI843" i="17"/>
  <c r="BL843" i="17" s="1"/>
  <c r="M554" i="5"/>
  <c r="AJ854" i="17"/>
  <c r="AM854" i="17" s="1"/>
  <c r="W559" i="5"/>
  <c r="BI859" i="17"/>
  <c r="BL859" i="17" s="1"/>
  <c r="M579" i="5"/>
  <c r="AJ879" i="17"/>
  <c r="AM879" i="17" s="1"/>
  <c r="W582" i="5"/>
  <c r="BI882" i="17"/>
  <c r="BL882" i="17" s="1"/>
  <c r="W587" i="5"/>
  <c r="BI887" i="17"/>
  <c r="BL887" i="17" s="1"/>
  <c r="W593" i="5"/>
  <c r="BI893" i="17"/>
  <c r="BL893" i="17" s="1"/>
  <c r="U599" i="5"/>
  <c r="BD899" i="17"/>
  <c r="BG899" i="17" s="1"/>
  <c r="O602" i="5"/>
  <c r="AO902" i="17"/>
  <c r="AR902" i="17" s="1"/>
  <c r="W606" i="5"/>
  <c r="BI906" i="17"/>
  <c r="BL906" i="17" s="1"/>
  <c r="O612" i="5"/>
  <c r="AO912" i="17"/>
  <c r="AR912" i="17" s="1"/>
  <c r="U617" i="5"/>
  <c r="BD917" i="17"/>
  <c r="BG917" i="17" s="1"/>
  <c r="W624" i="5"/>
  <c r="BI924" i="17"/>
  <c r="BL924" i="17" s="1"/>
  <c r="W630" i="5"/>
  <c r="BI930" i="17"/>
  <c r="BL930" i="17" s="1"/>
  <c r="W632" i="5"/>
  <c r="BI932" i="17"/>
  <c r="BL932" i="17" s="1"/>
  <c r="W638" i="5"/>
  <c r="BI938" i="17"/>
  <c r="BL938" i="17" s="1"/>
  <c r="W644" i="5"/>
  <c r="BI944" i="17"/>
  <c r="BL944" i="17" s="1"/>
  <c r="U648" i="5"/>
  <c r="BD948" i="17"/>
  <c r="BG948" i="17" s="1"/>
  <c r="M657" i="5"/>
  <c r="AJ957" i="17"/>
  <c r="AM957" i="17" s="1"/>
  <c r="M663" i="5"/>
  <c r="AJ963" i="17"/>
  <c r="AM963" i="17" s="1"/>
  <c r="W667" i="5"/>
  <c r="BI967" i="17"/>
  <c r="BL967" i="17" s="1"/>
  <c r="W673" i="5"/>
  <c r="BI973" i="17"/>
  <c r="BL973" i="17" s="1"/>
  <c r="W679" i="5"/>
  <c r="BI979" i="17"/>
  <c r="BL979" i="17" s="1"/>
  <c r="W684" i="5"/>
  <c r="BI984" i="17"/>
  <c r="BL984" i="17" s="1"/>
  <c r="O691" i="5"/>
  <c r="AO991" i="17"/>
  <c r="AR991" i="17" s="1"/>
  <c r="M699" i="5"/>
  <c r="AJ999" i="17"/>
  <c r="AM999" i="17" s="1"/>
  <c r="W704" i="5"/>
  <c r="BI1004" i="17"/>
  <c r="BL1004" i="17" s="1"/>
  <c r="W710" i="5"/>
  <c r="BI1010" i="17"/>
  <c r="BL1010" i="17" s="1"/>
  <c r="W717" i="5"/>
  <c r="BI1017" i="17"/>
  <c r="BL1017" i="17" s="1"/>
  <c r="W723" i="5"/>
  <c r="BI1023" i="17"/>
  <c r="BL1023" i="17" s="1"/>
  <c r="W728" i="5"/>
  <c r="BI1028" i="17"/>
  <c r="BL1028" i="17" s="1"/>
  <c r="W734" i="5"/>
  <c r="BI1034" i="17"/>
  <c r="BL1034" i="17" s="1"/>
  <c r="W740" i="5"/>
  <c r="BI1040" i="17"/>
  <c r="BL1040" i="17" s="1"/>
  <c r="W758" i="5"/>
  <c r="BI1058" i="17"/>
  <c r="BL1058" i="17" s="1"/>
  <c r="W764" i="5"/>
  <c r="BI1064" i="17"/>
  <c r="BL1064" i="17" s="1"/>
  <c r="W775" i="5"/>
  <c r="BI1075" i="17"/>
  <c r="BL1075" i="17" s="1"/>
  <c r="W781" i="5"/>
  <c r="BI1081" i="17"/>
  <c r="BL1081" i="17" s="1"/>
  <c r="W785" i="5"/>
  <c r="BI1085" i="17"/>
  <c r="BL1085" i="17" s="1"/>
  <c r="W793" i="5"/>
  <c r="BI1093" i="17"/>
  <c r="BL1093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W831" i="5"/>
  <c r="BI1131" i="17"/>
  <c r="BL1131" i="17" s="1"/>
  <c r="W838" i="5"/>
  <c r="BI1138" i="17"/>
  <c r="BL1138" i="17" s="1"/>
  <c r="W844" i="5"/>
  <c r="BI1144" i="17"/>
  <c r="BL1144" i="17" s="1"/>
  <c r="M848" i="5"/>
  <c r="AJ1148" i="17"/>
  <c r="AM1148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U6" i="5"/>
  <c r="BD6" i="17"/>
  <c r="BG6" i="17" s="1"/>
  <c r="M12" i="5"/>
  <c r="AJ13" i="17" s="1"/>
  <c r="AM13" i="17" s="1"/>
  <c r="O16" i="5"/>
  <c r="AO17" i="17" s="1"/>
  <c r="AR17" i="17" s="1"/>
  <c r="O21" i="5"/>
  <c r="AO22" i="17" s="1"/>
  <c r="AR22" i="17" s="1"/>
  <c r="Q27" i="5"/>
  <c r="AT28" i="17" s="1"/>
  <c r="AW28" i="17" s="1"/>
  <c r="M32" i="5"/>
  <c r="AJ33" i="17" s="1"/>
  <c r="AM33" i="17" s="1"/>
  <c r="Q38" i="5"/>
  <c r="AT39" i="17" s="1"/>
  <c r="AW39" i="17" s="1"/>
  <c r="M41" i="5"/>
  <c r="AJ42" i="17" s="1"/>
  <c r="AM42" i="17" s="1"/>
  <c r="W45" i="5"/>
  <c r="BI46" i="17"/>
  <c r="BL46" i="17" s="1"/>
  <c r="W51" i="5"/>
  <c r="BI52" i="17"/>
  <c r="BL52" i="17" s="1"/>
  <c r="Q58" i="5"/>
  <c r="AT59" i="17" s="1"/>
  <c r="AW59" i="17" s="1"/>
  <c r="Q65" i="5"/>
  <c r="AT66" i="17"/>
  <c r="AW66" i="17" s="1"/>
  <c r="W70" i="5"/>
  <c r="BI71" i="17"/>
  <c r="BL71" i="17" s="1"/>
  <c r="W75" i="5"/>
  <c r="BI76" i="17"/>
  <c r="BL76" i="17" s="1"/>
  <c r="Q83" i="5"/>
  <c r="AT84" i="17"/>
  <c r="AW84" i="17" s="1"/>
  <c r="W88" i="5"/>
  <c r="BI89" i="17"/>
  <c r="BL89" i="17" s="1"/>
  <c r="BI388" i="17"/>
  <c r="BL388" i="17" s="1"/>
  <c r="M93" i="5"/>
  <c r="AJ393" i="17" s="1"/>
  <c r="AM393" i="17" s="1"/>
  <c r="W98" i="5"/>
  <c r="BI99" i="17"/>
  <c r="BL99" i="17" s="1"/>
  <c r="BI398" i="17"/>
  <c r="BL398" i="17" s="1"/>
  <c r="W105" i="5"/>
  <c r="BI106" i="17"/>
  <c r="BL106" i="17" s="1"/>
  <c r="BI405" i="17"/>
  <c r="BL405" i="17" s="1"/>
  <c r="M113" i="5"/>
  <c r="AJ413" i="17" s="1"/>
  <c r="AM413" i="17" s="1"/>
  <c r="M119" i="5"/>
  <c r="AJ419" i="17" s="1"/>
  <c r="AM419" i="17" s="1"/>
  <c r="M128" i="5"/>
  <c r="AJ129" i="17" s="1"/>
  <c r="AM129" i="17" s="1"/>
  <c r="M133" i="5"/>
  <c r="AJ134" i="17" s="1"/>
  <c r="AM134" i="17" s="1"/>
  <c r="W141" i="5"/>
  <c r="BI142" i="17"/>
  <c r="BL142" i="17" s="1"/>
  <c r="BI441" i="17"/>
  <c r="BL441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Q164" i="5"/>
  <c r="AT165" i="17"/>
  <c r="AW165" i="17" s="1"/>
  <c r="AT464" i="17"/>
  <c r="AW464" i="17" s="1"/>
  <c r="O171" i="5"/>
  <c r="AO172" i="17"/>
  <c r="AR172" i="17" s="1"/>
  <c r="AO471" i="17"/>
  <c r="AR471" i="17" s="1"/>
  <c r="W175" i="5"/>
  <c r="BI176" i="17"/>
  <c r="BL176" i="17" s="1"/>
  <c r="BI475" i="17"/>
  <c r="BL475" i="17" s="1"/>
  <c r="BI180" i="17"/>
  <c r="BL180" i="17" s="1"/>
  <c r="BI479" i="17"/>
  <c r="BL479" i="17" s="1"/>
  <c r="BI184" i="17"/>
  <c r="BL184" i="17" s="1"/>
  <c r="BI483" i="17"/>
  <c r="BL483" i="17" s="1"/>
  <c r="Q191" i="5"/>
  <c r="AT192" i="17"/>
  <c r="AW192" i="17" s="1"/>
  <c r="AT491" i="17"/>
  <c r="AW491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Q211" i="5"/>
  <c r="AT212" i="17"/>
  <c r="AW212" i="17" s="1"/>
  <c r="AT511" i="17"/>
  <c r="AW511" i="17" s="1"/>
  <c r="M216" i="5"/>
  <c r="AJ217" i="17"/>
  <c r="AM217" i="17" s="1"/>
  <c r="AJ516" i="17"/>
  <c r="AM516" i="17" s="1"/>
  <c r="Q222" i="5"/>
  <c r="AT223" i="17"/>
  <c r="AW223" i="17" s="1"/>
  <c r="AT522" i="17"/>
  <c r="AW522" i="17" s="1"/>
  <c r="W229" i="5"/>
  <c r="BI230" i="17"/>
  <c r="BL230" i="17" s="1"/>
  <c r="BI529" i="17"/>
  <c r="BL529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O249" i="5"/>
  <c r="AO250" i="17"/>
  <c r="AR250" i="17" s="1"/>
  <c r="AO549" i="17"/>
  <c r="AR549" i="17" s="1"/>
  <c r="U255" i="5"/>
  <c r="BD256" i="17"/>
  <c r="BG256" i="17" s="1"/>
  <c r="BD555" i="17"/>
  <c r="BG555" i="17" s="1"/>
  <c r="M263" i="5"/>
  <c r="AJ264" i="17"/>
  <c r="AM264" i="17" s="1"/>
  <c r="AJ563" i="17"/>
  <c r="AM563" i="17" s="1"/>
  <c r="M271" i="5"/>
  <c r="AJ272" i="17"/>
  <c r="AM272" i="17" s="1"/>
  <c r="AJ571" i="17"/>
  <c r="AM571" i="17" s="1"/>
  <c r="W282" i="5"/>
  <c r="BI283" i="17"/>
  <c r="BL283" i="17" s="1"/>
  <c r="BI582" i="17"/>
  <c r="BL582" i="17" s="1"/>
  <c r="M289" i="5"/>
  <c r="AJ290" i="17"/>
  <c r="AM290" i="17" s="1"/>
  <c r="AJ589" i="17"/>
  <c r="AM589" i="17" s="1"/>
  <c r="M294" i="5"/>
  <c r="AJ295" i="17"/>
  <c r="AM295" i="17" s="1"/>
  <c r="AJ594" i="17"/>
  <c r="AM594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3" i="5"/>
  <c r="BI314" i="17"/>
  <c r="BL314" i="17" s="1"/>
  <c r="BI613" i="17"/>
  <c r="BL613" i="17" s="1"/>
  <c r="W321" i="5"/>
  <c r="BI322" i="17"/>
  <c r="BL322" i="17" s="1"/>
  <c r="BI621" i="17"/>
  <c r="BL621" i="17" s="1"/>
  <c r="W327" i="5"/>
  <c r="BI328" i="17"/>
  <c r="BL328" i="17" s="1"/>
  <c r="BI627" i="17"/>
  <c r="BL627" i="17" s="1"/>
  <c r="W335" i="5"/>
  <c r="BI336" i="17"/>
  <c r="BL336" i="17" s="1"/>
  <c r="BI635" i="17"/>
  <c r="BL635" i="17" s="1"/>
  <c r="W343" i="5"/>
  <c r="BI344" i="17"/>
  <c r="BL344" i="17" s="1"/>
  <c r="BI643" i="17"/>
  <c r="BL643" i="17" s="1"/>
  <c r="O351" i="5"/>
  <c r="AO352" i="17"/>
  <c r="AR352" i="17" s="1"/>
  <c r="AO651" i="17"/>
  <c r="AR651" i="17" s="1"/>
  <c r="W362" i="5"/>
  <c r="BI363" i="17"/>
  <c r="BL363" i="17" s="1"/>
  <c r="BI662" i="17"/>
  <c r="BL662" i="17" s="1"/>
  <c r="Q369" i="5"/>
  <c r="AT370" i="17"/>
  <c r="AW370" i="17" s="1"/>
  <c r="AT669" i="17"/>
  <c r="AW669" i="17" s="1"/>
  <c r="W377" i="5"/>
  <c r="BI378" i="17"/>
  <c r="BL378" i="17" s="1"/>
  <c r="BI677" i="17"/>
  <c r="BL677" i="17" s="1"/>
  <c r="O384" i="5"/>
  <c r="AO684" i="17"/>
  <c r="AR684" i="17" s="1"/>
  <c r="W393" i="5"/>
  <c r="BI693" i="17"/>
  <c r="BL693" i="17" s="1"/>
  <c r="W401" i="5"/>
  <c r="BI701" i="17"/>
  <c r="BL701" i="17" s="1"/>
  <c r="W409" i="5"/>
  <c r="BI709" i="17"/>
  <c r="BL709" i="17" s="1"/>
  <c r="O418" i="5"/>
  <c r="AO718" i="17"/>
  <c r="AR718" i="17" s="1"/>
  <c r="W420" i="5"/>
  <c r="BI720" i="17"/>
  <c r="BL720" i="17" s="1"/>
  <c r="U426" i="5"/>
  <c r="BD726" i="17"/>
  <c r="BG726" i="17" s="1"/>
  <c r="M435" i="5"/>
  <c r="AJ735" i="17"/>
  <c r="AM735" i="17" s="1"/>
  <c r="W443" i="5"/>
  <c r="BI743" i="17"/>
  <c r="BL743" i="17" s="1"/>
  <c r="W449" i="5"/>
  <c r="BI749" i="17"/>
  <c r="BL749" i="17" s="1"/>
  <c r="M459" i="5"/>
  <c r="AJ759" i="17"/>
  <c r="AM759" i="17" s="1"/>
  <c r="W469" i="5"/>
  <c r="BI769" i="17"/>
  <c r="BL769" i="17" s="1"/>
  <c r="M478" i="5"/>
  <c r="AJ778" i="17"/>
  <c r="AM778" i="17" s="1"/>
  <c r="M489" i="5"/>
  <c r="AJ789" i="17"/>
  <c r="AM789" i="17" s="1"/>
  <c r="W495" i="5"/>
  <c r="BI795" i="17"/>
  <c r="BL795" i="17" s="1"/>
  <c r="W502" i="5"/>
  <c r="BI802" i="17"/>
  <c r="BL802" i="17" s="1"/>
  <c r="M510" i="5"/>
  <c r="AJ810" i="17"/>
  <c r="AM810" i="17" s="1"/>
  <c r="W514" i="5"/>
  <c r="BI814" i="17"/>
  <c r="BL814" i="17" s="1"/>
  <c r="W516" i="5"/>
  <c r="BI816" i="17"/>
  <c r="BL816" i="17" s="1"/>
  <c r="W526" i="5"/>
  <c r="BI826" i="17"/>
  <c r="BL826" i="17" s="1"/>
  <c r="W534" i="5"/>
  <c r="BI834" i="17"/>
  <c r="BL834" i="17" s="1"/>
  <c r="W541" i="5"/>
  <c r="BI841" i="17"/>
  <c r="BL841" i="17" s="1"/>
  <c r="W552" i="5"/>
  <c r="BI852" i="17"/>
  <c r="BL852" i="17" s="1"/>
  <c r="W555" i="5"/>
  <c r="BI855" i="17"/>
  <c r="BL855" i="17" s="1"/>
  <c r="M564" i="5"/>
  <c r="AJ864" i="17"/>
  <c r="AM864" i="17" s="1"/>
  <c r="W572" i="5"/>
  <c r="BI872" i="17"/>
  <c r="BL872" i="17" s="1"/>
  <c r="W580" i="5"/>
  <c r="BI880" i="17"/>
  <c r="BL880" i="17" s="1"/>
  <c r="W589" i="5"/>
  <c r="BI889" i="17"/>
  <c r="BL889" i="17" s="1"/>
  <c r="W597" i="5"/>
  <c r="BI897" i="17"/>
  <c r="BL897" i="17" s="1"/>
  <c r="W602" i="5"/>
  <c r="BI902" i="17"/>
  <c r="BL902" i="17" s="1"/>
  <c r="M611" i="5"/>
  <c r="AJ911" i="17"/>
  <c r="AM911" i="17" s="1"/>
  <c r="W618" i="5"/>
  <c r="BI918" i="17"/>
  <c r="BL918" i="17" s="1"/>
  <c r="W625" i="5"/>
  <c r="BI925" i="17"/>
  <c r="BL925" i="17" s="1"/>
  <c r="W634" i="5"/>
  <c r="BI934" i="17"/>
  <c r="BL934" i="17" s="1"/>
  <c r="W643" i="5"/>
  <c r="BI943" i="17"/>
  <c r="BL943" i="17" s="1"/>
  <c r="W651" i="5"/>
  <c r="BI951" i="17"/>
  <c r="BL951" i="17" s="1"/>
  <c r="W661" i="5"/>
  <c r="BI961" i="17"/>
  <c r="BL961" i="17" s="1"/>
  <c r="M666" i="5"/>
  <c r="AJ966" i="17"/>
  <c r="AM966" i="17" s="1"/>
  <c r="Q675" i="5"/>
  <c r="AT975" i="17"/>
  <c r="AW975" i="17" s="1"/>
  <c r="M686" i="5"/>
  <c r="AJ986" i="17"/>
  <c r="AM986" i="17" s="1"/>
  <c r="W694" i="5"/>
  <c r="BI994" i="17"/>
  <c r="BL994" i="17" s="1"/>
  <c r="W706" i="5"/>
  <c r="BI1006" i="17"/>
  <c r="BL1006" i="17" s="1"/>
  <c r="W715" i="5"/>
  <c r="BI1015" i="17"/>
  <c r="BL1015" i="17" s="1"/>
  <c r="W724" i="5"/>
  <c r="BI1024" i="17"/>
  <c r="BL1024" i="17" s="1"/>
  <c r="W730" i="5"/>
  <c r="BI1030" i="17"/>
  <c r="BL1030" i="17" s="1"/>
  <c r="M733" i="5"/>
  <c r="AJ1033" i="17"/>
  <c r="AM1033" i="17" s="1"/>
  <c r="W741" i="5"/>
  <c r="BI1041" i="17"/>
  <c r="BL1041" i="17" s="1"/>
  <c r="W751" i="5"/>
  <c r="BI1051" i="17"/>
  <c r="BL1051" i="17" s="1"/>
  <c r="M763" i="5"/>
  <c r="AJ1063" i="17"/>
  <c r="AM1063" i="17" s="1"/>
  <c r="W776" i="5"/>
  <c r="BI1076" i="17"/>
  <c r="BL1076" i="17" s="1"/>
  <c r="W787" i="5"/>
  <c r="BI1087" i="17"/>
  <c r="BL1087" i="17" s="1"/>
  <c r="W798" i="5"/>
  <c r="BI1098" i="17"/>
  <c r="BL1098" i="17" s="1"/>
  <c r="W814" i="5"/>
  <c r="BI1114" i="17"/>
  <c r="BL1114" i="17" s="1"/>
  <c r="W829" i="5"/>
  <c r="BI1129" i="17"/>
  <c r="BL1129" i="17" s="1"/>
  <c r="Q4" i="5"/>
  <c r="AT4" i="17" s="1"/>
  <c r="AW4" i="17" s="1"/>
  <c r="O6" i="5"/>
  <c r="AO6" i="17" s="1"/>
  <c r="AR6" i="17" s="1"/>
  <c r="Q7" i="5"/>
  <c r="AT7" i="17" s="1"/>
  <c r="AW7" i="17" s="1"/>
  <c r="Q11" i="5"/>
  <c r="AT12" i="17" s="1"/>
  <c r="AW12" i="17" s="1"/>
  <c r="O15" i="5"/>
  <c r="AO16" i="17" s="1"/>
  <c r="AR16" i="17" s="1"/>
  <c r="W18" i="5"/>
  <c r="BI19" i="17"/>
  <c r="BL19" i="17" s="1"/>
  <c r="O22" i="5"/>
  <c r="AO23" i="17" s="1"/>
  <c r="AR23" i="17" s="1"/>
  <c r="W25" i="5"/>
  <c r="BI26" i="17"/>
  <c r="BL26" i="17" s="1"/>
  <c r="Q28" i="5"/>
  <c r="AT29" i="17" s="1"/>
  <c r="AW29" i="17" s="1"/>
  <c r="Q31" i="5"/>
  <c r="AT32" i="17" s="1"/>
  <c r="AW32" i="17" s="1"/>
  <c r="O34" i="5"/>
  <c r="AO35" i="17" s="1"/>
  <c r="AR35" i="17" s="1"/>
  <c r="W37" i="5"/>
  <c r="BI38" i="17"/>
  <c r="BL38" i="17" s="1"/>
  <c r="O40" i="5"/>
  <c r="AO41" i="17" s="1"/>
  <c r="AR41" i="17" s="1"/>
  <c r="Q43" i="5"/>
  <c r="AT44" i="17" s="1"/>
  <c r="AW44" i="17" s="1"/>
  <c r="Q47" i="5"/>
  <c r="AT48" i="17" s="1"/>
  <c r="AW48" i="17" s="1"/>
  <c r="Q50" i="5"/>
  <c r="AT51" i="17" s="1"/>
  <c r="AW51" i="17" s="1"/>
  <c r="O54" i="5"/>
  <c r="AO55" i="17" s="1"/>
  <c r="AR55" i="17" s="1"/>
  <c r="Q59" i="5"/>
  <c r="AT60" i="17" s="1"/>
  <c r="AW60" i="17" s="1"/>
  <c r="W62" i="5"/>
  <c r="BI63" i="17"/>
  <c r="BL63" i="17" s="1"/>
  <c r="W64" i="5"/>
  <c r="BI65" i="17"/>
  <c r="BL65" i="17" s="1"/>
  <c r="M68" i="5"/>
  <c r="AJ69" i="17" s="1"/>
  <c r="AM69" i="17" s="1"/>
  <c r="W71" i="5"/>
  <c r="BI72" i="17"/>
  <c r="BL72" i="17" s="1"/>
  <c r="W74" i="5"/>
  <c r="BI75" i="17"/>
  <c r="BL75" i="17" s="1"/>
  <c r="Q78" i="5"/>
  <c r="AT79" i="17"/>
  <c r="AW79" i="17" s="1"/>
  <c r="W81" i="5"/>
  <c r="BI82" i="17"/>
  <c r="BL82" i="17" s="1"/>
  <c r="W85" i="5"/>
  <c r="BI86" i="17"/>
  <c r="BL86" i="17" s="1"/>
  <c r="BI385" i="17"/>
  <c r="BL385" i="17" s="1"/>
  <c r="Q89" i="5"/>
  <c r="AT90" i="17"/>
  <c r="AW90" i="17" s="1"/>
  <c r="AT389" i="17"/>
  <c r="AW389" i="17" s="1"/>
  <c r="Q92" i="5"/>
  <c r="AT93" i="17"/>
  <c r="AW93" i="17" s="1"/>
  <c r="AT392" i="17"/>
  <c r="AW392" i="17" s="1"/>
  <c r="W95" i="5"/>
  <c r="BI96" i="17"/>
  <c r="BL96" i="17" s="1"/>
  <c r="BI395" i="17"/>
  <c r="BL395" i="17" s="1"/>
  <c r="W99" i="5"/>
  <c r="BI100" i="17"/>
  <c r="BL100" i="17" s="1"/>
  <c r="BI399" i="17"/>
  <c r="BL399" i="17" s="1"/>
  <c r="M105" i="5"/>
  <c r="AJ106" i="17" s="1"/>
  <c r="AM106" i="17" s="1"/>
  <c r="W109" i="5"/>
  <c r="BI110" i="17"/>
  <c r="BL110" i="17" s="1"/>
  <c r="BI409" i="17"/>
  <c r="BL409" i="17" s="1"/>
  <c r="W113" i="5"/>
  <c r="BI114" i="17"/>
  <c r="BL114" i="17" s="1"/>
  <c r="BI413" i="17"/>
  <c r="BL413" i="17" s="1"/>
  <c r="O118" i="5"/>
  <c r="AO119" i="17" s="1"/>
  <c r="AR119" i="17" s="1"/>
  <c r="W122" i="5"/>
  <c r="BI123" i="17"/>
  <c r="BL123" i="17" s="1"/>
  <c r="BI422" i="17"/>
  <c r="BL422" i="17" s="1"/>
  <c r="M125" i="5"/>
  <c r="AJ425" i="17" s="1"/>
  <c r="AM425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Q134" i="5"/>
  <c r="AT135" i="17"/>
  <c r="AW135" i="17" s="1"/>
  <c r="AT434" i="17"/>
  <c r="AW434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O153" i="5"/>
  <c r="AO154" i="17"/>
  <c r="AR154" i="17" s="1"/>
  <c r="AO453" i="17"/>
  <c r="AR453" i="17" s="1"/>
  <c r="W158" i="5"/>
  <c r="BI159" i="17"/>
  <c r="BL159" i="17" s="1"/>
  <c r="BI458" i="17"/>
  <c r="BL458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71" i="5"/>
  <c r="BI172" i="17"/>
  <c r="BL172" i="17" s="1"/>
  <c r="BI471" i="17"/>
  <c r="BL471" i="17" s="1"/>
  <c r="M175" i="5"/>
  <c r="AJ176" i="17"/>
  <c r="AM176" i="17" s="1"/>
  <c r="AJ475" i="17"/>
  <c r="AM475" i="17" s="1"/>
  <c r="W178" i="5"/>
  <c r="BI179" i="17"/>
  <c r="BL179" i="17" s="1"/>
  <c r="BI478" i="17"/>
  <c r="BL478" i="17" s="1"/>
  <c r="M181" i="5"/>
  <c r="AJ182" i="17"/>
  <c r="AM182" i="17" s="1"/>
  <c r="AJ481" i="17"/>
  <c r="AM481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W190" i="5"/>
  <c r="BI191" i="17"/>
  <c r="BL191" i="17" s="1"/>
  <c r="BI490" i="17"/>
  <c r="BL490" i="17" s="1"/>
  <c r="Q197" i="5"/>
  <c r="AT198" i="17"/>
  <c r="AW198" i="17" s="1"/>
  <c r="AT497" i="17"/>
  <c r="AW497" i="17" s="1"/>
  <c r="W201" i="5"/>
  <c r="BI202" i="17"/>
  <c r="BL202" i="17" s="1"/>
  <c r="BI501" i="17"/>
  <c r="BL501" i="17" s="1"/>
  <c r="Q205" i="5"/>
  <c r="AT206" i="17"/>
  <c r="AW206" i="17" s="1"/>
  <c r="AT505" i="17"/>
  <c r="AW505" i="17" s="1"/>
  <c r="W209" i="5"/>
  <c r="BI210" i="17"/>
  <c r="BL210" i="17" s="1"/>
  <c r="BI509" i="17"/>
  <c r="BL509" i="17" s="1"/>
  <c r="W214" i="5"/>
  <c r="BI215" i="17"/>
  <c r="BL215" i="17" s="1"/>
  <c r="BI514" i="17"/>
  <c r="BL514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W225" i="5"/>
  <c r="BI226" i="17"/>
  <c r="BL226" i="17" s="1"/>
  <c r="BI525" i="17"/>
  <c r="BL525" i="17" s="1"/>
  <c r="W231" i="5"/>
  <c r="BI232" i="17"/>
  <c r="BL232" i="17" s="1"/>
  <c r="BI531" i="17"/>
  <c r="BL531" i="17" s="1"/>
  <c r="O235" i="5"/>
  <c r="AO236" i="17"/>
  <c r="AR236" i="17" s="1"/>
  <c r="AO535" i="17"/>
  <c r="AR535" i="17" s="1"/>
  <c r="M238" i="5"/>
  <c r="AJ239" i="17"/>
  <c r="AM239" i="17" s="1"/>
  <c r="AJ538" i="17"/>
  <c r="AM538" i="17" s="1"/>
  <c r="W241" i="5"/>
  <c r="BI242" i="17"/>
  <c r="BL242" i="17" s="1"/>
  <c r="BI541" i="17"/>
  <c r="BL541" i="17" s="1"/>
  <c r="W245" i="5"/>
  <c r="BI246" i="17"/>
  <c r="BL246" i="17" s="1"/>
  <c r="BI545" i="17"/>
  <c r="BL545" i="17" s="1"/>
  <c r="Q250" i="5"/>
  <c r="AT251" i="17"/>
  <c r="AW251" i="17" s="1"/>
  <c r="AT550" i="17"/>
  <c r="AW550" i="17" s="1"/>
  <c r="M255" i="5"/>
  <c r="AJ256" i="17"/>
  <c r="AM256" i="17" s="1"/>
  <c r="AJ555" i="17"/>
  <c r="AM555" i="17" s="1"/>
  <c r="U257" i="5"/>
  <c r="BD258" i="17"/>
  <c r="BG258" i="17" s="1"/>
  <c r="BD557" i="17"/>
  <c r="BG557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U270" i="5"/>
  <c r="BD271" i="17"/>
  <c r="BG271" i="17" s="1"/>
  <c r="BD570" i="17"/>
  <c r="BG570" i="17" s="1"/>
  <c r="W275" i="5"/>
  <c r="BI276" i="17"/>
  <c r="BL276" i="17" s="1"/>
  <c r="BI575" i="17"/>
  <c r="BL575" i="17" s="1"/>
  <c r="Q287" i="5"/>
  <c r="AT288" i="17"/>
  <c r="AW288" i="17" s="1"/>
  <c r="AT587" i="17"/>
  <c r="AW587" i="17" s="1"/>
  <c r="Q289" i="5"/>
  <c r="AT290" i="17"/>
  <c r="AW290" i="17" s="1"/>
  <c r="AT589" i="17"/>
  <c r="AW589" i="17" s="1"/>
  <c r="W292" i="5"/>
  <c r="BI293" i="17"/>
  <c r="BL293" i="17" s="1"/>
  <c r="BI592" i="17"/>
  <c r="BL592" i="17" s="1"/>
  <c r="W296" i="5"/>
  <c r="BI297" i="17"/>
  <c r="BL297" i="17" s="1"/>
  <c r="BI596" i="17"/>
  <c r="BL596" i="17" s="1"/>
  <c r="W302" i="5"/>
  <c r="BI303" i="17"/>
  <c r="BL303" i="17" s="1"/>
  <c r="BI602" i="17"/>
  <c r="BL602" i="17" s="1"/>
  <c r="W307" i="5"/>
  <c r="BI308" i="17"/>
  <c r="BL308" i="17" s="1"/>
  <c r="BI607" i="17"/>
  <c r="BL607" i="17" s="1"/>
  <c r="W312" i="5"/>
  <c r="BI313" i="17"/>
  <c r="BL313" i="17" s="1"/>
  <c r="BI612" i="17"/>
  <c r="BL612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4" i="5"/>
  <c r="AJ325" i="17"/>
  <c r="AM325" i="17" s="1"/>
  <c r="AJ624" i="17"/>
  <c r="AM624" i="17" s="1"/>
  <c r="M332" i="5"/>
  <c r="AJ333" i="17"/>
  <c r="AM333" i="17" s="1"/>
  <c r="AJ632" i="17"/>
  <c r="AM632" i="17" s="1"/>
  <c r="W336" i="5"/>
  <c r="BI337" i="17"/>
  <c r="BL337" i="17" s="1"/>
  <c r="BI636" i="17"/>
  <c r="BL636" i="17" s="1"/>
  <c r="W341" i="5"/>
  <c r="BI342" i="17"/>
  <c r="BL342" i="17" s="1"/>
  <c r="BI641" i="17"/>
  <c r="BL641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4" i="5"/>
  <c r="BI355" i="17"/>
  <c r="BL355" i="17" s="1"/>
  <c r="BI654" i="17"/>
  <c r="BL654" i="17" s="1"/>
  <c r="Q359" i="5"/>
  <c r="AT360" i="17"/>
  <c r="AW360" i="17" s="1"/>
  <c r="AT659" i="17"/>
  <c r="AW659" i="17" s="1"/>
  <c r="W363" i="5"/>
  <c r="BI364" i="17"/>
  <c r="BL364" i="17" s="1"/>
  <c r="BI663" i="17"/>
  <c r="BL663" i="17" s="1"/>
  <c r="W368" i="5"/>
  <c r="BI369" i="17"/>
  <c r="BL369" i="17" s="1"/>
  <c r="BI668" i="17"/>
  <c r="BL668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W378" i="5"/>
  <c r="BI379" i="17"/>
  <c r="BL379" i="17" s="1"/>
  <c r="BI678" i="17"/>
  <c r="BL678" i="17" s="1"/>
  <c r="W383" i="5"/>
  <c r="BI683" i="17"/>
  <c r="BL683" i="17" s="1"/>
  <c r="M389" i="5"/>
  <c r="AJ689" i="17"/>
  <c r="AM689" i="17" s="1"/>
  <c r="W395" i="5"/>
  <c r="BI695" i="17"/>
  <c r="BL695" i="17" s="1"/>
  <c r="W400" i="5"/>
  <c r="BI700" i="17"/>
  <c r="BL700" i="17" s="1"/>
  <c r="W404" i="5"/>
  <c r="BI704" i="17"/>
  <c r="BL704" i="17" s="1"/>
  <c r="W411" i="5"/>
  <c r="BI711" i="17"/>
  <c r="BL711" i="17" s="1"/>
  <c r="M417" i="5"/>
  <c r="AJ717" i="17"/>
  <c r="AM717" i="17" s="1"/>
  <c r="M422" i="5"/>
  <c r="AJ722" i="17"/>
  <c r="AM722" i="17" s="1"/>
  <c r="M427" i="5"/>
  <c r="AJ727" i="17"/>
  <c r="AM727" i="17" s="1"/>
  <c r="W433" i="5"/>
  <c r="BI733" i="17"/>
  <c r="BL733" i="17" s="1"/>
  <c r="M438" i="5"/>
  <c r="AJ738" i="17"/>
  <c r="AM738" i="17" s="1"/>
  <c r="M442" i="5"/>
  <c r="AJ742" i="17"/>
  <c r="AM742" i="17" s="1"/>
  <c r="M447" i="5"/>
  <c r="AJ747" i="17"/>
  <c r="AM747" i="17" s="1"/>
  <c r="W450" i="5"/>
  <c r="BI750" i="17"/>
  <c r="BL750" i="17" s="1"/>
  <c r="W454" i="5"/>
  <c r="BI754" i="17"/>
  <c r="BL754" i="17" s="1"/>
  <c r="W464" i="5"/>
  <c r="BI764" i="17"/>
  <c r="BL764" i="17" s="1"/>
  <c r="W471" i="5"/>
  <c r="BI771" i="17"/>
  <c r="BL771" i="17" s="1"/>
  <c r="W476" i="5"/>
  <c r="BI776" i="17"/>
  <c r="BL776" i="17" s="1"/>
  <c r="M483" i="5"/>
  <c r="AJ783" i="17"/>
  <c r="AM783" i="17" s="1"/>
  <c r="M488" i="5"/>
  <c r="AJ788" i="17"/>
  <c r="AM788" i="17" s="1"/>
  <c r="W492" i="5"/>
  <c r="BI792" i="17"/>
  <c r="BL792" i="17" s="1"/>
  <c r="W497" i="5"/>
  <c r="BI797" i="17"/>
  <c r="BL797" i="17" s="1"/>
  <c r="W500" i="5"/>
  <c r="BI800" i="17"/>
  <c r="BL800" i="17" s="1"/>
  <c r="M506" i="5"/>
  <c r="AJ806" i="17"/>
  <c r="AM806" i="17" s="1"/>
  <c r="W510" i="5"/>
  <c r="BI810" i="17"/>
  <c r="BL810" i="17" s="1"/>
  <c r="W515" i="5"/>
  <c r="BI815" i="17"/>
  <c r="BL815" i="17" s="1"/>
  <c r="M523" i="5"/>
  <c r="AJ823" i="17"/>
  <c r="AM823" i="17" s="1"/>
  <c r="W528" i="5"/>
  <c r="BI828" i="17"/>
  <c r="BL828" i="17" s="1"/>
  <c r="O531" i="5"/>
  <c r="AO831" i="17"/>
  <c r="AR831" i="17" s="1"/>
  <c r="W535" i="5"/>
  <c r="BI835" i="17"/>
  <c r="BL835" i="17" s="1"/>
  <c r="M540" i="5"/>
  <c r="AJ840" i="17"/>
  <c r="AM840" i="17" s="1"/>
  <c r="W546" i="5"/>
  <c r="BI846" i="17"/>
  <c r="BL846" i="17" s="1"/>
  <c r="S551" i="5"/>
  <c r="AY851" i="17"/>
  <c r="BB851" i="17" s="1"/>
  <c r="W557" i="5"/>
  <c r="BI857" i="17"/>
  <c r="BL857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85" i="5"/>
  <c r="AJ885" i="17"/>
  <c r="AM885" i="17" s="1"/>
  <c r="M591" i="5"/>
  <c r="AJ891" i="17"/>
  <c r="AM891" i="17" s="1"/>
  <c r="O596" i="5"/>
  <c r="AO896" i="17"/>
  <c r="AR896" i="17" s="1"/>
  <c r="Q601" i="5"/>
  <c r="AT901" i="17"/>
  <c r="AW901" i="17" s="1"/>
  <c r="W603" i="5"/>
  <c r="BI903" i="17"/>
  <c r="BL903" i="17" s="1"/>
  <c r="W609" i="5"/>
  <c r="BI909" i="17"/>
  <c r="BL909" i="17" s="1"/>
  <c r="W614" i="5"/>
  <c r="BI914" i="17"/>
  <c r="BL914" i="17" s="1"/>
  <c r="W619" i="5"/>
  <c r="BI919" i="17"/>
  <c r="BL919" i="17" s="1"/>
  <c r="W621" i="5"/>
  <c r="BI921" i="17"/>
  <c r="BL921" i="17" s="1"/>
  <c r="W627" i="5"/>
  <c r="BI927" i="17"/>
  <c r="BL927" i="17" s="1"/>
  <c r="W635" i="5"/>
  <c r="BI935" i="17"/>
  <c r="BL935" i="17" s="1"/>
  <c r="W641" i="5"/>
  <c r="BI941" i="17"/>
  <c r="BL941" i="17" s="1"/>
  <c r="W646" i="5"/>
  <c r="BI946" i="17"/>
  <c r="BL946" i="17" s="1"/>
  <c r="W650" i="5"/>
  <c r="BI950" i="17"/>
  <c r="BL950" i="17" s="1"/>
  <c r="W653" i="5"/>
  <c r="BI953" i="17"/>
  <c r="BL953" i="17" s="1"/>
  <c r="W659" i="5"/>
  <c r="BI959" i="17"/>
  <c r="BL959" i="17" s="1"/>
  <c r="U665" i="5"/>
  <c r="BD965" i="17"/>
  <c r="BG965" i="17" s="1"/>
  <c r="W670" i="5"/>
  <c r="BI970" i="17"/>
  <c r="BL970" i="17" s="1"/>
  <c r="W676" i="5"/>
  <c r="BI976" i="17"/>
  <c r="BL976" i="17" s="1"/>
  <c r="W682" i="5"/>
  <c r="BI982" i="17"/>
  <c r="BL982" i="17" s="1"/>
  <c r="W687" i="5"/>
  <c r="BI987" i="17"/>
  <c r="BL987" i="17" s="1"/>
  <c r="W693" i="5"/>
  <c r="BI993" i="17"/>
  <c r="BL993" i="17" s="1"/>
  <c r="W695" i="5"/>
  <c r="BI995" i="17"/>
  <c r="BL995" i="17" s="1"/>
  <c r="W701" i="5"/>
  <c r="BI1001" i="17"/>
  <c r="BL1001" i="17" s="1"/>
  <c r="M708" i="5"/>
  <c r="AJ1008" i="17"/>
  <c r="AM1008" i="17" s="1"/>
  <c r="W713" i="5"/>
  <c r="BI1013" i="17"/>
  <c r="BL1013" i="17" s="1"/>
  <c r="O720" i="5"/>
  <c r="AO1020" i="17"/>
  <c r="AR1020" i="17" s="1"/>
  <c r="M726" i="5"/>
  <c r="AJ1026" i="17"/>
  <c r="AM1026" i="17" s="1"/>
  <c r="W731" i="5"/>
  <c r="BI1031" i="17"/>
  <c r="BL1031" i="17" s="1"/>
  <c r="W737" i="5"/>
  <c r="BI1037" i="17"/>
  <c r="BL1037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61" i="5"/>
  <c r="BI1061" i="17"/>
  <c r="BL1061" i="17" s="1"/>
  <c r="W767" i="5"/>
  <c r="BI1067" i="17"/>
  <c r="BL1067" i="17" s="1"/>
  <c r="W771" i="5"/>
  <c r="BI1071" i="17"/>
  <c r="BL1071" i="17" s="1"/>
  <c r="W778" i="5"/>
  <c r="BI1078" i="17"/>
  <c r="BL1078" i="17" s="1"/>
  <c r="W789" i="5"/>
  <c r="BI1089" i="17"/>
  <c r="BL1089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Q835" i="5"/>
  <c r="AT1135" i="17"/>
  <c r="AW1135" i="17" s="1"/>
  <c r="M841" i="5"/>
  <c r="AJ1141" i="17"/>
  <c r="AM1141" i="17" s="1"/>
  <c r="W850" i="5"/>
  <c r="BI1150" i="17"/>
  <c r="BL1150" i="17" s="1"/>
  <c r="Q3" i="5"/>
  <c r="AT3" i="17" s="1"/>
  <c r="AW3" i="17" s="1"/>
  <c r="Q6" i="5"/>
  <c r="AT6" i="17" s="1"/>
  <c r="AW6" i="17" s="1"/>
  <c r="Q10" i="5"/>
  <c r="AT11" i="17" s="1"/>
  <c r="AW11" i="17" s="1"/>
  <c r="W11" i="5"/>
  <c r="BI12" i="17"/>
  <c r="BL12" i="17" s="1"/>
  <c r="W13" i="5"/>
  <c r="BI14" i="17"/>
  <c r="BL14" i="17" s="1"/>
  <c r="W15" i="5"/>
  <c r="BI16" i="17"/>
  <c r="BL16" i="17" s="1"/>
  <c r="W17" i="5"/>
  <c r="BI18" i="17"/>
  <c r="BL18" i="17" s="1"/>
  <c r="W19" i="5"/>
  <c r="BI20" i="17"/>
  <c r="BL20" i="17" s="1"/>
  <c r="M21" i="5"/>
  <c r="AJ22" i="17" s="1"/>
  <c r="AM22" i="17" s="1"/>
  <c r="Q22" i="5"/>
  <c r="AT23" i="17"/>
  <c r="AW23" i="17" s="1"/>
  <c r="W23" i="5"/>
  <c r="BI24" i="17"/>
  <c r="BL24" i="17" s="1"/>
  <c r="M26" i="5"/>
  <c r="AJ27" i="17" s="1"/>
  <c r="AM27" i="17" s="1"/>
  <c r="M27" i="5"/>
  <c r="AJ28" i="17" s="1"/>
  <c r="AM28" i="17" s="1"/>
  <c r="W28" i="5"/>
  <c r="BI29" i="17"/>
  <c r="BL29" i="17" s="1"/>
  <c r="Q30" i="5"/>
  <c r="AT31" i="17" s="1"/>
  <c r="AW31" i="17" s="1"/>
  <c r="W31" i="5"/>
  <c r="BI32" i="17"/>
  <c r="BL32" i="17" s="1"/>
  <c r="O33" i="5"/>
  <c r="AO34" i="17" s="1"/>
  <c r="AR34" i="17" s="1"/>
  <c r="Q34" i="5"/>
  <c r="AT35" i="17"/>
  <c r="AW35" i="17" s="1"/>
  <c r="W36" i="5"/>
  <c r="BI37" i="17"/>
  <c r="BL37" i="17" s="1"/>
  <c r="O38" i="5"/>
  <c r="AO39" i="17" s="1"/>
  <c r="AR39" i="17" s="1"/>
  <c r="U39" i="5"/>
  <c r="BD40" i="17"/>
  <c r="BG40" i="17" s="1"/>
  <c r="W40" i="5"/>
  <c r="BI41" i="17"/>
  <c r="BL41" i="17" s="1"/>
  <c r="M42" i="5"/>
  <c r="AJ43" i="17" s="1"/>
  <c r="AM43" i="17" s="1"/>
  <c r="W43" i="5"/>
  <c r="BI44" i="17"/>
  <c r="BL44" i="17" s="1"/>
  <c r="U45" i="5"/>
  <c r="BD46" i="17"/>
  <c r="BG46" i="17" s="1"/>
  <c r="W47" i="5"/>
  <c r="BI48" i="17"/>
  <c r="BL48" i="17" s="1"/>
  <c r="W49" i="5"/>
  <c r="BI50" i="17"/>
  <c r="BL50" i="17" s="1"/>
  <c r="W50" i="5"/>
  <c r="BI51" i="17"/>
  <c r="BL51" i="17" s="1"/>
  <c r="W52" i="5"/>
  <c r="BI53" i="17"/>
  <c r="BL53" i="17" s="1"/>
  <c r="Q54" i="5"/>
  <c r="AT55" i="17"/>
  <c r="AW55" i="17" s="1"/>
  <c r="Q56" i="5"/>
  <c r="AT57" i="17" s="1"/>
  <c r="AW57" i="17" s="1"/>
  <c r="O58" i="5"/>
  <c r="AO59" i="17" s="1"/>
  <c r="AR59" i="17" s="1"/>
  <c r="W59" i="5"/>
  <c r="BI60" i="17"/>
  <c r="BL60" i="17" s="1"/>
  <c r="Q61" i="5"/>
  <c r="AT62" i="17" s="1"/>
  <c r="AW62" i="17" s="1"/>
  <c r="W63" i="5"/>
  <c r="BI64" i="17"/>
  <c r="BL64" i="17" s="1"/>
  <c r="M65" i="5"/>
  <c r="AJ66" i="17"/>
  <c r="AM66" i="17" s="1"/>
  <c r="W66" i="5"/>
  <c r="BI67" i="17"/>
  <c r="BL67" i="17" s="1"/>
  <c r="W68" i="5"/>
  <c r="BI69" i="17"/>
  <c r="BL69" i="17" s="1"/>
  <c r="Q70" i="5"/>
  <c r="AT71" i="17" s="1"/>
  <c r="AW71" i="17" s="1"/>
  <c r="O72" i="5"/>
  <c r="AO73" i="17" s="1"/>
  <c r="AR73" i="17" s="1"/>
  <c r="O74" i="5"/>
  <c r="AO75" i="17" s="1"/>
  <c r="AR75" i="17" s="1"/>
  <c r="Q75" i="5"/>
  <c r="AT76" i="17"/>
  <c r="AW76" i="17" s="1"/>
  <c r="W76" i="5"/>
  <c r="BI77" i="17"/>
  <c r="BL77" i="17" s="1"/>
  <c r="W78" i="5"/>
  <c r="BI79" i="17"/>
  <c r="BL79" i="17" s="1"/>
  <c r="Q80" i="5"/>
  <c r="AT81" i="17"/>
  <c r="AW81" i="17" s="1"/>
  <c r="W82" i="5"/>
  <c r="BI83" i="17"/>
  <c r="BL83" i="17" s="1"/>
  <c r="W84" i="5"/>
  <c r="BI85" i="17"/>
  <c r="BL85" i="17" s="1"/>
  <c r="BI384" i="17"/>
  <c r="BL384" i="17" s="1"/>
  <c r="Q86" i="5"/>
  <c r="AT87" i="17"/>
  <c r="AW87" i="17" s="1"/>
  <c r="AT386" i="17"/>
  <c r="AW386" i="17" s="1"/>
  <c r="Q88" i="5"/>
  <c r="AT89" i="17"/>
  <c r="AW89" i="17" s="1"/>
  <c r="AT388" i="17"/>
  <c r="AW388" i="17" s="1"/>
  <c r="W89" i="5"/>
  <c r="BI90" i="17"/>
  <c r="BL90" i="17" s="1"/>
  <c r="BI389" i="17"/>
  <c r="BL389" i="17" s="1"/>
  <c r="W90" i="5"/>
  <c r="BI91" i="17"/>
  <c r="BL91" i="17" s="1"/>
  <c r="BI390" i="17"/>
  <c r="BL390" i="17" s="1"/>
  <c r="W92" i="5"/>
  <c r="BI93" i="17"/>
  <c r="BL93" i="17" s="1"/>
  <c r="BI392" i="17"/>
  <c r="BL392" i="17" s="1"/>
  <c r="M94" i="5"/>
  <c r="AJ95" i="17" s="1"/>
  <c r="AM95" i="17" s="1"/>
  <c r="M96" i="5"/>
  <c r="AJ97" i="17" s="1"/>
  <c r="AM97" i="17" s="1"/>
  <c r="Q98" i="5"/>
  <c r="AT99" i="17"/>
  <c r="AW99" i="17" s="1"/>
  <c r="AT398" i="17"/>
  <c r="AW398" i="17" s="1"/>
  <c r="Q100" i="5"/>
  <c r="AT101" i="17"/>
  <c r="AW101" i="17" s="1"/>
  <c r="AT400" i="17"/>
  <c r="AW400" i="17" s="1"/>
  <c r="W102" i="5"/>
  <c r="BI103" i="17"/>
  <c r="BL103" i="17" s="1"/>
  <c r="BI402" i="17"/>
  <c r="BL402" i="17" s="1"/>
  <c r="O105" i="5"/>
  <c r="AO106" i="17" s="1"/>
  <c r="AR106" i="17" s="1"/>
  <c r="W107" i="5"/>
  <c r="BI108" i="17"/>
  <c r="BL108" i="17" s="1"/>
  <c r="BI407" i="17"/>
  <c r="BL407" i="17" s="1"/>
  <c r="O110" i="5"/>
  <c r="AO111" i="17" s="1"/>
  <c r="AR111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Q116" i="5"/>
  <c r="AT117" i="17"/>
  <c r="AW117" i="17" s="1"/>
  <c r="AT416" i="17"/>
  <c r="AW416" i="17" s="1"/>
  <c r="W118" i="5"/>
  <c r="BI119" i="17"/>
  <c r="BL119" i="17" s="1"/>
  <c r="BI418" i="17"/>
  <c r="BL418" i="17" s="1"/>
  <c r="W120" i="5"/>
  <c r="BI121" i="17"/>
  <c r="BL121" i="17" s="1"/>
  <c r="BI420" i="17"/>
  <c r="BL420" i="17" s="1"/>
  <c r="O123" i="5"/>
  <c r="AO124" i="17" s="1"/>
  <c r="AR124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M129" i="5"/>
  <c r="AJ429" i="17" s="1"/>
  <c r="AM429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Q139" i="5"/>
  <c r="AT140" i="17"/>
  <c r="AW140" i="17" s="1"/>
  <c r="AT439" i="17"/>
  <c r="AW439" i="17" s="1"/>
  <c r="W140" i="5"/>
  <c r="BI141" i="17"/>
  <c r="BL141" i="17" s="1"/>
  <c r="BI440" i="17"/>
  <c r="BL440" i="17" s="1"/>
  <c r="Q143" i="5"/>
  <c r="AT144" i="17"/>
  <c r="AW144" i="17" s="1"/>
  <c r="AT443" i="17"/>
  <c r="AW443" i="17" s="1"/>
  <c r="W144" i="5"/>
  <c r="BI145" i="17"/>
  <c r="BL145" i="17" s="1"/>
  <c r="BI444" i="17"/>
  <c r="BL444" i="17" s="1"/>
  <c r="U147" i="5"/>
  <c r="BD148" i="17"/>
  <c r="BG148" i="17" s="1"/>
  <c r="BD447" i="17"/>
  <c r="BG447" i="17" s="1"/>
  <c r="Q149" i="5"/>
  <c r="AT150" i="17"/>
  <c r="AW150" i="17" s="1"/>
  <c r="AT449" i="17"/>
  <c r="AW449" i="17" s="1"/>
  <c r="W151" i="5"/>
  <c r="BI152" i="17"/>
  <c r="BL152" i="17" s="1"/>
  <c r="BI451" i="17"/>
  <c r="BL451" i="17" s="1"/>
  <c r="W153" i="5"/>
  <c r="BI154" i="17"/>
  <c r="BL154" i="17" s="1"/>
  <c r="BI453" i="17"/>
  <c r="BL453" i="17" s="1"/>
  <c r="O156" i="5"/>
  <c r="AO157" i="17"/>
  <c r="AR157" i="17" s="1"/>
  <c r="AO456" i="17"/>
  <c r="AR456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O164" i="5"/>
  <c r="AO165" i="17"/>
  <c r="AR165" i="17" s="1"/>
  <c r="AO464" i="17"/>
  <c r="AR464" i="17" s="1"/>
  <c r="W165" i="5"/>
  <c r="BI166" i="17"/>
  <c r="BL166" i="17" s="1"/>
  <c r="BI465" i="17"/>
  <c r="BL465" i="17" s="1"/>
  <c r="M168" i="5"/>
  <c r="AJ169" i="17"/>
  <c r="AM169" i="17" s="1"/>
  <c r="AJ468" i="17"/>
  <c r="AM468" i="17" s="1"/>
  <c r="W170" i="5"/>
  <c r="W172" i="5"/>
  <c r="BI173" i="17"/>
  <c r="BL173" i="17" s="1"/>
  <c r="BI472" i="17"/>
  <c r="BL472" i="17" s="1"/>
  <c r="Q174" i="5"/>
  <c r="AT175" i="17"/>
  <c r="AW175" i="17" s="1"/>
  <c r="AT474" i="17"/>
  <c r="AW474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M179" i="5"/>
  <c r="AJ180" i="17"/>
  <c r="AM180" i="17" s="1"/>
  <c r="AJ479" i="17"/>
  <c r="AM479" i="17" s="1"/>
  <c r="Q180" i="5"/>
  <c r="AT181" i="17"/>
  <c r="AW181" i="17" s="1"/>
  <c r="AT480" i="17"/>
  <c r="AW480" i="17" s="1"/>
  <c r="W181" i="5"/>
  <c r="BI182" i="17"/>
  <c r="BL182" i="17" s="1"/>
  <c r="BI481" i="17"/>
  <c r="BL481" i="17" s="1"/>
  <c r="Q183" i="5"/>
  <c r="AT184" i="17"/>
  <c r="AW184" i="17" s="1"/>
  <c r="AT483" i="17"/>
  <c r="AW483" i="17" s="1"/>
  <c r="W184" i="5"/>
  <c r="BI185" i="17"/>
  <c r="BL185" i="17" s="1"/>
  <c r="BI484" i="17"/>
  <c r="BL484" i="17" s="1"/>
  <c r="Q187" i="5"/>
  <c r="AT188" i="17"/>
  <c r="AW188" i="17" s="1"/>
  <c r="AT487" i="17"/>
  <c r="AW487" i="17" s="1"/>
  <c r="O189" i="5"/>
  <c r="AO190" i="17"/>
  <c r="AR190" i="17" s="1"/>
  <c r="AO489" i="17"/>
  <c r="AR489" i="17" s="1"/>
  <c r="O191" i="5"/>
  <c r="AO192" i="17"/>
  <c r="AR192" i="17" s="1"/>
  <c r="AO491" i="17"/>
  <c r="AR491" i="17" s="1"/>
  <c r="W193" i="5"/>
  <c r="BI194" i="17"/>
  <c r="BL194" i="17" s="1"/>
  <c r="BI493" i="17"/>
  <c r="BL493" i="17" s="1"/>
  <c r="M196" i="5"/>
  <c r="AJ197" i="17"/>
  <c r="AM197" i="17" s="1"/>
  <c r="AJ496" i="17"/>
  <c r="AM496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M202" i="5"/>
  <c r="AJ203" i="17"/>
  <c r="AM203" i="17" s="1"/>
  <c r="AJ502" i="17"/>
  <c r="AM502" i="17" s="1"/>
  <c r="Q203" i="5"/>
  <c r="AT204" i="17"/>
  <c r="AW204" i="17" s="1"/>
  <c r="AT503" i="17"/>
  <c r="AW503" i="17" s="1"/>
  <c r="W205" i="5"/>
  <c r="BI206" i="17"/>
  <c r="BL206" i="17" s="1"/>
  <c r="BI505" i="17"/>
  <c r="BL505" i="17" s="1"/>
  <c r="W207" i="5"/>
  <c r="BI208" i="17"/>
  <c r="BL208" i="17" s="1"/>
  <c r="BI507" i="17"/>
  <c r="BL507" i="17" s="1"/>
  <c r="W210" i="5"/>
  <c r="BI211" i="17"/>
  <c r="BL211" i="17" s="1"/>
  <c r="BI510" i="17"/>
  <c r="BL510" i="17" s="1"/>
  <c r="M213" i="5"/>
  <c r="AJ214" i="17"/>
  <c r="AM214" i="17" s="1"/>
  <c r="AJ513" i="17"/>
  <c r="AM513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O220" i="5"/>
  <c r="AO221" i="17"/>
  <c r="AR221" i="17" s="1"/>
  <c r="AO520" i="17"/>
  <c r="AR520" i="17" s="1"/>
  <c r="M222" i="5"/>
  <c r="AJ223" i="17"/>
  <c r="AM223" i="17" s="1"/>
  <c r="AJ522" i="17"/>
  <c r="AM522" i="17" s="1"/>
  <c r="Q223" i="5"/>
  <c r="AT224" i="17"/>
  <c r="AW224" i="17" s="1"/>
  <c r="AT523" i="17"/>
  <c r="AW523" i="17" s="1"/>
  <c r="W226" i="5"/>
  <c r="BI227" i="17"/>
  <c r="BL227" i="17" s="1"/>
  <c r="BI526" i="17"/>
  <c r="BL526" i="17" s="1"/>
  <c r="M229" i="5"/>
  <c r="AJ230" i="17"/>
  <c r="AM230" i="17" s="1"/>
  <c r="AJ529" i="17"/>
  <c r="AM529" i="17" s="1"/>
  <c r="O232" i="5"/>
  <c r="AO233" i="17"/>
  <c r="AR233" i="17" s="1"/>
  <c r="AO532" i="17"/>
  <c r="AR532" i="17" s="1"/>
  <c r="Q234" i="5"/>
  <c r="AT235" i="17"/>
  <c r="AW235" i="17" s="1"/>
  <c r="AT534" i="17"/>
  <c r="AW534" i="17" s="1"/>
  <c r="Q235" i="5"/>
  <c r="AT236" i="17"/>
  <c r="AW236" i="17" s="1"/>
  <c r="AT535" i="17"/>
  <c r="AW535" i="17" s="1"/>
  <c r="Q236" i="5"/>
  <c r="AT237" i="17"/>
  <c r="AW237" i="17" s="1"/>
  <c r="AT536" i="17"/>
  <c r="AW536" i="17" s="1"/>
  <c r="W238" i="5"/>
  <c r="BI239" i="17"/>
  <c r="BL239" i="17" s="1"/>
  <c r="BI538" i="17"/>
  <c r="BL538" i="17" s="1"/>
  <c r="M241" i="5"/>
  <c r="AJ242" i="17"/>
  <c r="AM242" i="17" s="1"/>
  <c r="AJ541" i="17"/>
  <c r="AM541" i="17" s="1"/>
  <c r="M242" i="5"/>
  <c r="AJ243" i="17"/>
  <c r="AM243" i="17" s="1"/>
  <c r="AJ542" i="17"/>
  <c r="AM542" i="17" s="1"/>
  <c r="O244" i="5"/>
  <c r="AO245" i="17"/>
  <c r="AR245" i="17" s="1"/>
  <c r="AO544" i="17"/>
  <c r="AR544" i="17" s="1"/>
  <c r="W246" i="5"/>
  <c r="BI247" i="17"/>
  <c r="BL247" i="17" s="1"/>
  <c r="BI546" i="17"/>
  <c r="BL546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M253" i="5"/>
  <c r="AJ254" i="17"/>
  <c r="AM254" i="17" s="1"/>
  <c r="AJ553" i="17"/>
  <c r="AM553" i="17" s="1"/>
  <c r="O255" i="5"/>
  <c r="AO256" i="17"/>
  <c r="AR256" i="17" s="1"/>
  <c r="AO555" i="17"/>
  <c r="AR555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M276" i="5"/>
  <c r="AJ277" i="17"/>
  <c r="AM277" i="17" s="1"/>
  <c r="AJ576" i="17"/>
  <c r="AM576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Q295" i="5"/>
  <c r="AT296" i="17"/>
  <c r="AW296" i="17" s="1"/>
  <c r="AT595" i="17"/>
  <c r="AW595" i="17" s="1"/>
  <c r="W297" i="5"/>
  <c r="BI298" i="17"/>
  <c r="BL298" i="17" s="1"/>
  <c r="BI597" i="17"/>
  <c r="BL597" i="17" s="1"/>
  <c r="W299" i="5"/>
  <c r="BI300" i="17"/>
  <c r="BL300" i="17" s="1"/>
  <c r="BI599" i="17"/>
  <c r="BL599" i="17" s="1"/>
  <c r="M303" i="5"/>
  <c r="AJ304" i="17"/>
  <c r="AM304" i="17" s="1"/>
  <c r="AJ603" i="17"/>
  <c r="AM603" i="17" s="1"/>
  <c r="M305" i="5"/>
  <c r="AJ306" i="17"/>
  <c r="AM306" i="17" s="1"/>
  <c r="AJ605" i="17"/>
  <c r="AM605" i="17" s="1"/>
  <c r="O308" i="5"/>
  <c r="AO309" i="17"/>
  <c r="AR309" i="17" s="1"/>
  <c r="AO608" i="17"/>
  <c r="AR608" i="17" s="1"/>
  <c r="W310" i="5"/>
  <c r="BI311" i="17"/>
  <c r="BL311" i="17" s="1"/>
  <c r="BI610" i="17"/>
  <c r="BL610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M321" i="5"/>
  <c r="AJ322" i="17"/>
  <c r="AM322" i="17" s="1"/>
  <c r="AJ621" i="17"/>
  <c r="AM621" i="17" s="1"/>
  <c r="O323" i="5"/>
  <c r="AO324" i="17"/>
  <c r="AR324" i="17" s="1"/>
  <c r="AO623" i="17"/>
  <c r="AR623" i="17" s="1"/>
  <c r="W324" i="5"/>
  <c r="BI325" i="17"/>
  <c r="BL325" i="17" s="1"/>
  <c r="BI624" i="17"/>
  <c r="BL624" i="17" s="1"/>
  <c r="M327" i="5"/>
  <c r="AJ328" i="17"/>
  <c r="AM328" i="17" s="1"/>
  <c r="AJ627" i="17"/>
  <c r="AM627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M355" i="5"/>
  <c r="AJ356" i="17"/>
  <c r="AM356" i="17" s="1"/>
  <c r="AJ655" i="17"/>
  <c r="AM655" i="17" s="1"/>
  <c r="O357" i="5"/>
  <c r="AO358" i="17"/>
  <c r="AR358" i="17" s="1"/>
  <c r="AO657" i="17"/>
  <c r="AR657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/>
  <c r="AR370" i="17" s="1"/>
  <c r="AO669" i="17"/>
  <c r="AR669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Q382" i="5"/>
  <c r="AT383" i="17"/>
  <c r="AW383" i="17" s="1"/>
  <c r="AT682" i="17"/>
  <c r="AW682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Q403" i="5"/>
  <c r="AT703" i="17"/>
  <c r="AW703" i="17" s="1"/>
  <c r="W405" i="5"/>
  <c r="BI705" i="17"/>
  <c r="BL705" i="17" s="1"/>
  <c r="W408" i="5"/>
  <c r="BI708" i="17"/>
  <c r="BL708" i="17" s="1"/>
  <c r="O412" i="5"/>
  <c r="AO712" i="17"/>
  <c r="AR712" i="17" s="1"/>
  <c r="M415" i="5"/>
  <c r="AJ715" i="17"/>
  <c r="AM715" i="17" s="1"/>
  <c r="W417" i="5"/>
  <c r="BI717" i="17"/>
  <c r="BL717" i="17" s="1"/>
  <c r="M420" i="5"/>
  <c r="AJ720" i="17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Q531" i="5"/>
  <c r="AT831" i="17"/>
  <c r="AW831" i="17" s="1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1" i="5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88" i="5"/>
  <c r="BI888" i="17"/>
  <c r="BL888" i="17" s="1"/>
  <c r="W591" i="5"/>
  <c r="BI891" i="17"/>
  <c r="BL891" i="17" s="1"/>
  <c r="W594" i="5"/>
  <c r="BI894" i="17"/>
  <c r="BL894" i="17" s="1"/>
  <c r="W596" i="5"/>
  <c r="BI896" i="17"/>
  <c r="BL896" i="17" s="1"/>
  <c r="W599" i="5"/>
  <c r="BI899" i="17"/>
  <c r="BL899" i="17" s="1"/>
  <c r="U601" i="5"/>
  <c r="BD901" i="17"/>
  <c r="BG901" i="17" s="1"/>
  <c r="Q602" i="5"/>
  <c r="AT902" i="17"/>
  <c r="AW902" i="17" s="1"/>
  <c r="W604" i="5"/>
  <c r="BI904" i="17"/>
  <c r="BL904" i="17" s="1"/>
  <c r="W607" i="5"/>
  <c r="BI907" i="17"/>
  <c r="BL907" i="17" s="1"/>
  <c r="W610" i="5"/>
  <c r="BI910" i="17"/>
  <c r="BL910" i="17" s="1"/>
  <c r="W612" i="5"/>
  <c r="BI912" i="17"/>
  <c r="BL912" i="17" s="1"/>
  <c r="M615" i="5"/>
  <c r="AJ915" i="17"/>
  <c r="AM915" i="17" s="1"/>
  <c r="W617" i="5"/>
  <c r="BI917" i="17"/>
  <c r="BL917" i="17" s="1"/>
  <c r="M620" i="5"/>
  <c r="AJ920" i="17"/>
  <c r="AM920" i="17" s="1"/>
  <c r="M622" i="5"/>
  <c r="AJ922" i="17"/>
  <c r="AM922" i="17" s="1"/>
  <c r="M625" i="5"/>
  <c r="AJ925" i="17"/>
  <c r="AM925" i="17" s="1"/>
  <c r="W628" i="5"/>
  <c r="BI928" i="17"/>
  <c r="BL928" i="17" s="1"/>
  <c r="W631" i="5"/>
  <c r="BI931" i="17"/>
  <c r="BL931" i="17" s="1"/>
  <c r="W633" i="5"/>
  <c r="BI933" i="17"/>
  <c r="BL933" i="17" s="1"/>
  <c r="W636" i="5"/>
  <c r="BI936" i="17"/>
  <c r="BL936" i="17" s="1"/>
  <c r="W639" i="5"/>
  <c r="BI939" i="17"/>
  <c r="BL939" i="17" s="1"/>
  <c r="W642" i="5"/>
  <c r="BI942" i="17"/>
  <c r="BL942" i="17" s="1"/>
  <c r="M645" i="5"/>
  <c r="AJ945" i="17"/>
  <c r="AM945" i="17" s="1"/>
  <c r="M647" i="5"/>
  <c r="AJ947" i="17"/>
  <c r="AM947" i="17" s="1"/>
  <c r="W648" i="5"/>
  <c r="BI948" i="17"/>
  <c r="BL948" i="17" s="1"/>
  <c r="U651" i="5"/>
  <c r="BD951" i="17"/>
  <c r="BG951" i="17" s="1"/>
  <c r="W654" i="5"/>
  <c r="BI954" i="17"/>
  <c r="BL954" i="17" s="1"/>
  <c r="W657" i="5"/>
  <c r="BI957" i="17"/>
  <c r="BL957" i="17" s="1"/>
  <c r="W660" i="5"/>
  <c r="BI960" i="17"/>
  <c r="BL960" i="17" s="1"/>
  <c r="W663" i="5"/>
  <c r="BI963" i="17"/>
  <c r="BL963" i="17" s="1"/>
  <c r="W665" i="5"/>
  <c r="BI965" i="17"/>
  <c r="BL965" i="17" s="1"/>
  <c r="W668" i="5"/>
  <c r="BI968" i="17"/>
  <c r="BL968" i="17" s="1"/>
  <c r="W671" i="5"/>
  <c r="BI971" i="17"/>
  <c r="BL971" i="17" s="1"/>
  <c r="W674" i="5"/>
  <c r="BI974" i="17"/>
  <c r="BL974" i="17" s="1"/>
  <c r="M677" i="5"/>
  <c r="AJ977" i="17"/>
  <c r="AM977" i="17" s="1"/>
  <c r="M680" i="5"/>
  <c r="AJ980" i="17"/>
  <c r="AM980" i="17" s="1"/>
  <c r="W683" i="5"/>
  <c r="BI983" i="17"/>
  <c r="BL983" i="17" s="1"/>
  <c r="W685" i="5"/>
  <c r="BI985" i="17"/>
  <c r="BL985" i="17" s="1"/>
  <c r="W688" i="5"/>
  <c r="BI988" i="17"/>
  <c r="BL988" i="17" s="1"/>
  <c r="W691" i="5"/>
  <c r="BI991" i="17"/>
  <c r="BL991" i="17" s="1"/>
  <c r="M694" i="5"/>
  <c r="AJ994" i="17"/>
  <c r="AM994" i="17" s="1"/>
  <c r="W696" i="5"/>
  <c r="BI996" i="17"/>
  <c r="BL996" i="17" s="1"/>
  <c r="W699" i="5"/>
  <c r="BI999" i="17"/>
  <c r="BL999" i="17" s="1"/>
  <c r="W702" i="5"/>
  <c r="BI1002" i="17"/>
  <c r="BL1002" i="17" s="1"/>
  <c r="W705" i="5"/>
  <c r="BI1005" i="17"/>
  <c r="BL1005" i="17" s="1"/>
  <c r="W708" i="5"/>
  <c r="BI1008" i="17"/>
  <c r="BL1008" i="17" s="1"/>
  <c r="W711" i="5"/>
  <c r="BI1011" i="17"/>
  <c r="BL1011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6" i="5"/>
  <c r="W759" i="5"/>
  <c r="BI1059" i="17"/>
  <c r="BL1059" i="17" s="1"/>
  <c r="W762" i="5"/>
  <c r="BI1062" i="17"/>
  <c r="BL1062" i="17" s="1"/>
  <c r="M765" i="5"/>
  <c r="AJ1065" i="17"/>
  <c r="AM1065" i="17" s="1"/>
  <c r="W768" i="5"/>
  <c r="BI1068" i="17"/>
  <c r="BL1068" i="17" s="1"/>
  <c r="W772" i="5"/>
  <c r="BI1072" i="17"/>
  <c r="BL1072" i="17" s="1"/>
  <c r="Q776" i="5"/>
  <c r="AT1076" i="17"/>
  <c r="AW1076" i="17" s="1"/>
  <c r="Q779" i="5"/>
  <c r="AT1079" i="17"/>
  <c r="AW1079" i="17" s="1"/>
  <c r="W782" i="5"/>
  <c r="BI1082" i="17"/>
  <c r="BL1082" i="17" s="1"/>
  <c r="W786" i="5"/>
  <c r="BI1086" i="17"/>
  <c r="BL1086" i="17" s="1"/>
  <c r="W790" i="5"/>
  <c r="BI1090" i="17"/>
  <c r="BL1090" i="17" s="1"/>
  <c r="Q794" i="5"/>
  <c r="AT1094" i="17"/>
  <c r="AW1094" i="17" s="1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Q5" i="5"/>
  <c r="AT5" i="17" s="1"/>
  <c r="AW5" i="17" s="1"/>
  <c r="Q8" i="5"/>
  <c r="AT8" i="17" s="1"/>
  <c r="AW8" i="17" s="1"/>
  <c r="Q14" i="5"/>
  <c r="AT15" i="17" s="1"/>
  <c r="AW15" i="17" s="1"/>
  <c r="M20" i="5"/>
  <c r="AJ21" i="17" s="1"/>
  <c r="AM21" i="17" s="1"/>
  <c r="Q24" i="5"/>
  <c r="AT25" i="17" s="1"/>
  <c r="AW25" i="17" s="1"/>
  <c r="Q33" i="5"/>
  <c r="AT34" i="17"/>
  <c r="AW34" i="17" s="1"/>
  <c r="W34" i="5"/>
  <c r="BI35" i="17"/>
  <c r="BL35" i="17" s="1"/>
  <c r="W39" i="5"/>
  <c r="BI40" i="17"/>
  <c r="BL40" i="17" s="1"/>
  <c r="U44" i="5"/>
  <c r="BD45" i="17"/>
  <c r="BG45" i="17" s="1"/>
  <c r="O48" i="5"/>
  <c r="AO49" i="17" s="1"/>
  <c r="AR49" i="17" s="1"/>
  <c r="M53" i="5"/>
  <c r="AJ54" i="17" s="1"/>
  <c r="AM54" i="17" s="1"/>
  <c r="W54" i="5"/>
  <c r="BI55" i="17"/>
  <c r="BL55" i="17" s="1"/>
  <c r="O60" i="5"/>
  <c r="AO61" i="17" s="1"/>
  <c r="AR61" i="17" s="1"/>
  <c r="M64" i="5"/>
  <c r="AJ65" i="17" s="1"/>
  <c r="AM65" i="17" s="1"/>
  <c r="Q67" i="5"/>
  <c r="AT68" i="17" s="1"/>
  <c r="AW68" i="17" s="1"/>
  <c r="Q72" i="5"/>
  <c r="AT73" i="17"/>
  <c r="AW73" i="17" s="1"/>
  <c r="Q77" i="5"/>
  <c r="AT78" i="17"/>
  <c r="AW78" i="17" s="1"/>
  <c r="W80" i="5"/>
  <c r="BI81" i="17"/>
  <c r="BL81" i="17" s="1"/>
  <c r="W86" i="5"/>
  <c r="BI87" i="17"/>
  <c r="BL87" i="17" s="1"/>
  <c r="BI386" i="17"/>
  <c r="BL386" i="17" s="1"/>
  <c r="M90" i="5"/>
  <c r="AJ91" i="17" s="1"/>
  <c r="AM91" i="17" s="1"/>
  <c r="Q94" i="5"/>
  <c r="AT95" i="17"/>
  <c r="AW95" i="17" s="1"/>
  <c r="AT394" i="17"/>
  <c r="AW394" i="17" s="1"/>
  <c r="W100" i="5"/>
  <c r="BI101" i="17"/>
  <c r="BL101" i="17" s="1"/>
  <c r="BI400" i="17"/>
  <c r="BL400" i="17" s="1"/>
  <c r="Q108" i="5"/>
  <c r="AT109" i="17"/>
  <c r="AW109" i="17" s="1"/>
  <c r="AT408" i="17"/>
  <c r="AW408" i="17" s="1"/>
  <c r="M115" i="5"/>
  <c r="AJ116" i="17" s="1"/>
  <c r="AM1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Q131" i="5"/>
  <c r="AT132" i="17"/>
  <c r="AW132" i="17" s="1"/>
  <c r="AT431" i="17"/>
  <c r="AW431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Q145" i="5"/>
  <c r="AT146" i="17"/>
  <c r="AW146" i="17" s="1"/>
  <c r="AT445" i="17"/>
  <c r="AW445" i="17" s="1"/>
  <c r="U152" i="5"/>
  <c r="BD153" i="17"/>
  <c r="BG153" i="17" s="1"/>
  <c r="BD452" i="17"/>
  <c r="BG452" i="17" s="1"/>
  <c r="W159" i="5"/>
  <c r="BI160" i="17"/>
  <c r="BL160" i="17" s="1"/>
  <c r="BI459" i="17"/>
  <c r="BL459" i="17" s="1"/>
  <c r="O166" i="5"/>
  <c r="AO167" i="17"/>
  <c r="AR167" i="17" s="1"/>
  <c r="AO466" i="17"/>
  <c r="AR466" i="17" s="1"/>
  <c r="M173" i="5"/>
  <c r="AJ174" i="17"/>
  <c r="AM174" i="17" s="1"/>
  <c r="AJ473" i="17"/>
  <c r="AM473" i="17" s="1"/>
  <c r="W177" i="5"/>
  <c r="BI178" i="17"/>
  <c r="BL178" i="17" s="1"/>
  <c r="BI477" i="17"/>
  <c r="BL477" i="17" s="1"/>
  <c r="O182" i="5"/>
  <c r="AO183" i="17"/>
  <c r="AR183" i="17" s="1"/>
  <c r="AO482" i="17"/>
  <c r="AR482" i="17" s="1"/>
  <c r="W187" i="5"/>
  <c r="BI188" i="17"/>
  <c r="BL188" i="17" s="1"/>
  <c r="BI487" i="17"/>
  <c r="BL487" i="17" s="1"/>
  <c r="M194" i="5"/>
  <c r="AJ195" i="17"/>
  <c r="AM195" i="17" s="1"/>
  <c r="AJ494" i="17"/>
  <c r="AM494" i="17" s="1"/>
  <c r="W203" i="5"/>
  <c r="BI204" i="17"/>
  <c r="BL204" i="17" s="1"/>
  <c r="BI503" i="17"/>
  <c r="BL503" i="17" s="1"/>
  <c r="O206" i="5"/>
  <c r="AO207" i="17"/>
  <c r="AR207" i="17" s="1"/>
  <c r="AO506" i="17"/>
  <c r="AR506" i="17" s="1"/>
  <c r="Q213" i="5"/>
  <c r="AT214" i="17"/>
  <c r="AW214" i="17" s="1"/>
  <c r="AT513" i="17"/>
  <c r="AW513" i="17" s="1"/>
  <c r="Q220" i="5"/>
  <c r="AT221" i="17"/>
  <c r="AW221" i="17" s="1"/>
  <c r="AT520" i="17"/>
  <c r="AW520" i="17" s="1"/>
  <c r="O227" i="5"/>
  <c r="AO228" i="17"/>
  <c r="AR228" i="17" s="1"/>
  <c r="AO527" i="17"/>
  <c r="AR527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O241" i="5"/>
  <c r="AO242" i="17"/>
  <c r="AR242" i="17" s="1"/>
  <c r="AO541" i="17"/>
  <c r="AR541" i="17" s="1"/>
  <c r="Q247" i="5"/>
  <c r="AT248" i="17"/>
  <c r="AW248" i="17" s="1"/>
  <c r="AT547" i="17"/>
  <c r="AW547" i="17" s="1"/>
  <c r="O251" i="5"/>
  <c r="AO252" i="17"/>
  <c r="AR252" i="17" s="1"/>
  <c r="AO551" i="17"/>
  <c r="AR551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8" i="5"/>
  <c r="AJ269" i="17"/>
  <c r="AM269" i="17" s="1"/>
  <c r="AJ568" i="17"/>
  <c r="AM568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M285" i="5"/>
  <c r="AJ286" i="17"/>
  <c r="AM286" i="17" s="1"/>
  <c r="AJ585" i="17"/>
  <c r="AM585" i="17" s="1"/>
  <c r="W286" i="5"/>
  <c r="BI287" i="17"/>
  <c r="BL287" i="17" s="1"/>
  <c r="BI586" i="17"/>
  <c r="BL586" i="17" s="1"/>
  <c r="M290" i="5"/>
  <c r="AJ291" i="17"/>
  <c r="AM291" i="17" s="1"/>
  <c r="AJ590" i="17"/>
  <c r="AM590" i="17" s="1"/>
  <c r="W295" i="5"/>
  <c r="BI296" i="17"/>
  <c r="BL296" i="17" s="1"/>
  <c r="BI595" i="17"/>
  <c r="BL595" i="17" s="1"/>
  <c r="Q303" i="5"/>
  <c r="AT304" i="17"/>
  <c r="AW304" i="17" s="1"/>
  <c r="AT603" i="17"/>
  <c r="AW603" i="17" s="1"/>
  <c r="W311" i="5"/>
  <c r="BI312" i="17"/>
  <c r="BL312" i="17" s="1"/>
  <c r="BI611" i="17"/>
  <c r="BL611" i="17" s="1"/>
  <c r="W318" i="5"/>
  <c r="BI319" i="17"/>
  <c r="BL319" i="17" s="1"/>
  <c r="BI618" i="17"/>
  <c r="BL618" i="17" s="1"/>
  <c r="Q323" i="5"/>
  <c r="AT324" i="17"/>
  <c r="AW324" i="17" s="1"/>
  <c r="AT623" i="17"/>
  <c r="AW623" i="17" s="1"/>
  <c r="W330" i="5"/>
  <c r="BI331" i="17"/>
  <c r="BL331" i="17" s="1"/>
  <c r="BI630" i="17"/>
  <c r="BL630" i="17" s="1"/>
  <c r="W338" i="5"/>
  <c r="BI339" i="17"/>
  <c r="BL339" i="17" s="1"/>
  <c r="BI638" i="17"/>
  <c r="BL638" i="17" s="1"/>
  <c r="M345" i="5"/>
  <c r="AJ346" i="17"/>
  <c r="AM346" i="17" s="1"/>
  <c r="AJ645" i="17"/>
  <c r="AM645" i="17" s="1"/>
  <c r="M354" i="5"/>
  <c r="AJ355" i="17"/>
  <c r="AM355" i="17" s="1"/>
  <c r="AJ654" i="17"/>
  <c r="AM654" i="17" s="1"/>
  <c r="O360" i="5"/>
  <c r="AO361" i="17"/>
  <c r="AR361" i="17" s="1"/>
  <c r="AO660" i="17"/>
  <c r="AR660" i="17" s="1"/>
  <c r="W367" i="5"/>
  <c r="BI368" i="17"/>
  <c r="BL368" i="17" s="1"/>
  <c r="BI667" i="17"/>
  <c r="BL667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82" i="5"/>
  <c r="BI383" i="17"/>
  <c r="BL383" i="17" s="1"/>
  <c r="BI682" i="17"/>
  <c r="BL682" i="17" s="1"/>
  <c r="W390" i="5"/>
  <c r="BI690" i="17"/>
  <c r="BL690" i="17" s="1"/>
  <c r="W396" i="5"/>
  <c r="BI696" i="17"/>
  <c r="BL696" i="17" s="1"/>
  <c r="W403" i="5"/>
  <c r="BI703" i="17"/>
  <c r="BL703" i="17" s="1"/>
  <c r="W415" i="5"/>
  <c r="BI715" i="17"/>
  <c r="BL715" i="17" s="1"/>
  <c r="W436" i="5"/>
  <c r="BI736" i="17"/>
  <c r="BL736" i="17" s="1"/>
  <c r="O441" i="5"/>
  <c r="AO741" i="17"/>
  <c r="AR741" i="17" s="1"/>
  <c r="W447" i="5"/>
  <c r="BI747" i="17"/>
  <c r="BL747" i="17" s="1"/>
  <c r="M454" i="5"/>
  <c r="AJ754" i="17"/>
  <c r="AM754" i="17" s="1"/>
  <c r="W462" i="5"/>
  <c r="BI762" i="17"/>
  <c r="BL762" i="17" s="1"/>
  <c r="W466" i="5"/>
  <c r="BI766" i="17"/>
  <c r="BL766" i="17" s="1"/>
  <c r="W475" i="5"/>
  <c r="BI775" i="17"/>
  <c r="BL775" i="17" s="1"/>
  <c r="W483" i="5"/>
  <c r="BI783" i="17"/>
  <c r="BL783" i="17" s="1"/>
  <c r="W491" i="5"/>
  <c r="BI791" i="17"/>
  <c r="BL791" i="17" s="1"/>
  <c r="W504" i="5"/>
  <c r="BI804" i="17"/>
  <c r="BL804" i="17" s="1"/>
  <c r="W530" i="5"/>
  <c r="BI830" i="17"/>
  <c r="BL830" i="17" s="1"/>
  <c r="W536" i="5"/>
  <c r="BI836" i="17"/>
  <c r="BL836" i="17" s="1"/>
  <c r="W545" i="5"/>
  <c r="BI845" i="17"/>
  <c r="BL845" i="17" s="1"/>
  <c r="W570" i="5"/>
  <c r="BI870" i="17"/>
  <c r="BL870" i="17" s="1"/>
  <c r="O578" i="5"/>
  <c r="AO878" i="17"/>
  <c r="AR878" i="17" s="1"/>
  <c r="W586" i="5"/>
  <c r="BI886" i="17"/>
  <c r="BL886" i="17" s="1"/>
  <c r="O595" i="5"/>
  <c r="AO895" i="17"/>
  <c r="AR895" i="17" s="1"/>
  <c r="W600" i="5"/>
  <c r="BI900" i="17"/>
  <c r="BL900" i="17" s="1"/>
  <c r="W605" i="5"/>
  <c r="BI905" i="17"/>
  <c r="BL905" i="17" s="1"/>
  <c r="O613" i="5"/>
  <c r="AO913" i="17"/>
  <c r="AR913" i="17" s="1"/>
  <c r="O620" i="5"/>
  <c r="AO920" i="17"/>
  <c r="AR920" i="17" s="1"/>
  <c r="W629" i="5"/>
  <c r="BI929" i="17"/>
  <c r="BL929" i="17" s="1"/>
  <c r="W637" i="5"/>
  <c r="BI937" i="17"/>
  <c r="BL937" i="17" s="1"/>
  <c r="O645" i="5"/>
  <c r="AO945" i="17"/>
  <c r="AR945" i="17" s="1"/>
  <c r="W649" i="5"/>
  <c r="BI949" i="17"/>
  <c r="BL949" i="17" s="1"/>
  <c r="W655" i="5"/>
  <c r="BI955" i="17"/>
  <c r="BL955" i="17" s="1"/>
  <c r="W664" i="5"/>
  <c r="BI964" i="17"/>
  <c r="BL964" i="17" s="1"/>
  <c r="M672" i="5"/>
  <c r="AJ972" i="17"/>
  <c r="AM972" i="17" s="1"/>
  <c r="W677" i="5"/>
  <c r="BI977" i="17"/>
  <c r="BL977" i="17" s="1"/>
  <c r="M684" i="5"/>
  <c r="AJ984" i="17"/>
  <c r="AM984" i="17" s="1"/>
  <c r="W692" i="5"/>
  <c r="BI992" i="17"/>
  <c r="BL992" i="17" s="1"/>
  <c r="W700" i="5"/>
  <c r="BI1000" i="17"/>
  <c r="BL1000" i="17" s="1"/>
  <c r="W709" i="5"/>
  <c r="BI1009" i="17"/>
  <c r="BL1009" i="17" s="1"/>
  <c r="W718" i="5"/>
  <c r="BI1018" i="17"/>
  <c r="BL1018" i="17" s="1"/>
  <c r="M748" i="5"/>
  <c r="AJ1048" i="17"/>
  <c r="AM1048" i="17" s="1"/>
  <c r="U757" i="5"/>
  <c r="BD1057" i="17"/>
  <c r="BG1057" i="17" s="1"/>
  <c r="W765" i="5"/>
  <c r="BI1065" i="17"/>
  <c r="BL1065" i="17" s="1"/>
  <c r="W769" i="5"/>
  <c r="BI1069" i="17"/>
  <c r="BL1069" i="17" s="1"/>
  <c r="W779" i="5"/>
  <c r="BI1079" i="17"/>
  <c r="BL1079" i="17" s="1"/>
  <c r="W783" i="5"/>
  <c r="BI1083" i="17"/>
  <c r="BL1083" i="17" s="1"/>
  <c r="W794" i="5"/>
  <c r="BI1094" i="17"/>
  <c r="BL1094" i="17" s="1"/>
  <c r="W802" i="5"/>
  <c r="BI1102" i="17"/>
  <c r="BL1102" i="17" s="1"/>
  <c r="W810" i="5"/>
  <c r="BI1110" i="17"/>
  <c r="BL1110" i="17" s="1"/>
  <c r="W817" i="5"/>
  <c r="BI1117" i="17"/>
  <c r="BL1117" i="17" s="1"/>
  <c r="W821" i="5"/>
  <c r="BI1121" i="17"/>
  <c r="BL1121" i="17" s="1"/>
  <c r="W825" i="5"/>
  <c r="BI1125" i="17"/>
  <c r="BL1125" i="17" s="1"/>
  <c r="W836" i="5"/>
  <c r="BI1136" i="17"/>
  <c r="BL1136" i="17" s="1"/>
  <c r="W839" i="5"/>
  <c r="BI1139" i="17"/>
  <c r="BL1139" i="17" s="1"/>
  <c r="W846" i="5"/>
  <c r="BI1146" i="17"/>
  <c r="BL1146" i="17" s="1"/>
  <c r="W852" i="5"/>
  <c r="BI1152" i="17"/>
  <c r="BL1152" i="17" s="1"/>
  <c r="W859" i="5"/>
  <c r="BI1159" i="17"/>
  <c r="BL1159" i="17" s="1"/>
  <c r="M863" i="5"/>
  <c r="AJ1163" i="17"/>
  <c r="AM1163" i="17" s="1"/>
  <c r="U822" i="5"/>
  <c r="BD1122" i="17"/>
  <c r="BG1122" i="17" s="1"/>
  <c r="Q2" i="5"/>
  <c r="AT2" i="17"/>
  <c r="AW2" i="17" s="1"/>
  <c r="O4" i="5"/>
  <c r="AO4" i="17" s="1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 s="1"/>
  <c r="AW33" i="17" s="1"/>
  <c r="W33" i="5"/>
  <c r="BI34" i="17"/>
  <c r="BL34" i="17" s="1"/>
  <c r="Q35" i="5"/>
  <c r="AT36" i="17" s="1"/>
  <c r="AW36" i="17" s="1"/>
  <c r="Q37" i="5"/>
  <c r="AT38" i="17" s="1"/>
  <c r="AW38" i="17" s="1"/>
  <c r="W38" i="5"/>
  <c r="BI39" i="17"/>
  <c r="BL39" i="17" s="1"/>
  <c r="M40" i="5"/>
  <c r="AJ41" i="17" s="1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/>
  <c r="AW56" i="17" s="1"/>
  <c r="M57" i="5"/>
  <c r="AJ58" i="17"/>
  <c r="AM58" i="17" s="1"/>
  <c r="W58" i="5"/>
  <c r="BI59" i="17"/>
  <c r="BL59" i="17" s="1"/>
  <c r="Q60" i="5"/>
  <c r="AT61" i="17" s="1"/>
  <c r="AW61" i="17" s="1"/>
  <c r="Q62" i="5"/>
  <c r="AT63" i="17" s="1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/>
  <c r="AW82" i="17" s="1"/>
  <c r="W83" i="5"/>
  <c r="BI84" i="17"/>
  <c r="BL84" i="17" s="1"/>
  <c r="Q85" i="5"/>
  <c r="AT86" i="17"/>
  <c r="AW86" i="17" s="1"/>
  <c r="AT385" i="17"/>
  <c r="AW385" i="17" s="1"/>
  <c r="Q87" i="5"/>
  <c r="AT88" i="17"/>
  <c r="AW88" i="17" s="1"/>
  <c r="AT387" i="17"/>
  <c r="AW387" i="17" s="1"/>
  <c r="M89" i="5"/>
  <c r="AJ389" i="17" s="1"/>
  <c r="AM389" i="17" s="1"/>
  <c r="O90" i="5"/>
  <c r="AO91" i="17" s="1"/>
  <c r="AR91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 s="1"/>
  <c r="AR114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AJ123" i="17"/>
  <c r="AM123" i="17" s="1"/>
  <c r="W124" i="5"/>
  <c r="BI125" i="17"/>
  <c r="BL125" i="17" s="1"/>
  <c r="BI424" i="17"/>
  <c r="BL424" i="17" s="1"/>
  <c r="M127" i="5"/>
  <c r="AJ427" i="17" s="1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 s="1"/>
  <c r="AR143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92" i="17" l="1"/>
  <c r="AM92" i="17" s="1"/>
  <c r="AJ394" i="17"/>
  <c r="AM394" i="17" s="1"/>
  <c r="AJ405" i="17"/>
  <c r="AM405" i="17" s="1"/>
  <c r="AJ433" i="17"/>
  <c r="AM433" i="17" s="1"/>
  <c r="AJ114" i="17"/>
  <c r="AM114" i="17" s="1"/>
  <c r="AO413" i="17"/>
  <c r="AR413" i="17" s="1"/>
  <c r="AO423" i="17"/>
  <c r="AR423" i="17" s="1"/>
  <c r="AO390" i="17"/>
  <c r="AR390" i="17" s="1"/>
  <c r="AO405" i="17"/>
  <c r="AR405" i="17" s="1"/>
  <c r="AO418" i="17"/>
  <c r="AR418" i="17" s="1"/>
  <c r="AO432" i="17"/>
  <c r="AR432" i="17" s="1"/>
  <c r="AJ90" i="17"/>
  <c r="AM90" i="17" s="1"/>
  <c r="AJ130" i="17"/>
  <c r="AM130" i="17" s="1"/>
  <c r="AJ396" i="17"/>
  <c r="AM396" i="17" s="1"/>
  <c r="AJ128" i="17"/>
  <c r="AM128" i="17" s="1"/>
  <c r="M852" i="5"/>
  <c r="AJ1152" i="17"/>
  <c r="AM1152" i="17" s="1"/>
  <c r="M829" i="5"/>
  <c r="AJ1129" i="17"/>
  <c r="AM1129" i="17" s="1"/>
  <c r="M813" i="5"/>
  <c r="AJ1113" i="17"/>
  <c r="AM1113" i="17" s="1"/>
  <c r="M801" i="5"/>
  <c r="AJ1101" i="17"/>
  <c r="AM1101" i="17" s="1"/>
  <c r="M785" i="5"/>
  <c r="AJ1085" i="17"/>
  <c r="AM1085" i="17" s="1"/>
  <c r="O864" i="5"/>
  <c r="AO1164" i="17"/>
  <c r="AR1164" i="17" s="1"/>
  <c r="Q830" i="5"/>
  <c r="AT1130" i="17"/>
  <c r="AW1130" i="17" s="1"/>
  <c r="Q784" i="5"/>
  <c r="AT1084" i="17"/>
  <c r="AW1084" i="17" s="1"/>
  <c r="O858" i="5"/>
  <c r="AO1158" i="17"/>
  <c r="AR1158" i="17" s="1"/>
  <c r="O838" i="5"/>
  <c r="AO1138" i="17"/>
  <c r="AR1138" i="17" s="1"/>
  <c r="O787" i="5"/>
  <c r="AO1087" i="17"/>
  <c r="AR1087" i="17" s="1"/>
  <c r="Q841" i="5"/>
  <c r="AT1141" i="17"/>
  <c r="AW1141" i="17" s="1"/>
  <c r="Q733" i="5"/>
  <c r="AT1033" i="17"/>
  <c r="AW1033" i="17" s="1"/>
  <c r="Q674" i="5"/>
  <c r="AT974" i="17"/>
  <c r="AW974" i="17" s="1"/>
  <c r="Q637" i="5"/>
  <c r="AT937" i="17"/>
  <c r="AW937" i="17" s="1"/>
  <c r="Q808" i="5"/>
  <c r="AT1108" i="17"/>
  <c r="AW1108" i="17" s="1"/>
  <c r="Q860" i="5"/>
  <c r="AT1160" i="17"/>
  <c r="AW1160" i="17" s="1"/>
  <c r="Q846" i="5"/>
  <c r="AT1146" i="17"/>
  <c r="AW1146" i="17" s="1"/>
  <c r="O760" i="5"/>
  <c r="AO1060" i="17"/>
  <c r="AR1060" i="17" s="1"/>
  <c r="O851" i="5"/>
  <c r="AO1151" i="17"/>
  <c r="AR1151" i="17" s="1"/>
  <c r="O738" i="5"/>
  <c r="AO1038" i="17"/>
  <c r="AR1038" i="17" s="1"/>
  <c r="O805" i="5"/>
  <c r="AO1105" i="17"/>
  <c r="AR1105" i="17" s="1"/>
  <c r="Q121" i="5"/>
  <c r="AT122" i="17"/>
  <c r="AW122" i="17" s="1"/>
  <c r="AT421" i="17"/>
  <c r="AW421" i="17" s="1"/>
  <c r="Q153" i="5"/>
  <c r="AT154" i="17"/>
  <c r="AW154" i="17" s="1"/>
  <c r="AT453" i="17"/>
  <c r="AW453" i="17" s="1"/>
  <c r="Q189" i="5"/>
  <c r="AT190" i="17"/>
  <c r="AW190" i="17" s="1"/>
  <c r="AT489" i="17"/>
  <c r="AW489" i="17" s="1"/>
  <c r="Q258" i="5"/>
  <c r="AT259" i="17"/>
  <c r="AW259" i="17" s="1"/>
  <c r="AT558" i="17"/>
  <c r="AW558" i="17" s="1"/>
  <c r="Q477" i="5"/>
  <c r="AT777" i="17"/>
  <c r="AW777" i="17" s="1"/>
  <c r="Q147" i="5"/>
  <c r="AT148" i="17"/>
  <c r="AW148" i="17" s="1"/>
  <c r="AT447" i="17"/>
  <c r="AW447" i="17" s="1"/>
  <c r="Q214" i="5"/>
  <c r="AT215" i="17"/>
  <c r="AW215" i="17" s="1"/>
  <c r="AT514" i="17"/>
  <c r="AW514" i="17" s="1"/>
  <c r="Q307" i="5"/>
  <c r="AT308" i="17"/>
  <c r="AW308" i="17" s="1"/>
  <c r="AT607" i="17"/>
  <c r="AW607" i="17" s="1"/>
  <c r="Q440" i="5"/>
  <c r="AT740" i="17"/>
  <c r="AW740" i="17" s="1"/>
  <c r="Q768" i="5"/>
  <c r="AT1068" i="17"/>
  <c r="AW1068" i="17" s="1"/>
  <c r="Q279" i="5"/>
  <c r="AT280" i="17"/>
  <c r="AW280" i="17" s="1"/>
  <c r="AT579" i="17"/>
  <c r="AW579" i="17" s="1"/>
  <c r="Q396" i="5"/>
  <c r="AT696" i="17"/>
  <c r="AW696" i="17" s="1"/>
  <c r="Q653" i="5"/>
  <c r="AT953" i="17"/>
  <c r="AW953" i="17" s="1"/>
  <c r="Q316" i="5"/>
  <c r="AT317" i="17"/>
  <c r="AW317" i="17" s="1"/>
  <c r="AT616" i="17"/>
  <c r="AW616" i="17" s="1"/>
  <c r="Q416" i="5"/>
  <c r="AT716" i="17"/>
  <c r="AW716" i="17" s="1"/>
  <c r="Q664" i="5"/>
  <c r="AT964" i="17"/>
  <c r="AW964" i="17" s="1"/>
  <c r="Q329" i="5"/>
  <c r="AT330" i="17"/>
  <c r="AW330" i="17" s="1"/>
  <c r="AT629" i="17"/>
  <c r="AW629" i="17" s="1"/>
  <c r="Q379" i="5"/>
  <c r="AT380" i="17"/>
  <c r="AW380" i="17" s="1"/>
  <c r="AT679" i="17"/>
  <c r="AW679" i="17" s="1"/>
  <c r="Q444" i="5"/>
  <c r="AT744" i="17"/>
  <c r="AW744" i="17" s="1"/>
  <c r="Q547" i="5"/>
  <c r="AT847" i="17"/>
  <c r="AW847" i="17" s="1"/>
  <c r="Q700" i="5"/>
  <c r="AT1000" i="17"/>
  <c r="AW1000" i="17" s="1"/>
  <c r="Q391" i="5"/>
  <c r="AT691" i="17"/>
  <c r="AW691" i="17" s="1"/>
  <c r="Q463" i="5"/>
  <c r="AT763" i="17"/>
  <c r="AW763" i="17" s="1"/>
  <c r="Q818" i="5"/>
  <c r="AT1118" i="17"/>
  <c r="AW1118" i="17" s="1"/>
  <c r="Q483" i="5"/>
  <c r="AT783" i="17"/>
  <c r="AW783" i="17" s="1"/>
  <c r="Q521" i="5"/>
  <c r="AT821" i="17"/>
  <c r="AW821" i="17" s="1"/>
  <c r="Q563" i="5"/>
  <c r="AT863" i="17"/>
  <c r="AW863" i="17" s="1"/>
  <c r="Q631" i="5"/>
  <c r="AT931" i="17"/>
  <c r="AW931" i="17" s="1"/>
  <c r="Q428" i="5"/>
  <c r="AT728" i="17"/>
  <c r="AW728" i="17" s="1"/>
  <c r="Q476" i="5"/>
  <c r="AT776" i="17"/>
  <c r="AW776" i="17" s="1"/>
  <c r="Q530" i="5"/>
  <c r="AT830" i="17"/>
  <c r="AW830" i="17" s="1"/>
  <c r="Q572" i="5"/>
  <c r="AT872" i="17"/>
  <c r="AW872" i="17" s="1"/>
  <c r="Q773" i="5"/>
  <c r="AT1073" i="17"/>
  <c r="AW1073" i="17" s="1"/>
  <c r="Q646" i="5"/>
  <c r="AT946" i="17"/>
  <c r="AW946" i="17" s="1"/>
  <c r="Q701" i="5"/>
  <c r="AT1001" i="17"/>
  <c r="AW1001" i="17" s="1"/>
  <c r="Q760" i="5"/>
  <c r="AT1060" i="17"/>
  <c r="AW1060" i="17" s="1"/>
  <c r="Q596" i="5"/>
  <c r="AT896" i="17"/>
  <c r="AW896" i="17" s="1"/>
  <c r="Q685" i="5"/>
  <c r="AT985" i="17"/>
  <c r="AW985" i="17" s="1"/>
  <c r="Q761" i="5"/>
  <c r="AT1061" i="17"/>
  <c r="AW1061" i="17" s="1"/>
  <c r="Q738" i="5"/>
  <c r="AT1038" i="17"/>
  <c r="AW1038" i="17" s="1"/>
  <c r="Q734" i="5"/>
  <c r="AT1034" i="17"/>
  <c r="AW1034" i="17" s="1"/>
  <c r="Q844" i="5"/>
  <c r="AT1144" i="17"/>
  <c r="AW1144" i="17" s="1"/>
  <c r="Q176" i="5"/>
  <c r="AT177" i="17"/>
  <c r="AW177" i="17" s="1"/>
  <c r="AT476" i="17"/>
  <c r="AW476" i="17" s="1"/>
  <c r="Q117" i="5"/>
  <c r="AT118" i="17"/>
  <c r="AW118" i="17" s="1"/>
  <c r="AT417" i="17"/>
  <c r="AW417" i="17" s="1"/>
  <c r="Q46" i="5"/>
  <c r="AT47" i="17" s="1"/>
  <c r="AW47" i="17" s="1"/>
  <c r="S249" i="5"/>
  <c r="AY250" i="17"/>
  <c r="BB250" i="17" s="1"/>
  <c r="AY549" i="17"/>
  <c r="BB549" i="17" s="1"/>
  <c r="S282" i="5"/>
  <c r="AY283" i="17"/>
  <c r="BB283" i="17" s="1"/>
  <c r="AY582" i="17"/>
  <c r="BB582" i="17" s="1"/>
  <c r="S331" i="5"/>
  <c r="AY332" i="17"/>
  <c r="BB332" i="17" s="1"/>
  <c r="AY631" i="17"/>
  <c r="BB631" i="17" s="1"/>
  <c r="S377" i="5"/>
  <c r="AY378" i="17"/>
  <c r="BB378" i="17" s="1"/>
  <c r="AY677" i="17"/>
  <c r="BB677" i="17" s="1"/>
  <c r="S431" i="5"/>
  <c r="AY731" i="17"/>
  <c r="BB731" i="17" s="1"/>
  <c r="S527" i="5"/>
  <c r="AY827" i="17"/>
  <c r="BB827" i="17" s="1"/>
  <c r="S605" i="5"/>
  <c r="AY905" i="17"/>
  <c r="BB905" i="17" s="1"/>
  <c r="S669" i="5"/>
  <c r="AY969" i="17"/>
  <c r="BB969" i="17" s="1"/>
  <c r="S729" i="5"/>
  <c r="AY1029" i="17"/>
  <c r="BB1029" i="17" s="1"/>
  <c r="S50" i="5"/>
  <c r="AY51" i="17" s="1"/>
  <c r="BB51" i="17" s="1"/>
  <c r="S123" i="5"/>
  <c r="AY124" i="17" s="1"/>
  <c r="BB124" i="17" s="1"/>
  <c r="AY423" i="17"/>
  <c r="BB423" i="17" s="1"/>
  <c r="S176" i="5"/>
  <c r="AY177" i="17"/>
  <c r="BB177" i="17" s="1"/>
  <c r="AY476" i="17"/>
  <c r="BB476" i="17" s="1"/>
  <c r="S224" i="5"/>
  <c r="AY225" i="17"/>
  <c r="BB225" i="17" s="1"/>
  <c r="AY524" i="17"/>
  <c r="BB524" i="17" s="1"/>
  <c r="S270" i="5"/>
  <c r="AY271" i="17"/>
  <c r="BB271" i="17" s="1"/>
  <c r="AY570" i="17"/>
  <c r="BB570" i="17" s="1"/>
  <c r="S313" i="5"/>
  <c r="AY314" i="17"/>
  <c r="BB314" i="17" s="1"/>
  <c r="AY613" i="17"/>
  <c r="BB613" i="17" s="1"/>
  <c r="S373" i="5"/>
  <c r="AY374" i="17"/>
  <c r="BB374" i="17" s="1"/>
  <c r="AY673" i="17"/>
  <c r="BB673" i="17" s="1"/>
  <c r="S428" i="5"/>
  <c r="AY728" i="17"/>
  <c r="BB728" i="17" s="1"/>
  <c r="S464" i="5"/>
  <c r="AY764" i="17"/>
  <c r="BB764" i="17" s="1"/>
  <c r="S498" i="5"/>
  <c r="AY798" i="17"/>
  <c r="BB798" i="17" s="1"/>
  <c r="S538" i="5"/>
  <c r="AY838" i="17"/>
  <c r="BB838" i="17" s="1"/>
  <c r="S613" i="5"/>
  <c r="AY913" i="17"/>
  <c r="BB913" i="17" s="1"/>
  <c r="S662" i="5"/>
  <c r="AY962" i="17"/>
  <c r="BB962" i="17" s="1"/>
  <c r="S745" i="5"/>
  <c r="AY1045" i="17"/>
  <c r="BB1045" i="17" s="1"/>
  <c r="S825" i="5"/>
  <c r="AY1125" i="17"/>
  <c r="BB1125" i="17" s="1"/>
  <c r="S860" i="5"/>
  <c r="AY1160" i="17"/>
  <c r="BB1160" i="17" s="1"/>
  <c r="S603" i="5"/>
  <c r="AY903" i="17"/>
  <c r="BB903" i="17" s="1"/>
  <c r="S657" i="5"/>
  <c r="AY957" i="17"/>
  <c r="BB957" i="17" s="1"/>
  <c r="S728" i="5"/>
  <c r="AY1028" i="17"/>
  <c r="BB1028" i="17" s="1"/>
  <c r="S749" i="5"/>
  <c r="AY1049" i="17"/>
  <c r="BB1049" i="17" s="1"/>
  <c r="S803" i="5"/>
  <c r="AY1103" i="17"/>
  <c r="BB1103" i="17" s="1"/>
  <c r="S828" i="5"/>
  <c r="AY1128" i="17"/>
  <c r="BB1128" i="17" s="1"/>
  <c r="S651" i="5"/>
  <c r="AY951" i="17"/>
  <c r="BB951" i="17" s="1"/>
  <c r="S509" i="5"/>
  <c r="AY809" i="17"/>
  <c r="BB809" i="17" s="1"/>
  <c r="S432" i="5"/>
  <c r="AY732" i="17"/>
  <c r="BB732" i="17" s="1"/>
  <c r="S793" i="5"/>
  <c r="AY1093" i="17"/>
  <c r="BB1093" i="17" s="1"/>
  <c r="S412" i="5"/>
  <c r="AY712" i="17"/>
  <c r="BB712" i="17" s="1"/>
  <c r="S105" i="5"/>
  <c r="AY405" i="17" s="1"/>
  <c r="BB405" i="17" s="1"/>
  <c r="S480" i="5"/>
  <c r="AY780" i="17"/>
  <c r="BB780" i="17" s="1"/>
  <c r="S77" i="5"/>
  <c r="AY78" i="17" s="1"/>
  <c r="BB78" i="17" s="1"/>
  <c r="S135" i="5"/>
  <c r="AY435" i="17" s="1"/>
  <c r="BB435" i="17" s="1"/>
  <c r="S204" i="5"/>
  <c r="AY205" i="17"/>
  <c r="BB205" i="17" s="1"/>
  <c r="AY504" i="17"/>
  <c r="BB504" i="17" s="1"/>
  <c r="S306" i="5"/>
  <c r="AY307" i="17"/>
  <c r="BB307" i="17" s="1"/>
  <c r="AY606" i="17"/>
  <c r="BB606" i="17" s="1"/>
  <c r="S461" i="5"/>
  <c r="AY761" i="17"/>
  <c r="BB761" i="17" s="1"/>
  <c r="S635" i="5"/>
  <c r="AY935" i="17"/>
  <c r="BB935" i="17" s="1"/>
  <c r="S684" i="5"/>
  <c r="AY984" i="17"/>
  <c r="BB984" i="17" s="1"/>
  <c r="S18" i="5"/>
  <c r="AY19" i="17" s="1"/>
  <c r="BB19" i="17" s="1"/>
  <c r="S101" i="5"/>
  <c r="AY102" i="17" s="1"/>
  <c r="BB102" i="17" s="1"/>
  <c r="S226" i="5"/>
  <c r="AY227" i="17"/>
  <c r="BB227" i="17" s="1"/>
  <c r="AY526" i="17"/>
  <c r="BB526" i="17" s="1"/>
  <c r="S393" i="5"/>
  <c r="AY693" i="17"/>
  <c r="BB693" i="17" s="1"/>
  <c r="S543" i="5"/>
  <c r="AY843" i="17"/>
  <c r="BB843" i="17" s="1"/>
  <c r="S710" i="5"/>
  <c r="AY1010" i="17"/>
  <c r="BB1010" i="17" s="1"/>
  <c r="S99" i="5"/>
  <c r="AY100" i="17" s="1"/>
  <c r="BB100" i="17" s="1"/>
  <c r="AY399" i="17"/>
  <c r="BB399" i="17" s="1"/>
  <c r="S155" i="5"/>
  <c r="AY156" i="17"/>
  <c r="BB156" i="17" s="1"/>
  <c r="AY455" i="17"/>
  <c r="BB455" i="17" s="1"/>
  <c r="S223" i="5"/>
  <c r="AY224" i="17"/>
  <c r="BB224" i="17" s="1"/>
  <c r="AY523" i="17"/>
  <c r="BB523" i="17" s="1"/>
  <c r="S343" i="5"/>
  <c r="AY344" i="17"/>
  <c r="BB344" i="17" s="1"/>
  <c r="AY643" i="17"/>
  <c r="BB643" i="17" s="1"/>
  <c r="S510" i="5"/>
  <c r="AY810" i="17"/>
  <c r="BB810" i="17" s="1"/>
  <c r="S641" i="5"/>
  <c r="AY941" i="17"/>
  <c r="BB941" i="17" s="1"/>
  <c r="S859" i="5"/>
  <c r="AY1159" i="17"/>
  <c r="BB1159" i="17" s="1"/>
  <c r="S256" i="5"/>
  <c r="AY257" i="17"/>
  <c r="BB257" i="17" s="1"/>
  <c r="AY556" i="17"/>
  <c r="BB556" i="17" s="1"/>
  <c r="S27" i="5"/>
  <c r="AY28" i="17" s="1"/>
  <c r="BB28" i="17" s="1"/>
  <c r="U813" i="5"/>
  <c r="BD1113" i="17"/>
  <c r="BG1113" i="17" s="1"/>
  <c r="U716" i="5"/>
  <c r="BD1016" i="17"/>
  <c r="BG1016" i="17" s="1"/>
  <c r="U667" i="5"/>
  <c r="BD967" i="17"/>
  <c r="BG967" i="17" s="1"/>
  <c r="U749" i="5"/>
  <c r="BD1049" i="17"/>
  <c r="BG1049" i="17" s="1"/>
  <c r="U517" i="5"/>
  <c r="BD817" i="17"/>
  <c r="BG817" i="17" s="1"/>
  <c r="U574" i="5"/>
  <c r="BD874" i="17"/>
  <c r="BG874" i="17" s="1"/>
  <c r="U618" i="5"/>
  <c r="BD918" i="17"/>
  <c r="BG918" i="17" s="1"/>
  <c r="U761" i="5"/>
  <c r="BD1061" i="17"/>
  <c r="BG1061" i="17" s="1"/>
  <c r="U836" i="5"/>
  <c r="BD1136" i="17"/>
  <c r="BG1136" i="17" s="1"/>
  <c r="U539" i="5"/>
  <c r="BD839" i="17"/>
  <c r="BG839" i="17" s="1"/>
  <c r="U597" i="5"/>
  <c r="BD897" i="17"/>
  <c r="BG897" i="17" s="1"/>
  <c r="U649" i="5"/>
  <c r="BD949" i="17"/>
  <c r="BG949" i="17" s="1"/>
  <c r="U730" i="5"/>
  <c r="BD1030" i="17"/>
  <c r="BG1030" i="17" s="1"/>
  <c r="U806" i="5"/>
  <c r="BD1106" i="17"/>
  <c r="BG1106" i="17" s="1"/>
  <c r="O794" i="5"/>
  <c r="AO1094" i="17"/>
  <c r="AR1094" i="17" s="1"/>
  <c r="O843" i="5"/>
  <c r="AO1143" i="17"/>
  <c r="AR1143" i="17" s="1"/>
  <c r="O756" i="5"/>
  <c r="AO1056" i="17"/>
  <c r="AR1056" i="17" s="1"/>
  <c r="O782" i="5"/>
  <c r="AO1082" i="17"/>
  <c r="AR1082" i="17" s="1"/>
  <c r="O97" i="5"/>
  <c r="AO397" i="17" s="1"/>
  <c r="AR397" i="17" s="1"/>
  <c r="O130" i="5"/>
  <c r="AO131" i="17" s="1"/>
  <c r="AR131" i="17" s="1"/>
  <c r="O158" i="5"/>
  <c r="AO159" i="17"/>
  <c r="AR159" i="17" s="1"/>
  <c r="AO458" i="17"/>
  <c r="AR458" i="17" s="1"/>
  <c r="O192" i="5"/>
  <c r="AO193" i="17"/>
  <c r="AR193" i="17" s="1"/>
  <c r="AO492" i="17"/>
  <c r="AR492" i="17" s="1"/>
  <c r="O219" i="5"/>
  <c r="AO220" i="17"/>
  <c r="AR220" i="17" s="1"/>
  <c r="AO519" i="17"/>
  <c r="AR519" i="17" s="1"/>
  <c r="O247" i="5"/>
  <c r="AO248" i="17"/>
  <c r="AR248" i="17" s="1"/>
  <c r="AO547" i="17"/>
  <c r="AR547" i="17" s="1"/>
  <c r="O287" i="5"/>
  <c r="AO288" i="17"/>
  <c r="AR288" i="17" s="1"/>
  <c r="AO587" i="17"/>
  <c r="AR587" i="17" s="1"/>
  <c r="O314" i="5"/>
  <c r="AO315" i="17"/>
  <c r="AR315" i="17" s="1"/>
  <c r="AO614" i="17"/>
  <c r="AR614" i="17" s="1"/>
  <c r="O354" i="5"/>
  <c r="AO355" i="17"/>
  <c r="AR355" i="17" s="1"/>
  <c r="AO654" i="17"/>
  <c r="AR654" i="17" s="1"/>
  <c r="O413" i="5"/>
  <c r="AO713" i="17"/>
  <c r="AR713" i="17" s="1"/>
  <c r="O465" i="5"/>
  <c r="AO765" i="17"/>
  <c r="AR765" i="17" s="1"/>
  <c r="O497" i="5"/>
  <c r="AO797" i="17"/>
  <c r="AR797" i="17" s="1"/>
  <c r="O529" i="5"/>
  <c r="AO829" i="17"/>
  <c r="AR829" i="17" s="1"/>
  <c r="O582" i="5"/>
  <c r="AO882" i="17"/>
  <c r="AR882" i="17" s="1"/>
  <c r="O616" i="5"/>
  <c r="AO916" i="17"/>
  <c r="AR916" i="17" s="1"/>
  <c r="O671" i="5"/>
  <c r="AO971" i="17"/>
  <c r="AR971" i="17" s="1"/>
  <c r="O51" i="5"/>
  <c r="AO52" i="17" s="1"/>
  <c r="AR52" i="17" s="1"/>
  <c r="O65" i="5"/>
  <c r="AO66" i="17" s="1"/>
  <c r="AR66" i="17" s="1"/>
  <c r="O98" i="5"/>
  <c r="AO398" i="17" s="1"/>
  <c r="AR398" i="17" s="1"/>
  <c r="O131" i="5"/>
  <c r="AO132" i="17" s="1"/>
  <c r="AR132" i="17" s="1"/>
  <c r="O159" i="5"/>
  <c r="AO160" i="17"/>
  <c r="AR160" i="17" s="1"/>
  <c r="AO459" i="17"/>
  <c r="AR459" i="17" s="1"/>
  <c r="O195" i="5"/>
  <c r="AO196" i="17"/>
  <c r="AR196" i="17" s="1"/>
  <c r="AO495" i="17"/>
  <c r="AR495" i="17" s="1"/>
  <c r="O238" i="5"/>
  <c r="AO239" i="17"/>
  <c r="AR239" i="17" s="1"/>
  <c r="AO538" i="17"/>
  <c r="AR538" i="17" s="1"/>
  <c r="O263" i="5"/>
  <c r="AO264" i="17"/>
  <c r="AR264" i="17" s="1"/>
  <c r="AO563" i="17"/>
  <c r="AR563" i="17" s="1"/>
  <c r="O295" i="5"/>
  <c r="AO296" i="17"/>
  <c r="AR296" i="17" s="1"/>
  <c r="AO595" i="17"/>
  <c r="AR595" i="17" s="1"/>
  <c r="O322" i="5"/>
  <c r="AO323" i="17"/>
  <c r="AR323" i="17" s="1"/>
  <c r="AO622" i="17"/>
  <c r="AR622" i="17" s="1"/>
  <c r="O361" i="5"/>
  <c r="AO362" i="17"/>
  <c r="AR362" i="17" s="1"/>
  <c r="AO661" i="17"/>
  <c r="AR661" i="17" s="1"/>
  <c r="O385" i="5"/>
  <c r="AO685" i="17"/>
  <c r="AR685" i="17" s="1"/>
  <c r="O421" i="5"/>
  <c r="AO721" i="17"/>
  <c r="AR721" i="17" s="1"/>
  <c r="O480" i="5"/>
  <c r="AO780" i="17"/>
  <c r="AR780" i="17" s="1"/>
  <c r="O495" i="5"/>
  <c r="AO795" i="17"/>
  <c r="AR795" i="17" s="1"/>
  <c r="O537" i="5"/>
  <c r="AO837" i="17"/>
  <c r="AR837" i="17" s="1"/>
  <c r="O577" i="5"/>
  <c r="AO877" i="17"/>
  <c r="AR877" i="17" s="1"/>
  <c r="O611" i="5"/>
  <c r="AO911" i="17"/>
  <c r="AR911" i="17" s="1"/>
  <c r="O646" i="5"/>
  <c r="AO946" i="17"/>
  <c r="AR946" i="17" s="1"/>
  <c r="O682" i="5"/>
  <c r="AO982" i="17"/>
  <c r="AR982" i="17" s="1"/>
  <c r="O716" i="5"/>
  <c r="AO1016" i="17"/>
  <c r="AR1016" i="17" s="1"/>
  <c r="O791" i="5"/>
  <c r="AO1091" i="17"/>
  <c r="AR1091" i="17" s="1"/>
  <c r="O377" i="5"/>
  <c r="AO378" i="17"/>
  <c r="AR378" i="17" s="1"/>
  <c r="AO677" i="17"/>
  <c r="AR677" i="17" s="1"/>
  <c r="O405" i="5"/>
  <c r="AO705" i="17"/>
  <c r="AR705" i="17" s="1"/>
  <c r="O433" i="5"/>
  <c r="AO733" i="17"/>
  <c r="AR733" i="17" s="1"/>
  <c r="O461" i="5"/>
  <c r="AO761" i="17"/>
  <c r="AR761" i="17" s="1"/>
  <c r="O508" i="5"/>
  <c r="AO808" i="17"/>
  <c r="AR808" i="17" s="1"/>
  <c r="O540" i="5"/>
  <c r="AO840" i="17"/>
  <c r="AR840" i="17" s="1"/>
  <c r="O564" i="5"/>
  <c r="AO864" i="17"/>
  <c r="AR864" i="17" s="1"/>
  <c r="O605" i="5"/>
  <c r="AO905" i="17"/>
  <c r="AR905" i="17" s="1"/>
  <c r="O629" i="5"/>
  <c r="AO929" i="17"/>
  <c r="AR929" i="17" s="1"/>
  <c r="O659" i="5"/>
  <c r="AO959" i="17"/>
  <c r="AR959" i="17" s="1"/>
  <c r="O692" i="5"/>
  <c r="AO992" i="17"/>
  <c r="AR992" i="17" s="1"/>
  <c r="O712" i="5"/>
  <c r="AO1012" i="17"/>
  <c r="AR1012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 s="1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 s="1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 s="1"/>
  <c r="AR89" i="17" s="1"/>
  <c r="O126" i="5"/>
  <c r="AO426" i="17" s="1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 s="1"/>
  <c r="AR130" i="17" s="1"/>
  <c r="O102" i="5"/>
  <c r="AO402" i="17" s="1"/>
  <c r="AR402" i="17" s="1"/>
  <c r="O39" i="5"/>
  <c r="AO40" i="17" s="1"/>
  <c r="AR40" i="17" s="1"/>
  <c r="O11" i="5"/>
  <c r="AO12" i="17" s="1"/>
  <c r="AR12" i="17" s="1"/>
  <c r="M833" i="5"/>
  <c r="AJ1133" i="17"/>
  <c r="AM1133" i="17" s="1"/>
  <c r="M821" i="5"/>
  <c r="AJ1121" i="17"/>
  <c r="AM1121" i="17" s="1"/>
  <c r="M805" i="5"/>
  <c r="AJ1105" i="17"/>
  <c r="AM1105" i="17" s="1"/>
  <c r="M781" i="5"/>
  <c r="AJ1081" i="17"/>
  <c r="AM1081" i="17" s="1"/>
  <c r="M769" i="5"/>
  <c r="AJ1069" i="17"/>
  <c r="AM1069" i="17" s="1"/>
  <c r="Q848" i="5"/>
  <c r="AT1148" i="17"/>
  <c r="AW1148" i="17" s="1"/>
  <c r="Q796" i="5"/>
  <c r="AT1096" i="17"/>
  <c r="AW1096" i="17" s="1"/>
  <c r="U826" i="5"/>
  <c r="BD1126" i="17"/>
  <c r="BG1126" i="17" s="1"/>
  <c r="O820" i="5"/>
  <c r="AO1120" i="17"/>
  <c r="AR1120" i="17" s="1"/>
  <c r="O769" i="5"/>
  <c r="AO1069" i="17"/>
  <c r="AR1069" i="17" s="1"/>
  <c r="Q754" i="5"/>
  <c r="AT1054" i="17"/>
  <c r="AW1054" i="17" s="1"/>
  <c r="Q708" i="5"/>
  <c r="AT1008" i="17"/>
  <c r="AW1008" i="17" s="1"/>
  <c r="Q622" i="5"/>
  <c r="AT922" i="17"/>
  <c r="AW922" i="17" s="1"/>
  <c r="Q829" i="5"/>
  <c r="AT1129" i="17"/>
  <c r="AW1129" i="17" s="1"/>
  <c r="Q807" i="5"/>
  <c r="AT1107" i="17"/>
  <c r="AW1107" i="17" s="1"/>
  <c r="O739" i="5"/>
  <c r="AO1039" i="17"/>
  <c r="AR1039" i="17" s="1"/>
  <c r="O803" i="5"/>
  <c r="AO1103" i="17"/>
  <c r="AR1103" i="17" s="1"/>
  <c r="O767" i="5"/>
  <c r="AO1067" i="17"/>
  <c r="AR1067" i="17" s="1"/>
  <c r="O859" i="5"/>
  <c r="AO1159" i="17"/>
  <c r="AR1159" i="17" s="1"/>
  <c r="Q129" i="5"/>
  <c r="AT130" i="17"/>
  <c r="AW130" i="17" s="1"/>
  <c r="AT429" i="17"/>
  <c r="AW429" i="17" s="1"/>
  <c r="Q163" i="5"/>
  <c r="AT164" i="17"/>
  <c r="AW164" i="17" s="1"/>
  <c r="AT463" i="17"/>
  <c r="AW463" i="17" s="1"/>
  <c r="Q226" i="5"/>
  <c r="AT227" i="17"/>
  <c r="AW227" i="17" s="1"/>
  <c r="AT526" i="17"/>
  <c r="AW526" i="17" s="1"/>
  <c r="Q252" i="5"/>
  <c r="AT253" i="17"/>
  <c r="AW253" i="17" s="1"/>
  <c r="AT552" i="17"/>
  <c r="AW552" i="17" s="1"/>
  <c r="Q386" i="5"/>
  <c r="AT686" i="17"/>
  <c r="AW686" i="17" s="1"/>
  <c r="Q688" i="5"/>
  <c r="AT988" i="17"/>
  <c r="AW988" i="17" s="1"/>
  <c r="Q184" i="5"/>
  <c r="AT185" i="17"/>
  <c r="AW185" i="17" s="1"/>
  <c r="AT484" i="17"/>
  <c r="AW484" i="17" s="1"/>
  <c r="Q260" i="5"/>
  <c r="AT261" i="17"/>
  <c r="AW261" i="17" s="1"/>
  <c r="AT560" i="17"/>
  <c r="AW560" i="17" s="1"/>
  <c r="Q392" i="5"/>
  <c r="AT692" i="17"/>
  <c r="AW692" i="17" s="1"/>
  <c r="Q612" i="5"/>
  <c r="AT912" i="17"/>
  <c r="AW912" i="17" s="1"/>
  <c r="Q264" i="5"/>
  <c r="AT265" i="17"/>
  <c r="AW265" i="17" s="1"/>
  <c r="AT564" i="17"/>
  <c r="AW564" i="17" s="1"/>
  <c r="Q348" i="5"/>
  <c r="AT349" i="17"/>
  <c r="AW349" i="17" s="1"/>
  <c r="AT648" i="17"/>
  <c r="AW648" i="17" s="1"/>
  <c r="Q421" i="5"/>
  <c r="AT721" i="17"/>
  <c r="AW721" i="17" s="1"/>
  <c r="Q272" i="5"/>
  <c r="AT273" i="17"/>
  <c r="AW273" i="17" s="1"/>
  <c r="AT572" i="17"/>
  <c r="AW572" i="17" s="1"/>
  <c r="Q335" i="5"/>
  <c r="AT336" i="17"/>
  <c r="AW336" i="17" s="1"/>
  <c r="AT635" i="17"/>
  <c r="AW635" i="17" s="1"/>
  <c r="Q539" i="5"/>
  <c r="AT839" i="17"/>
  <c r="AW839" i="17" s="1"/>
  <c r="Q285" i="5"/>
  <c r="AT286" i="17"/>
  <c r="AW286" i="17" s="1"/>
  <c r="AT585" i="17"/>
  <c r="AW585" i="17" s="1"/>
  <c r="Q356" i="5"/>
  <c r="AT357" i="17"/>
  <c r="AW357" i="17" s="1"/>
  <c r="AT656" i="17"/>
  <c r="AW656" i="17" s="1"/>
  <c r="Q387" i="5"/>
  <c r="AT687" i="17"/>
  <c r="AW687" i="17" s="1"/>
  <c r="Q466" i="5"/>
  <c r="AT766" i="17"/>
  <c r="AW766" i="17" s="1"/>
  <c r="Q569" i="5"/>
  <c r="AT869" i="17"/>
  <c r="AW869" i="17" s="1"/>
  <c r="Q343" i="5"/>
  <c r="AT344" i="17"/>
  <c r="AW344" i="17" s="1"/>
  <c r="AT643" i="17"/>
  <c r="AW643" i="17" s="1"/>
  <c r="Q376" i="5"/>
  <c r="AT377" i="17"/>
  <c r="AW377" i="17" s="1"/>
  <c r="AT676" i="17"/>
  <c r="AW676" i="17" s="1"/>
  <c r="Q434" i="5"/>
  <c r="AT734" i="17"/>
  <c r="AW734" i="17" s="1"/>
  <c r="Q553" i="5"/>
  <c r="AT853" i="17"/>
  <c r="AW853" i="17" s="1"/>
  <c r="Q475" i="5"/>
  <c r="AT775" i="17"/>
  <c r="AW775" i="17" s="1"/>
  <c r="Q510" i="5"/>
  <c r="AT810" i="17"/>
  <c r="AW810" i="17" s="1"/>
  <c r="Q579" i="5"/>
  <c r="AT879" i="17"/>
  <c r="AW879" i="17" s="1"/>
  <c r="Q414" i="5"/>
  <c r="AT714" i="17"/>
  <c r="AW714" i="17" s="1"/>
  <c r="Q447" i="5"/>
  <c r="AT747" i="17"/>
  <c r="AW747" i="17" s="1"/>
  <c r="Q489" i="5"/>
  <c r="AT789" i="17"/>
  <c r="AW789" i="17" s="1"/>
  <c r="Q545" i="5"/>
  <c r="AT845" i="17"/>
  <c r="AW845" i="17" s="1"/>
  <c r="Q624" i="5"/>
  <c r="AT924" i="17"/>
  <c r="AW924" i="17" s="1"/>
  <c r="Q662" i="5"/>
  <c r="AT962" i="17"/>
  <c r="AW962" i="17" s="1"/>
  <c r="Q712" i="5"/>
  <c r="AT1012" i="17"/>
  <c r="AW1012" i="17" s="1"/>
  <c r="Q580" i="5"/>
  <c r="AT880" i="17"/>
  <c r="AW880" i="17" s="1"/>
  <c r="Q644" i="5"/>
  <c r="AT944" i="17"/>
  <c r="AW944" i="17" s="1"/>
  <c r="Q716" i="5"/>
  <c r="AT1016" i="17"/>
  <c r="AW1016" i="17" s="1"/>
  <c r="Q823" i="5"/>
  <c r="AT1123" i="17"/>
  <c r="AW1123" i="17" s="1"/>
  <c r="Q724" i="5"/>
  <c r="AT1024" i="17"/>
  <c r="AW1024" i="17" s="1"/>
  <c r="Q304" i="5"/>
  <c r="AT305" i="17"/>
  <c r="AW305" i="17" s="1"/>
  <c r="AT604" i="17"/>
  <c r="AW604" i="17" s="1"/>
  <c r="Q146" i="5"/>
  <c r="AT147" i="17"/>
  <c r="AW147" i="17" s="1"/>
  <c r="AT446" i="17"/>
  <c r="AW446" i="17" s="1"/>
  <c r="Q97" i="5"/>
  <c r="AT98" i="17"/>
  <c r="AW98" i="17" s="1"/>
  <c r="AT397" i="17"/>
  <c r="AW397" i="17" s="1"/>
  <c r="Q57" i="5"/>
  <c r="AT58" i="17" s="1"/>
  <c r="AW58" i="17" s="1"/>
  <c r="Q15" i="5"/>
  <c r="AT16" i="17"/>
  <c r="AW16" i="17" s="1"/>
  <c r="S274" i="5"/>
  <c r="AY275" i="17"/>
  <c r="BB275" i="17" s="1"/>
  <c r="AY574" i="17"/>
  <c r="BB574" i="17" s="1"/>
  <c r="S319" i="5"/>
  <c r="AY320" i="17"/>
  <c r="BB320" i="17" s="1"/>
  <c r="AY619" i="17"/>
  <c r="BB619" i="17" s="1"/>
  <c r="S362" i="5"/>
  <c r="AY363" i="17"/>
  <c r="BB363" i="17" s="1"/>
  <c r="AY662" i="17"/>
  <c r="BB662" i="17" s="1"/>
  <c r="S416" i="5"/>
  <c r="AY716" i="17"/>
  <c r="BB716" i="17" s="1"/>
  <c r="S492" i="5"/>
  <c r="AY792" i="17"/>
  <c r="BB792" i="17" s="1"/>
  <c r="S556" i="5"/>
  <c r="AY856" i="17"/>
  <c r="BB856" i="17" s="1"/>
  <c r="S631" i="5"/>
  <c r="AY931" i="17"/>
  <c r="BB931" i="17" s="1"/>
  <c r="S715" i="5"/>
  <c r="AY1015" i="17"/>
  <c r="BB1015" i="17" s="1"/>
  <c r="S827" i="5"/>
  <c r="AY1127" i="17"/>
  <c r="BB1127" i="17" s="1"/>
  <c r="S20" i="5"/>
  <c r="AY21" i="17" s="1"/>
  <c r="BB21" i="17" s="1"/>
  <c r="S82" i="5"/>
  <c r="AY83" i="17" s="1"/>
  <c r="BB83" i="17" s="1"/>
  <c r="S143" i="5"/>
  <c r="AY144" i="17" s="1"/>
  <c r="BB144" i="17" s="1"/>
  <c r="S213" i="5"/>
  <c r="AY214" i="17"/>
  <c r="BB214" i="17" s="1"/>
  <c r="AY513" i="17"/>
  <c r="BB513" i="17" s="1"/>
  <c r="S261" i="5"/>
  <c r="AY262" i="17"/>
  <c r="BB262" i="17" s="1"/>
  <c r="AY561" i="17"/>
  <c r="BB561" i="17" s="1"/>
  <c r="S304" i="5"/>
  <c r="AY305" i="17"/>
  <c r="BB305" i="17" s="1"/>
  <c r="AY604" i="17"/>
  <c r="BB604" i="17" s="1"/>
  <c r="S354" i="5"/>
  <c r="AY355" i="17"/>
  <c r="BB355" i="17" s="1"/>
  <c r="AY654" i="17"/>
  <c r="BB654" i="17" s="1"/>
  <c r="S415" i="5"/>
  <c r="AY715" i="17"/>
  <c r="BB715" i="17" s="1"/>
  <c r="S456" i="5"/>
  <c r="AY756" i="17"/>
  <c r="BB756" i="17" s="1"/>
  <c r="S486" i="5"/>
  <c r="AY786" i="17"/>
  <c r="BB786" i="17" s="1"/>
  <c r="S531" i="5"/>
  <c r="AY831" i="17"/>
  <c r="BB831" i="17" s="1"/>
  <c r="S570" i="5"/>
  <c r="AY870" i="17"/>
  <c r="BB870" i="17" s="1"/>
  <c r="S625" i="5"/>
  <c r="AY925" i="17"/>
  <c r="BB925" i="17" s="1"/>
  <c r="S732" i="5"/>
  <c r="AY1032" i="17"/>
  <c r="BB1032" i="17" s="1"/>
  <c r="S811" i="5"/>
  <c r="AY1111" i="17"/>
  <c r="BB1111" i="17" s="1"/>
  <c r="S847" i="5"/>
  <c r="AY1147" i="17"/>
  <c r="BB1147" i="17" s="1"/>
  <c r="S567" i="5"/>
  <c r="AY867" i="17"/>
  <c r="BB867" i="17" s="1"/>
  <c r="S634" i="5"/>
  <c r="AY934" i="17"/>
  <c r="BB934" i="17" s="1"/>
  <c r="S713" i="5"/>
  <c r="AY1013" i="17"/>
  <c r="BB1013" i="17" s="1"/>
  <c r="S768" i="5"/>
  <c r="AY1068" i="17"/>
  <c r="BB1068" i="17" s="1"/>
  <c r="S837" i="5"/>
  <c r="AY1137" i="17"/>
  <c r="BB1137" i="17" s="1"/>
  <c r="S704" i="5"/>
  <c r="AY1004" i="17"/>
  <c r="BB1004" i="17" s="1"/>
  <c r="S537" i="5"/>
  <c r="AY837" i="17"/>
  <c r="BB837" i="17" s="1"/>
  <c r="S468" i="5"/>
  <c r="AY768" i="17"/>
  <c r="BB768" i="17" s="1"/>
  <c r="S397" i="5"/>
  <c r="AY697" i="17"/>
  <c r="BB697" i="17" s="1"/>
  <c r="S685" i="5"/>
  <c r="AY985" i="17"/>
  <c r="BB985" i="17" s="1"/>
  <c r="S177" i="5"/>
  <c r="AY178" i="17"/>
  <c r="BB178" i="17" s="1"/>
  <c r="AY477" i="17"/>
  <c r="BB477" i="17" s="1"/>
  <c r="S29" i="5"/>
  <c r="AY30" i="17" s="1"/>
  <c r="BB30" i="17" s="1"/>
  <c r="S612" i="5"/>
  <c r="AY912" i="17"/>
  <c r="BB912" i="17" s="1"/>
  <c r="S231" i="5"/>
  <c r="AY232" i="17"/>
  <c r="BB232" i="17" s="1"/>
  <c r="AY531" i="17"/>
  <c r="BB531" i="17" s="1"/>
  <c r="S31" i="5"/>
  <c r="AY32" i="17" s="1"/>
  <c r="BB32" i="17" s="1"/>
  <c r="S56" i="5"/>
  <c r="AY57" i="17" s="1"/>
  <c r="BB57" i="17" s="1"/>
  <c r="S115" i="5"/>
  <c r="AY415" i="17" s="1"/>
  <c r="BB415" i="17" s="1"/>
  <c r="S168" i="5"/>
  <c r="AY169" i="17"/>
  <c r="BB169" i="17" s="1"/>
  <c r="AY468" i="17"/>
  <c r="BB468" i="17" s="1"/>
  <c r="S273" i="5"/>
  <c r="AY274" i="17"/>
  <c r="BB274" i="17" s="1"/>
  <c r="AY573" i="17"/>
  <c r="BB573" i="17" s="1"/>
  <c r="S396" i="5"/>
  <c r="AY696" i="17"/>
  <c r="BB696" i="17" s="1"/>
  <c r="S563" i="5"/>
  <c r="AY863" i="17"/>
  <c r="BB863" i="17" s="1"/>
  <c r="S808" i="5"/>
  <c r="AY1108" i="17"/>
  <c r="BB1108" i="17" s="1"/>
  <c r="S62" i="5"/>
  <c r="AY63" i="17" s="1"/>
  <c r="BB63" i="17" s="1"/>
  <c r="S126" i="5"/>
  <c r="AY127" i="17" s="1"/>
  <c r="BB127" i="17" s="1"/>
  <c r="S202" i="5"/>
  <c r="AY203" i="17"/>
  <c r="BB203" i="17" s="1"/>
  <c r="AY502" i="17"/>
  <c r="BB502" i="17" s="1"/>
  <c r="S295" i="5"/>
  <c r="AY296" i="17"/>
  <c r="BB296" i="17" s="1"/>
  <c r="AY595" i="17"/>
  <c r="BB595" i="17" s="1"/>
  <c r="S482" i="5"/>
  <c r="AY782" i="17"/>
  <c r="BB782" i="17" s="1"/>
  <c r="S653" i="5"/>
  <c r="AY953" i="17"/>
  <c r="BB953" i="17" s="1"/>
  <c r="S738" i="5"/>
  <c r="AY1038" i="17"/>
  <c r="BB1038" i="17" s="1"/>
  <c r="S142" i="5"/>
  <c r="AY442" i="17" s="1"/>
  <c r="BB442" i="17" s="1"/>
  <c r="S198" i="5"/>
  <c r="AY199" i="17"/>
  <c r="BB199" i="17" s="1"/>
  <c r="AY498" i="17"/>
  <c r="BB498" i="17" s="1"/>
  <c r="S298" i="5"/>
  <c r="AY299" i="17"/>
  <c r="BB299" i="17" s="1"/>
  <c r="AY598" i="17"/>
  <c r="BB598" i="17" s="1"/>
  <c r="S389" i="5"/>
  <c r="AY689" i="17"/>
  <c r="BB689" i="17" s="1"/>
  <c r="S539" i="5"/>
  <c r="AY839" i="17"/>
  <c r="BB839" i="17" s="1"/>
  <c r="S611" i="5"/>
  <c r="AY911" i="17"/>
  <c r="BB911" i="17" s="1"/>
  <c r="S763" i="5"/>
  <c r="AY1063" i="17"/>
  <c r="BB1063" i="17" s="1"/>
  <c r="S371" i="5"/>
  <c r="AY372" i="17"/>
  <c r="BB372" i="17" s="1"/>
  <c r="AY671" i="17"/>
  <c r="BB671" i="17" s="1"/>
  <c r="S128" i="5"/>
  <c r="AY428" i="17" s="1"/>
  <c r="BB428" i="17" s="1"/>
  <c r="U852" i="5"/>
  <c r="BD1152" i="17"/>
  <c r="BG1152" i="17" s="1"/>
  <c r="U824" i="5"/>
  <c r="BD1124" i="17"/>
  <c r="BG1124" i="17" s="1"/>
  <c r="U765" i="5"/>
  <c r="BD1065" i="17"/>
  <c r="BG1065" i="17" s="1"/>
  <c r="U704" i="5"/>
  <c r="BD1004" i="17"/>
  <c r="BG1004" i="17" s="1"/>
  <c r="U778" i="5"/>
  <c r="BD1078" i="17"/>
  <c r="BG1078" i="17" s="1"/>
  <c r="U498" i="5"/>
  <c r="BD798" i="17"/>
  <c r="BG798" i="17" s="1"/>
  <c r="U549" i="5"/>
  <c r="BD849" i="17"/>
  <c r="BG849" i="17" s="1"/>
  <c r="U587" i="5"/>
  <c r="BD887" i="17"/>
  <c r="BG887" i="17" s="1"/>
  <c r="U642" i="5"/>
  <c r="BD942" i="17"/>
  <c r="BG942" i="17" s="1"/>
  <c r="U703" i="5"/>
  <c r="BD1003" i="17"/>
  <c r="BG1003" i="17" s="1"/>
  <c r="U861" i="5"/>
  <c r="BD1161" i="17"/>
  <c r="BG1161" i="17" s="1"/>
  <c r="U520" i="5"/>
  <c r="BD820" i="17"/>
  <c r="BG820" i="17" s="1"/>
  <c r="U578" i="5"/>
  <c r="BD878" i="17"/>
  <c r="BG878" i="17" s="1"/>
  <c r="U633" i="5"/>
  <c r="BD933" i="17"/>
  <c r="BG933" i="17" s="1"/>
  <c r="U685" i="5"/>
  <c r="BD985" i="17"/>
  <c r="BG985" i="17" s="1"/>
  <c r="U746" i="5"/>
  <c r="BD1046" i="17"/>
  <c r="BG1046" i="17" s="1"/>
  <c r="U844" i="5"/>
  <c r="BD1144" i="17"/>
  <c r="BG1144" i="17" s="1"/>
  <c r="O819" i="5"/>
  <c r="AO1119" i="17"/>
  <c r="AR1119" i="17" s="1"/>
  <c r="O754" i="5"/>
  <c r="AO1054" i="17"/>
  <c r="AR1054" i="17" s="1"/>
  <c r="O796" i="5"/>
  <c r="AO1096" i="17"/>
  <c r="AR1096" i="17" s="1"/>
  <c r="O841" i="5"/>
  <c r="AO1141" i="17"/>
  <c r="AR1141" i="17" s="1"/>
  <c r="O755" i="5"/>
  <c r="AO1055" i="17"/>
  <c r="AR1055" i="17" s="1"/>
  <c r="O84" i="5"/>
  <c r="AO85" i="17" s="1"/>
  <c r="AR85" i="17" s="1"/>
  <c r="O109" i="5"/>
  <c r="AO110" i="17" s="1"/>
  <c r="AR110" i="17" s="1"/>
  <c r="O140" i="5"/>
  <c r="AO141" i="17" s="1"/>
  <c r="AR141" i="17" s="1"/>
  <c r="O174" i="5"/>
  <c r="AO175" i="17"/>
  <c r="AR175" i="17" s="1"/>
  <c r="AO474" i="17"/>
  <c r="AR474" i="17" s="1"/>
  <c r="O205" i="5"/>
  <c r="AO206" i="17"/>
  <c r="AR206" i="17" s="1"/>
  <c r="AO505" i="17"/>
  <c r="AR505" i="17" s="1"/>
  <c r="O234" i="5"/>
  <c r="AO235" i="17"/>
  <c r="AR235" i="17" s="1"/>
  <c r="AO534" i="17"/>
  <c r="AR534" i="17" s="1"/>
  <c r="O272" i="5"/>
  <c r="AO273" i="17"/>
  <c r="AR273" i="17" s="1"/>
  <c r="AO572" i="17"/>
  <c r="AR572" i="17" s="1"/>
  <c r="O301" i="5"/>
  <c r="AO302" i="17"/>
  <c r="AR302" i="17" s="1"/>
  <c r="AO601" i="17"/>
  <c r="AR601" i="17" s="1"/>
  <c r="O326" i="5"/>
  <c r="AO327" i="17"/>
  <c r="AR327" i="17" s="1"/>
  <c r="AO626" i="17"/>
  <c r="AR626" i="17" s="1"/>
  <c r="O380" i="5"/>
  <c r="AO381" i="17"/>
  <c r="AR381" i="17" s="1"/>
  <c r="AO680" i="17"/>
  <c r="AR680" i="17" s="1"/>
  <c r="O434" i="5"/>
  <c r="AO734" i="17"/>
  <c r="AR734" i="17" s="1"/>
  <c r="O475" i="5"/>
  <c r="AO775" i="17"/>
  <c r="AR775" i="17" s="1"/>
  <c r="O519" i="5"/>
  <c r="AO819" i="17"/>
  <c r="AR819" i="17" s="1"/>
  <c r="O566" i="5"/>
  <c r="AO866" i="17"/>
  <c r="AR866" i="17" s="1"/>
  <c r="O597" i="5"/>
  <c r="AO897" i="17"/>
  <c r="AR897" i="17" s="1"/>
  <c r="O637" i="5"/>
  <c r="AO937" i="17"/>
  <c r="AR937" i="17" s="1"/>
  <c r="O689" i="5"/>
  <c r="AO989" i="17"/>
  <c r="AR989" i="17" s="1"/>
  <c r="O721" i="5"/>
  <c r="AO1021" i="17"/>
  <c r="AR1021" i="17" s="1"/>
  <c r="O35" i="5"/>
  <c r="AO36" i="17" s="1"/>
  <c r="AR36" i="17" s="1"/>
  <c r="O83" i="5"/>
  <c r="AO84" i="17" s="1"/>
  <c r="AR84" i="17" s="1"/>
  <c r="O117" i="5"/>
  <c r="AO118" i="17" s="1"/>
  <c r="AR118" i="17" s="1"/>
  <c r="O144" i="5"/>
  <c r="AO444" i="17" s="1"/>
  <c r="AR444" i="17" s="1"/>
  <c r="O177" i="5"/>
  <c r="AO178" i="17"/>
  <c r="AR178" i="17" s="1"/>
  <c r="AO477" i="17"/>
  <c r="AR477" i="17" s="1"/>
  <c r="O213" i="5"/>
  <c r="AO214" i="17"/>
  <c r="AR214" i="17" s="1"/>
  <c r="AO513" i="17"/>
  <c r="AR513" i="17" s="1"/>
  <c r="O252" i="5"/>
  <c r="AO253" i="17"/>
  <c r="AR253" i="17" s="1"/>
  <c r="AO552" i="17"/>
  <c r="AR552" i="17" s="1"/>
  <c r="O277" i="5"/>
  <c r="AO278" i="17"/>
  <c r="AR278" i="17" s="1"/>
  <c r="AO577" i="17"/>
  <c r="AR577" i="17" s="1"/>
  <c r="O307" i="5"/>
  <c r="AO308" i="17"/>
  <c r="AR308" i="17" s="1"/>
  <c r="AO607" i="17"/>
  <c r="AR607" i="17" s="1"/>
  <c r="O338" i="5"/>
  <c r="AO339" i="17"/>
  <c r="AR339" i="17" s="1"/>
  <c r="AO638" i="17"/>
  <c r="AR638" i="17" s="1"/>
  <c r="O373" i="5"/>
  <c r="AO374" i="17"/>
  <c r="AR374" i="17" s="1"/>
  <c r="AO673" i="17"/>
  <c r="AR673" i="17" s="1"/>
  <c r="O406" i="5"/>
  <c r="AO706" i="17"/>
  <c r="AR706" i="17" s="1"/>
  <c r="O455" i="5"/>
  <c r="AO755" i="17"/>
  <c r="AR755" i="17" s="1"/>
  <c r="O512" i="5"/>
  <c r="AO812" i="17"/>
  <c r="AR812" i="17" s="1"/>
  <c r="O557" i="5"/>
  <c r="AO857" i="17"/>
  <c r="AR857" i="17" s="1"/>
  <c r="O600" i="5"/>
  <c r="AO900" i="17"/>
  <c r="AR900" i="17" s="1"/>
  <c r="O628" i="5"/>
  <c r="AO928" i="17"/>
  <c r="AR928" i="17" s="1"/>
  <c r="O663" i="5"/>
  <c r="AO963" i="17"/>
  <c r="AR963" i="17" s="1"/>
  <c r="O694" i="5"/>
  <c r="AO994" i="17"/>
  <c r="AR994" i="17" s="1"/>
  <c r="O733" i="5"/>
  <c r="AO1033" i="17"/>
  <c r="AR1033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92" i="5"/>
  <c r="AO692" i="17"/>
  <c r="AR692" i="17" s="1"/>
  <c r="O419" i="5"/>
  <c r="AO719" i="17"/>
  <c r="AR719" i="17" s="1"/>
  <c r="O450" i="5"/>
  <c r="AO750" i="17"/>
  <c r="AR750" i="17" s="1"/>
  <c r="O487" i="5"/>
  <c r="AO787" i="17"/>
  <c r="AR787" i="17" s="1"/>
  <c r="O518" i="5"/>
  <c r="AO818" i="17"/>
  <c r="AR818" i="17" s="1"/>
  <c r="O550" i="5"/>
  <c r="AO850" i="17"/>
  <c r="AR850" i="17" s="1"/>
  <c r="O580" i="5"/>
  <c r="AO880" i="17"/>
  <c r="AR880" i="17" s="1"/>
  <c r="O618" i="5"/>
  <c r="AO918" i="17"/>
  <c r="AR918" i="17" s="1"/>
  <c r="O640" i="5"/>
  <c r="AO940" i="17"/>
  <c r="AR940" i="17" s="1"/>
  <c r="O668" i="5"/>
  <c r="AO968" i="17"/>
  <c r="AR968" i="17" s="1"/>
  <c r="O706" i="5"/>
  <c r="AO1006" i="17"/>
  <c r="AR1006" i="17" s="1"/>
  <c r="O750" i="5"/>
  <c r="AO1050" i="17"/>
  <c r="AR1050" i="17" s="1"/>
  <c r="M837" i="5"/>
  <c r="AJ1137" i="17"/>
  <c r="AM1137" i="17" s="1"/>
  <c r="M825" i="5"/>
  <c r="AJ1125" i="17"/>
  <c r="AM1125" i="17" s="1"/>
  <c r="M817" i="5"/>
  <c r="AJ1117" i="17"/>
  <c r="AM1117" i="17" s="1"/>
  <c r="M809" i="5"/>
  <c r="AJ1109" i="17"/>
  <c r="AM1109" i="17" s="1"/>
  <c r="M797" i="5"/>
  <c r="AJ1097" i="17"/>
  <c r="AM1097" i="17" s="1"/>
  <c r="M793" i="5"/>
  <c r="AJ1093" i="17"/>
  <c r="AM1093" i="17" s="1"/>
  <c r="M789" i="5"/>
  <c r="AJ1089" i="17"/>
  <c r="AM1089" i="17" s="1"/>
  <c r="M777" i="5"/>
  <c r="AJ1077" i="17"/>
  <c r="AM1077" i="17" s="1"/>
  <c r="M773" i="5"/>
  <c r="AJ1073" i="17"/>
  <c r="AM1073" i="17" s="1"/>
  <c r="Q859" i="5"/>
  <c r="AT1159" i="17"/>
  <c r="AW1159" i="17" s="1"/>
  <c r="Q812" i="5"/>
  <c r="AT1112" i="17"/>
  <c r="AW1112" i="17" s="1"/>
  <c r="U837" i="5"/>
  <c r="BD1137" i="17"/>
  <c r="BG1137" i="17" s="1"/>
  <c r="U796" i="5"/>
  <c r="BD1096" i="17"/>
  <c r="BG1096" i="17" s="1"/>
  <c r="O831" i="5"/>
  <c r="AO1131" i="17"/>
  <c r="AR1131" i="17" s="1"/>
  <c r="O818" i="5"/>
  <c r="AO1118" i="17"/>
  <c r="AR1118" i="17" s="1"/>
  <c r="O758" i="5"/>
  <c r="AO1058" i="17"/>
  <c r="AR1058" i="17" s="1"/>
  <c r="Q789" i="5"/>
  <c r="AT1089" i="17"/>
  <c r="AW1089" i="17" s="1"/>
  <c r="Q721" i="5"/>
  <c r="AT1021" i="17"/>
  <c r="AW1021" i="17" s="1"/>
  <c r="Q695" i="5"/>
  <c r="AT995" i="17"/>
  <c r="AW995" i="17" s="1"/>
  <c r="Q655" i="5"/>
  <c r="AT955" i="17"/>
  <c r="AW955" i="17" s="1"/>
  <c r="Q611" i="5"/>
  <c r="AT911" i="17"/>
  <c r="AW911" i="17" s="1"/>
  <c r="Q845" i="5"/>
  <c r="AT1145" i="17"/>
  <c r="AW1145" i="17" s="1"/>
  <c r="Q824" i="5"/>
  <c r="AT1124" i="17"/>
  <c r="AW1124" i="17" s="1"/>
  <c r="M861" i="5"/>
  <c r="AJ1161" i="17"/>
  <c r="AM1161" i="17" s="1"/>
  <c r="O780" i="5"/>
  <c r="AO1080" i="17"/>
  <c r="AR1080" i="17" s="1"/>
  <c r="O829" i="5"/>
  <c r="AO1129" i="17"/>
  <c r="AR1129" i="17" s="1"/>
  <c r="O718" i="5"/>
  <c r="AO1018" i="17"/>
  <c r="AR1018" i="17" s="1"/>
  <c r="O786" i="5"/>
  <c r="AO1086" i="17"/>
  <c r="AR1086" i="17" s="1"/>
  <c r="O825" i="5"/>
  <c r="AO1125" i="17"/>
  <c r="AR1125" i="17" s="1"/>
  <c r="Q104" i="5"/>
  <c r="AT105" i="17"/>
  <c r="AW105" i="17" s="1"/>
  <c r="AT404" i="17"/>
  <c r="AW404" i="17" s="1"/>
  <c r="Q137" i="5"/>
  <c r="AT138" i="17"/>
  <c r="AW138" i="17" s="1"/>
  <c r="AT437" i="17"/>
  <c r="AW437" i="17" s="1"/>
  <c r="Q173" i="5"/>
  <c r="AT174" i="17"/>
  <c r="AW174" i="17" s="1"/>
  <c r="AT473" i="17"/>
  <c r="AW473" i="17" s="1"/>
  <c r="Q212" i="5"/>
  <c r="AT213" i="17"/>
  <c r="AW213" i="17" s="1"/>
  <c r="AT512" i="17"/>
  <c r="AW512" i="17" s="1"/>
  <c r="Q243" i="5"/>
  <c r="AT244" i="17"/>
  <c r="AW244" i="17" s="1"/>
  <c r="AT543" i="17"/>
  <c r="AW543" i="17" s="1"/>
  <c r="Q321" i="5"/>
  <c r="AT322" i="17"/>
  <c r="AW322" i="17" s="1"/>
  <c r="AT621" i="17"/>
  <c r="AW621" i="17" s="1"/>
  <c r="Q429" i="5"/>
  <c r="AT729" i="17"/>
  <c r="AW729" i="17" s="1"/>
  <c r="Q607" i="5"/>
  <c r="AT907" i="17"/>
  <c r="AW907" i="17" s="1"/>
  <c r="Q166" i="5"/>
  <c r="AT167" i="17"/>
  <c r="AW167" i="17" s="1"/>
  <c r="AT466" i="17"/>
  <c r="AW466" i="17" s="1"/>
  <c r="Q199" i="5"/>
  <c r="AT200" i="17"/>
  <c r="AW200" i="17" s="1"/>
  <c r="AT499" i="17"/>
  <c r="AW499" i="17" s="1"/>
  <c r="Q230" i="5"/>
  <c r="AT231" i="17"/>
  <c r="AW231" i="17" s="1"/>
  <c r="AT530" i="17"/>
  <c r="AW530" i="17" s="1"/>
  <c r="Q331" i="5"/>
  <c r="AT332" i="17"/>
  <c r="AW332" i="17" s="1"/>
  <c r="AT631" i="17"/>
  <c r="AW631" i="17" s="1"/>
  <c r="Q502" i="5"/>
  <c r="AT802" i="17"/>
  <c r="AW802" i="17" s="1"/>
  <c r="Q256" i="5"/>
  <c r="AT257" i="17"/>
  <c r="AW257" i="17" s="1"/>
  <c r="AT556" i="17"/>
  <c r="AW556" i="17" s="1"/>
  <c r="Q309" i="5"/>
  <c r="AT310" i="17"/>
  <c r="AW310" i="17" s="1"/>
  <c r="AT609" i="17"/>
  <c r="AW609" i="17" s="1"/>
  <c r="Q368" i="5"/>
  <c r="AT369" i="17"/>
  <c r="AW369" i="17" s="1"/>
  <c r="AT668" i="17"/>
  <c r="AW668" i="17" s="1"/>
  <c r="Q526" i="5"/>
  <c r="AT826" i="17"/>
  <c r="AW826" i="17" s="1"/>
  <c r="Q291" i="5"/>
  <c r="AT292" i="17"/>
  <c r="AW292" i="17" s="1"/>
  <c r="AT591" i="17"/>
  <c r="AW591" i="17" s="1"/>
  <c r="Q362" i="5"/>
  <c r="AT363" i="17"/>
  <c r="AW363" i="17" s="1"/>
  <c r="AT662" i="17"/>
  <c r="AW662" i="17" s="1"/>
  <c r="Q497" i="5"/>
  <c r="AT797" i="17"/>
  <c r="AW797" i="17" s="1"/>
  <c r="Q586" i="5"/>
  <c r="AT886" i="17"/>
  <c r="AW886" i="17" s="1"/>
  <c r="Q306" i="5"/>
  <c r="AT307" i="17"/>
  <c r="AW307" i="17" s="1"/>
  <c r="AT606" i="17"/>
  <c r="AW606" i="17" s="1"/>
  <c r="Q342" i="5"/>
  <c r="AT343" i="17"/>
  <c r="AW343" i="17" s="1"/>
  <c r="AT642" i="17"/>
  <c r="AW642" i="17" s="1"/>
  <c r="Q364" i="5"/>
  <c r="AT365" i="17"/>
  <c r="AW365" i="17" s="1"/>
  <c r="AT664" i="17"/>
  <c r="AW664" i="17" s="1"/>
  <c r="Q402" i="5"/>
  <c r="AT702" i="17"/>
  <c r="AW702" i="17" s="1"/>
  <c r="Q514" i="5"/>
  <c r="AT814" i="17"/>
  <c r="AW814" i="17" s="1"/>
  <c r="Q590" i="5"/>
  <c r="AT890" i="17"/>
  <c r="AW890" i="17" s="1"/>
  <c r="Q639" i="5"/>
  <c r="AT939" i="17"/>
  <c r="AW939" i="17" s="1"/>
  <c r="Q350" i="5"/>
  <c r="AT351" i="17"/>
  <c r="AW351" i="17" s="1"/>
  <c r="AT650" i="17"/>
  <c r="AW650" i="17" s="1"/>
  <c r="Q412" i="5"/>
  <c r="AT712" i="17"/>
  <c r="AW712" i="17" s="1"/>
  <c r="Q523" i="5"/>
  <c r="AT823" i="17"/>
  <c r="AW823" i="17" s="1"/>
  <c r="Q616" i="5"/>
  <c r="AT916" i="17"/>
  <c r="AW916" i="17" s="1"/>
  <c r="Q460" i="5"/>
  <c r="AT760" i="17"/>
  <c r="AW760" i="17" s="1"/>
  <c r="Q500" i="5"/>
  <c r="AT800" i="17"/>
  <c r="AW800" i="17" s="1"/>
  <c r="Q536" i="5"/>
  <c r="AT836" i="17"/>
  <c r="AW836" i="17" s="1"/>
  <c r="Q594" i="5"/>
  <c r="AT894" i="17"/>
  <c r="AW894" i="17" s="1"/>
  <c r="Q683" i="5"/>
  <c r="AT983" i="17"/>
  <c r="AW983" i="17" s="1"/>
  <c r="Q438" i="5"/>
  <c r="AT738" i="17"/>
  <c r="AW738" i="17" s="1"/>
  <c r="Q465" i="5"/>
  <c r="AT765" i="17"/>
  <c r="AW765" i="17" s="1"/>
  <c r="Q508" i="5"/>
  <c r="AT808" i="17"/>
  <c r="AW808" i="17" s="1"/>
  <c r="Q561" i="5"/>
  <c r="AT861" i="17"/>
  <c r="AW861" i="17" s="1"/>
  <c r="Q583" i="5"/>
  <c r="AT883" i="17"/>
  <c r="AW883" i="17" s="1"/>
  <c r="Q633" i="5"/>
  <c r="AT933" i="17"/>
  <c r="AW933" i="17" s="1"/>
  <c r="Q684" i="5"/>
  <c r="AT984" i="17"/>
  <c r="AW984" i="17" s="1"/>
  <c r="Q748" i="5"/>
  <c r="AT1048" i="17"/>
  <c r="AW1048" i="17" s="1"/>
  <c r="Q774" i="5"/>
  <c r="AT1074" i="17"/>
  <c r="AW1074" i="17" s="1"/>
  <c r="Q614" i="5"/>
  <c r="AT914" i="17"/>
  <c r="AW914" i="17" s="1"/>
  <c r="Q663" i="5"/>
  <c r="AT963" i="17"/>
  <c r="AW963" i="17" s="1"/>
  <c r="Q702" i="5"/>
  <c r="AT1002" i="17"/>
  <c r="AW1002" i="17" s="1"/>
  <c r="Q780" i="5"/>
  <c r="AT1080" i="17"/>
  <c r="AW1080" i="17" s="1"/>
  <c r="Q767" i="5"/>
  <c r="AT1067" i="17"/>
  <c r="AW1067" i="17" s="1"/>
  <c r="Q786" i="5"/>
  <c r="AT1086" i="17"/>
  <c r="AW1086" i="17" s="1"/>
  <c r="Q752" i="5"/>
  <c r="AT1052" i="17"/>
  <c r="AW1052" i="17" s="1"/>
  <c r="Q791" i="5"/>
  <c r="AT1091" i="17"/>
  <c r="AW1091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23" i="5"/>
  <c r="AT124" i="17"/>
  <c r="AW124" i="17" s="1"/>
  <c r="AT423" i="17"/>
  <c r="AW423" i="17" s="1"/>
  <c r="Q109" i="5"/>
  <c r="AT110" i="17"/>
  <c r="AW110" i="17" s="1"/>
  <c r="AT409" i="17"/>
  <c r="AW409" i="17" s="1"/>
  <c r="Q82" i="5"/>
  <c r="AT83" i="17"/>
  <c r="AW83" i="17" s="1"/>
  <c r="Q25" i="5"/>
  <c r="AT26" i="17" s="1"/>
  <c r="AW26" i="17" s="1"/>
  <c r="S233" i="5"/>
  <c r="AY234" i="17"/>
  <c r="BB234" i="17" s="1"/>
  <c r="AY533" i="17"/>
  <c r="BB533" i="17" s="1"/>
  <c r="S259" i="5"/>
  <c r="AY260" i="17"/>
  <c r="BB260" i="17" s="1"/>
  <c r="AY559" i="17"/>
  <c r="BB559" i="17" s="1"/>
  <c r="S301" i="5"/>
  <c r="AY302" i="17"/>
  <c r="BB302" i="17" s="1"/>
  <c r="AY601" i="17"/>
  <c r="BB601" i="17" s="1"/>
  <c r="S349" i="5"/>
  <c r="AY350" i="17"/>
  <c r="BB350" i="17" s="1"/>
  <c r="AY649" i="17"/>
  <c r="BB649" i="17" s="1"/>
  <c r="S405" i="5"/>
  <c r="AY705" i="17"/>
  <c r="BB705" i="17" s="1"/>
  <c r="S466" i="5"/>
  <c r="AY766" i="17"/>
  <c r="BB766" i="17" s="1"/>
  <c r="S512" i="5"/>
  <c r="AY812" i="17"/>
  <c r="BB812" i="17" s="1"/>
  <c r="S582" i="5"/>
  <c r="AY882" i="17"/>
  <c r="BB882" i="17" s="1"/>
  <c r="S652" i="5"/>
  <c r="AY952" i="17"/>
  <c r="BB952" i="17" s="1"/>
  <c r="S693" i="5"/>
  <c r="AY993" i="17"/>
  <c r="BB993" i="17" s="1"/>
  <c r="S750" i="5"/>
  <c r="AY1050" i="17"/>
  <c r="BB1050" i="17" s="1"/>
  <c r="S783" i="5"/>
  <c r="AY1083" i="17"/>
  <c r="BB1083" i="17" s="1"/>
  <c r="S851" i="5"/>
  <c r="AY1151" i="17"/>
  <c r="BB1151" i="17" s="1"/>
  <c r="S39" i="5"/>
  <c r="AY40" i="17" s="1"/>
  <c r="BB40" i="17" s="1"/>
  <c r="S67" i="5"/>
  <c r="AY68" i="17" s="1"/>
  <c r="BB68" i="17" s="1"/>
  <c r="S109" i="5"/>
  <c r="AY110" i="17" s="1"/>
  <c r="BB110" i="17" s="1"/>
  <c r="S163" i="5"/>
  <c r="AY164" i="17"/>
  <c r="BB164" i="17" s="1"/>
  <c r="AY463" i="17"/>
  <c r="BB463" i="17" s="1"/>
  <c r="S197" i="5"/>
  <c r="AY198" i="17"/>
  <c r="BB198" i="17" s="1"/>
  <c r="AY497" i="17"/>
  <c r="BB497" i="17" s="1"/>
  <c r="S243" i="5"/>
  <c r="AY244" i="17"/>
  <c r="BB244" i="17" s="1"/>
  <c r="AY543" i="17"/>
  <c r="BB543" i="17" s="1"/>
  <c r="S290" i="5"/>
  <c r="AY291" i="17"/>
  <c r="BB291" i="17" s="1"/>
  <c r="AY590" i="17"/>
  <c r="BB590" i="17" s="1"/>
  <c r="S335" i="5"/>
  <c r="AY336" i="17"/>
  <c r="BB336" i="17" s="1"/>
  <c r="AY635" i="17"/>
  <c r="BB635" i="17" s="1"/>
  <c r="S399" i="5"/>
  <c r="AY699" i="17"/>
  <c r="BB699" i="17" s="1"/>
  <c r="S442" i="5"/>
  <c r="AY742" i="17"/>
  <c r="BB742" i="17" s="1"/>
  <c r="S471" i="5"/>
  <c r="AY771" i="17"/>
  <c r="BB771" i="17" s="1"/>
  <c r="S508" i="5"/>
  <c r="AY808" i="17"/>
  <c r="BB808" i="17" s="1"/>
  <c r="S547" i="5"/>
  <c r="AY847" i="17"/>
  <c r="BB847" i="17" s="1"/>
  <c r="S591" i="5"/>
  <c r="AY891" i="17"/>
  <c r="BB891" i="17" s="1"/>
  <c r="S645" i="5"/>
  <c r="AY945" i="17"/>
  <c r="BB945" i="17" s="1"/>
  <c r="S702" i="5"/>
  <c r="AY1002" i="17"/>
  <c r="BB1002" i="17" s="1"/>
  <c r="S775" i="5"/>
  <c r="AY1075" i="17"/>
  <c r="BB1075" i="17" s="1"/>
  <c r="S787" i="5"/>
  <c r="AY1087" i="17"/>
  <c r="BB1087" i="17" s="1"/>
  <c r="S841" i="5"/>
  <c r="AY1141" i="17"/>
  <c r="BB1141" i="17" s="1"/>
  <c r="S853" i="5"/>
  <c r="AY1153" i="17"/>
  <c r="BB1153" i="17" s="1"/>
  <c r="S588" i="5"/>
  <c r="AY888" i="17"/>
  <c r="BB888" i="17" s="1"/>
  <c r="S616" i="5"/>
  <c r="AY916" i="17"/>
  <c r="BB916" i="17" s="1"/>
  <c r="S678" i="5"/>
  <c r="AY978" i="17"/>
  <c r="BB978" i="17" s="1"/>
  <c r="S697" i="5"/>
  <c r="AY997" i="17"/>
  <c r="BB997" i="17" s="1"/>
  <c r="S764" i="5"/>
  <c r="AY1064" i="17"/>
  <c r="BB1064" i="17" s="1"/>
  <c r="S791" i="5"/>
  <c r="AY1091" i="17"/>
  <c r="BB1091" i="17" s="1"/>
  <c r="S830" i="5"/>
  <c r="AY1130" i="17"/>
  <c r="BB1130" i="17" s="1"/>
  <c r="S740" i="5"/>
  <c r="AY1040" i="17"/>
  <c r="BB1040" i="17" s="1"/>
  <c r="S566" i="5"/>
  <c r="AY866" i="17"/>
  <c r="BB866" i="17" s="1"/>
  <c r="S478" i="5"/>
  <c r="AY778" i="17"/>
  <c r="BB778" i="17" s="1"/>
  <c r="S447" i="5"/>
  <c r="AY747" i="17"/>
  <c r="BB747" i="17" s="1"/>
  <c r="S364" i="5"/>
  <c r="AY365" i="17"/>
  <c r="BB365" i="17" s="1"/>
  <c r="AY664" i="17"/>
  <c r="BB664" i="17" s="1"/>
  <c r="S580" i="5"/>
  <c r="AY880" i="17"/>
  <c r="BB880" i="17" s="1"/>
  <c r="S218" i="5"/>
  <c r="AY219" i="17"/>
  <c r="BB219" i="17" s="1"/>
  <c r="AY518" i="17"/>
  <c r="BB518" i="17" s="1"/>
  <c r="S141" i="5"/>
  <c r="AY142" i="17" s="1"/>
  <c r="BB142" i="17" s="1"/>
  <c r="AY441" i="17"/>
  <c r="BB441" i="17" s="1"/>
  <c r="S820" i="5"/>
  <c r="AY1120" i="17"/>
  <c r="BB1120" i="17" s="1"/>
  <c r="S756" i="5"/>
  <c r="AY1056" i="17"/>
  <c r="BB1056" i="17" s="1"/>
  <c r="S422" i="5"/>
  <c r="AY722" i="17"/>
  <c r="BB722" i="17" s="1"/>
  <c r="S149" i="5"/>
  <c r="AY150" i="17"/>
  <c r="BB150" i="17" s="1"/>
  <c r="AY449" i="17"/>
  <c r="BB449" i="17" s="1"/>
  <c r="S95" i="5"/>
  <c r="AY96" i="17" s="1"/>
  <c r="BB96" i="17" s="1"/>
  <c r="S24" i="5"/>
  <c r="AY25" i="17" s="1"/>
  <c r="BB25" i="17" s="1"/>
  <c r="S34" i="5"/>
  <c r="AY35" i="17" s="1"/>
  <c r="BB35" i="17" s="1"/>
  <c r="S89" i="5"/>
  <c r="AY389" i="17" s="1"/>
  <c r="BB389" i="17" s="1"/>
  <c r="S151" i="5"/>
  <c r="AY152" i="17"/>
  <c r="BB152" i="17" s="1"/>
  <c r="AY451" i="17"/>
  <c r="BB451" i="17" s="1"/>
  <c r="S241" i="5"/>
  <c r="AY242" i="17"/>
  <c r="BB242" i="17" s="1"/>
  <c r="AY541" i="17"/>
  <c r="BB541" i="17" s="1"/>
  <c r="S336" i="5"/>
  <c r="AY337" i="17"/>
  <c r="BB337" i="17" s="1"/>
  <c r="AY636" i="17"/>
  <c r="BB636" i="17" s="1"/>
  <c r="S550" i="5"/>
  <c r="AY850" i="17"/>
  <c r="BB850" i="17" s="1"/>
  <c r="S660" i="5"/>
  <c r="AY960" i="17"/>
  <c r="BB960" i="17" s="1"/>
  <c r="S789" i="5"/>
  <c r="AY1089" i="17"/>
  <c r="BB1089" i="17" s="1"/>
  <c r="S49" i="5"/>
  <c r="AY50" i="17" s="1"/>
  <c r="BB50" i="17" s="1"/>
  <c r="S86" i="5"/>
  <c r="AY386" i="17" s="1"/>
  <c r="BB386" i="17" s="1"/>
  <c r="S181" i="5"/>
  <c r="AY182" i="17"/>
  <c r="BB182" i="17" s="1"/>
  <c r="AY481" i="17"/>
  <c r="BB481" i="17" s="1"/>
  <c r="S236" i="5"/>
  <c r="AY237" i="17"/>
  <c r="BB237" i="17" s="1"/>
  <c r="AY536" i="17"/>
  <c r="BB536" i="17" s="1"/>
  <c r="S379" i="5"/>
  <c r="AY380" i="17"/>
  <c r="BB380" i="17" s="1"/>
  <c r="AY679" i="17"/>
  <c r="BB679" i="17" s="1"/>
  <c r="S436" i="5"/>
  <c r="AY736" i="17"/>
  <c r="BB736" i="17" s="1"/>
  <c r="S628" i="5"/>
  <c r="AY928" i="17"/>
  <c r="BB928" i="17" s="1"/>
  <c r="S799" i="5"/>
  <c r="AY1099" i="17"/>
  <c r="BB1099" i="17" s="1"/>
  <c r="S127" i="5"/>
  <c r="AY128" i="17" s="1"/>
  <c r="BB128" i="17" s="1"/>
  <c r="S180" i="5"/>
  <c r="AY181" i="17"/>
  <c r="BB181" i="17" s="1"/>
  <c r="AY480" i="17"/>
  <c r="BB480" i="17" s="1"/>
  <c r="S260" i="5"/>
  <c r="AY261" i="17"/>
  <c r="BB261" i="17" s="1"/>
  <c r="AY560" i="17"/>
  <c r="BB560" i="17" s="1"/>
  <c r="S323" i="5"/>
  <c r="AY324" i="17"/>
  <c r="BB324" i="17" s="1"/>
  <c r="AY623" i="17"/>
  <c r="BB623" i="17" s="1"/>
  <c r="S420" i="5"/>
  <c r="AY720" i="17"/>
  <c r="BB720" i="17" s="1"/>
  <c r="S451" i="5"/>
  <c r="AY751" i="17"/>
  <c r="BB751" i="17" s="1"/>
  <c r="S586" i="5"/>
  <c r="AY886" i="17"/>
  <c r="BB886" i="17" s="1"/>
  <c r="S706" i="5"/>
  <c r="AY1006" i="17"/>
  <c r="BB1006" i="17" s="1"/>
  <c r="S583" i="5"/>
  <c r="AY883" i="17"/>
  <c r="BB883" i="17" s="1"/>
  <c r="S186" i="5"/>
  <c r="AY187" i="17"/>
  <c r="BB187" i="17" s="1"/>
  <c r="AY486" i="17"/>
  <c r="BB486" i="17" s="1"/>
  <c r="S64" i="5"/>
  <c r="AY65" i="17" s="1"/>
  <c r="BB65" i="17" s="1"/>
  <c r="U841" i="5"/>
  <c r="BD1141" i="17"/>
  <c r="BG1141" i="17" s="1"/>
  <c r="U788" i="5"/>
  <c r="BD1088" i="17"/>
  <c r="BG1088" i="17" s="1"/>
  <c r="U758" i="5"/>
  <c r="BD1058" i="17"/>
  <c r="BG1058" i="17" s="1"/>
  <c r="U687" i="5"/>
  <c r="BD987" i="17"/>
  <c r="BG987" i="17" s="1"/>
  <c r="U815" i="5"/>
  <c r="BD1115" i="17"/>
  <c r="BG1115" i="17" s="1"/>
  <c r="U737" i="5"/>
  <c r="BD1037" i="17"/>
  <c r="BG1037" i="17" s="1"/>
  <c r="U531" i="5"/>
  <c r="BD831" i="17"/>
  <c r="BG831" i="17" s="1"/>
  <c r="U564" i="5"/>
  <c r="BD864" i="17"/>
  <c r="BG864" i="17" s="1"/>
  <c r="U602" i="5"/>
  <c r="BD902" i="17"/>
  <c r="BG902" i="17" s="1"/>
  <c r="U629" i="5"/>
  <c r="BD929" i="17"/>
  <c r="BG929" i="17" s="1"/>
  <c r="U661" i="5"/>
  <c r="BD961" i="17"/>
  <c r="BG961" i="17" s="1"/>
  <c r="U782" i="5"/>
  <c r="BD1082" i="17"/>
  <c r="BG1082" i="17" s="1"/>
  <c r="U817" i="5"/>
  <c r="BD1117" i="17"/>
  <c r="BG1117" i="17" s="1"/>
  <c r="U504" i="5"/>
  <c r="BD804" i="17"/>
  <c r="BG804" i="17" s="1"/>
  <c r="U557" i="5"/>
  <c r="BD857" i="17"/>
  <c r="BG857" i="17" s="1"/>
  <c r="U609" i="5"/>
  <c r="BD909" i="17"/>
  <c r="BG909" i="17" s="1"/>
  <c r="U666" i="5"/>
  <c r="BD966" i="17"/>
  <c r="BG966" i="17" s="1"/>
  <c r="U706" i="5"/>
  <c r="BD1006" i="17"/>
  <c r="BG1006" i="17" s="1"/>
  <c r="U752" i="5"/>
  <c r="BD1052" i="17"/>
  <c r="BG1052" i="17" s="1"/>
  <c r="U775" i="5"/>
  <c r="BD1075" i="17"/>
  <c r="BG1075" i="17" s="1"/>
  <c r="U857" i="5"/>
  <c r="BD1157" i="17"/>
  <c r="BG1157" i="17" s="1"/>
  <c r="S83" i="5"/>
  <c r="AY84" i="17" s="1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106" i="5"/>
  <c r="BD107" i="17"/>
  <c r="BG107" i="17" s="1"/>
  <c r="BD406" i="17"/>
  <c r="BG406" i="17" s="1"/>
  <c r="U188" i="5"/>
  <c r="BD189" i="17"/>
  <c r="BG189" i="17" s="1"/>
  <c r="BD488" i="17"/>
  <c r="BG488" i="17" s="1"/>
  <c r="U265" i="5"/>
  <c r="BD266" i="17"/>
  <c r="BG266" i="17" s="1"/>
  <c r="BD565" i="17"/>
  <c r="BG565" i="17" s="1"/>
  <c r="U432" i="5"/>
  <c r="BD732" i="17"/>
  <c r="BG732" i="17" s="1"/>
  <c r="U483" i="5"/>
  <c r="BD783" i="17"/>
  <c r="BG783" i="17" s="1"/>
  <c r="U727" i="5"/>
  <c r="BD1027" i="17"/>
  <c r="BG1027" i="17" s="1"/>
  <c r="U189" i="5"/>
  <c r="BD190" i="17"/>
  <c r="BG190" i="17" s="1"/>
  <c r="BD489" i="17"/>
  <c r="BG489" i="17" s="1"/>
  <c r="U242" i="5"/>
  <c r="BD243" i="17"/>
  <c r="BG243" i="17" s="1"/>
  <c r="BD542" i="17"/>
  <c r="BG542" i="17" s="1"/>
  <c r="U307" i="5"/>
  <c r="BD308" i="17"/>
  <c r="BG308" i="17" s="1"/>
  <c r="BD607" i="17"/>
  <c r="BG607" i="17" s="1"/>
  <c r="U350" i="5"/>
  <c r="BD351" i="17"/>
  <c r="BG351" i="17" s="1"/>
  <c r="BD650" i="17"/>
  <c r="BG650" i="17" s="1"/>
  <c r="U442" i="5"/>
  <c r="BD742" i="17"/>
  <c r="BG742" i="17" s="1"/>
  <c r="U596" i="5"/>
  <c r="BD896" i="17"/>
  <c r="BG896" i="17" s="1"/>
  <c r="U718" i="5"/>
  <c r="BD1018" i="17"/>
  <c r="BG1018" i="17" s="1"/>
  <c r="U488" i="5"/>
  <c r="BD788" i="17"/>
  <c r="BG788" i="17" s="1"/>
  <c r="U163" i="5"/>
  <c r="BD164" i="17"/>
  <c r="BG164" i="17" s="1"/>
  <c r="BD463" i="17"/>
  <c r="BG463" i="17" s="1"/>
  <c r="U32" i="5"/>
  <c r="BD33" i="17"/>
  <c r="BG33" i="17" s="1"/>
  <c r="U723" i="5"/>
  <c r="BD1023" i="17"/>
  <c r="BG1023" i="17" s="1"/>
  <c r="U230" i="5"/>
  <c r="BD231" i="17"/>
  <c r="BG231" i="17" s="1"/>
  <c r="BD530" i="17"/>
  <c r="BG530" i="17" s="1"/>
  <c r="U643" i="5"/>
  <c r="BD943" i="17"/>
  <c r="BG943" i="17" s="1"/>
  <c r="U368" i="5"/>
  <c r="BD369" i="17"/>
  <c r="BG369" i="17" s="1"/>
  <c r="BD668" i="17"/>
  <c r="BG668" i="17" s="1"/>
  <c r="M860" i="5"/>
  <c r="AJ1160" i="17"/>
  <c r="AM1160" i="17" s="1"/>
  <c r="M835" i="5"/>
  <c r="AJ1135" i="17"/>
  <c r="AM1135" i="17" s="1"/>
  <c r="M831" i="5"/>
  <c r="AJ1131" i="17"/>
  <c r="AM1131" i="17" s="1"/>
  <c r="M823" i="5"/>
  <c r="AJ1123" i="17"/>
  <c r="AM1123" i="17" s="1"/>
  <c r="M815" i="5"/>
  <c r="AJ1115" i="17"/>
  <c r="AM1115" i="17" s="1"/>
  <c r="M807" i="5"/>
  <c r="AJ1107" i="17"/>
  <c r="AM1107" i="17" s="1"/>
  <c r="M799" i="5"/>
  <c r="AJ1099" i="17"/>
  <c r="AM1099" i="17" s="1"/>
  <c r="M791" i="5"/>
  <c r="AJ1091" i="17"/>
  <c r="AM1091" i="17" s="1"/>
  <c r="M787" i="5"/>
  <c r="AJ1087" i="17"/>
  <c r="AM1087" i="17" s="1"/>
  <c r="M779" i="5"/>
  <c r="AJ1079" i="17"/>
  <c r="AM1079" i="17" s="1"/>
  <c r="M771" i="5"/>
  <c r="AJ1071" i="17"/>
  <c r="AM1071" i="17" s="1"/>
  <c r="O845" i="5"/>
  <c r="AO1145" i="17"/>
  <c r="AR1145" i="17" s="1"/>
  <c r="Q836" i="5"/>
  <c r="AT1136" i="17"/>
  <c r="AW1136" i="17" s="1"/>
  <c r="Q806" i="5"/>
  <c r="AT1106" i="17"/>
  <c r="AW1106" i="17" s="1"/>
  <c r="U839" i="5"/>
  <c r="BD1139" i="17"/>
  <c r="BG1139" i="17" s="1"/>
  <c r="U791" i="5"/>
  <c r="BD1091" i="17"/>
  <c r="BG1091" i="17" s="1"/>
  <c r="O823" i="5"/>
  <c r="AO1123" i="17"/>
  <c r="AR1123" i="17" s="1"/>
  <c r="O830" i="5"/>
  <c r="AO1130" i="17"/>
  <c r="AR1130" i="17" s="1"/>
  <c r="O774" i="5"/>
  <c r="AO1074" i="17"/>
  <c r="AR1074" i="17" s="1"/>
  <c r="Q861" i="5"/>
  <c r="AT1161" i="17"/>
  <c r="AW1161" i="17" s="1"/>
  <c r="Q758" i="5"/>
  <c r="AT1058" i="17"/>
  <c r="AW1058" i="17" s="1"/>
  <c r="Q725" i="5"/>
  <c r="AT1025" i="17"/>
  <c r="AW1025" i="17" s="1"/>
  <c r="Q699" i="5"/>
  <c r="AT999" i="17"/>
  <c r="AW999" i="17" s="1"/>
  <c r="Q668" i="5"/>
  <c r="AT968" i="17"/>
  <c r="AW968" i="17" s="1"/>
  <c r="Q626" i="5"/>
  <c r="AT926" i="17"/>
  <c r="AW926" i="17" s="1"/>
  <c r="Q803" i="5"/>
  <c r="AT1103" i="17"/>
  <c r="AW1103" i="17" s="1"/>
  <c r="Q840" i="5"/>
  <c r="AT1140" i="17"/>
  <c r="AW1140" i="17" s="1"/>
  <c r="Q798" i="5"/>
  <c r="AT1098" i="17"/>
  <c r="AW1098" i="17" s="1"/>
  <c r="Q831" i="5"/>
  <c r="AT1131" i="17"/>
  <c r="AW1131" i="17" s="1"/>
  <c r="Q865" i="5"/>
  <c r="AT1165" i="17"/>
  <c r="AW1165" i="17" s="1"/>
  <c r="O773" i="5"/>
  <c r="AO1073" i="17"/>
  <c r="AR1073" i="17" s="1"/>
  <c r="O812" i="5"/>
  <c r="AO1112" i="17"/>
  <c r="AR1112" i="17" s="1"/>
  <c r="O861" i="5"/>
  <c r="AO1161" i="17"/>
  <c r="AR1161" i="17" s="1"/>
  <c r="O746" i="5"/>
  <c r="AO1046" i="17"/>
  <c r="AR1046" i="17" s="1"/>
  <c r="O799" i="5"/>
  <c r="AO1099" i="17"/>
  <c r="AR1099" i="17" s="1"/>
  <c r="O833" i="5"/>
  <c r="AO1133" i="17"/>
  <c r="AR1133" i="17" s="1"/>
  <c r="Q113" i="5"/>
  <c r="AT114" i="17"/>
  <c r="AW114" i="17" s="1"/>
  <c r="AT413" i="17"/>
  <c r="AW413" i="17" s="1"/>
  <c r="Q132" i="5"/>
  <c r="AT133" i="17"/>
  <c r="AW133" i="17" s="1"/>
  <c r="AT432" i="17"/>
  <c r="AW432" i="17" s="1"/>
  <c r="Q156" i="5"/>
  <c r="AT157" i="17"/>
  <c r="AW157" i="17" s="1"/>
  <c r="AT456" i="17"/>
  <c r="AW456" i="17" s="1"/>
  <c r="Q186" i="5"/>
  <c r="AT187" i="17"/>
  <c r="AW187" i="17" s="1"/>
  <c r="AT486" i="17"/>
  <c r="AW486" i="17" s="1"/>
  <c r="Q218" i="5"/>
  <c r="AT219" i="17"/>
  <c r="AW219" i="17" s="1"/>
  <c r="AT518" i="17"/>
  <c r="AW518" i="17" s="1"/>
  <c r="Q246" i="5"/>
  <c r="AT247" i="17"/>
  <c r="AW247" i="17" s="1"/>
  <c r="AT546" i="17"/>
  <c r="AW546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54" i="5"/>
  <c r="AT754" i="17"/>
  <c r="AW754" i="17" s="1"/>
  <c r="Q676" i="5"/>
  <c r="AT976" i="17"/>
  <c r="AW976" i="17" s="1"/>
  <c r="Q161" i="5"/>
  <c r="AT162" i="17"/>
  <c r="AW162" i="17" s="1"/>
  <c r="AT461" i="17"/>
  <c r="AW461" i="17" s="1"/>
  <c r="Q194" i="5"/>
  <c r="AT195" i="17"/>
  <c r="AW195" i="17" s="1"/>
  <c r="AT494" i="17"/>
  <c r="AW494" i="17" s="1"/>
  <c r="Q221" i="5"/>
  <c r="AT222" i="17"/>
  <c r="AW222" i="17" s="1"/>
  <c r="AT521" i="17"/>
  <c r="AW521" i="17" s="1"/>
  <c r="Q283" i="5"/>
  <c r="AT284" i="17"/>
  <c r="AW284" i="17" s="1"/>
  <c r="AT583" i="17"/>
  <c r="AW583" i="17" s="1"/>
  <c r="Q378" i="5"/>
  <c r="AT379" i="17"/>
  <c r="AW379" i="17" s="1"/>
  <c r="AT678" i="17"/>
  <c r="AW678" i="17" s="1"/>
  <c r="Q456" i="5"/>
  <c r="AT756" i="17"/>
  <c r="AW756" i="17" s="1"/>
  <c r="Q755" i="5"/>
  <c r="AT1055" i="17"/>
  <c r="AW1055" i="17" s="1"/>
  <c r="Q262" i="5"/>
  <c r="AT263" i="17"/>
  <c r="AW263" i="17" s="1"/>
  <c r="AT562" i="17"/>
  <c r="AW562" i="17" s="1"/>
  <c r="Q299" i="5"/>
  <c r="AT300" i="17"/>
  <c r="AW300" i="17" s="1"/>
  <c r="AT599" i="17"/>
  <c r="AW599" i="17" s="1"/>
  <c r="Q365" i="5"/>
  <c r="AT366" i="17"/>
  <c r="AW366" i="17" s="1"/>
  <c r="AT665" i="17"/>
  <c r="AW665" i="17" s="1"/>
  <c r="Q405" i="5"/>
  <c r="AT705" i="17"/>
  <c r="AW705" i="17" s="1"/>
  <c r="Q266" i="5"/>
  <c r="AT267" i="17"/>
  <c r="AW267" i="17" s="1"/>
  <c r="AT566" i="17"/>
  <c r="AW566" i="17" s="1"/>
  <c r="Q293" i="5"/>
  <c r="AT294" i="17"/>
  <c r="AW294" i="17" s="1"/>
  <c r="AT593" i="17"/>
  <c r="AW593" i="17" s="1"/>
  <c r="Q352" i="5"/>
  <c r="AT353" i="17"/>
  <c r="AW353" i="17" s="1"/>
  <c r="AT652" i="17"/>
  <c r="AW652" i="17" s="1"/>
  <c r="Q453" i="5"/>
  <c r="AT753" i="17"/>
  <c r="AW753" i="17" s="1"/>
  <c r="Q559" i="5"/>
  <c r="AT859" i="17"/>
  <c r="AW859" i="17" s="1"/>
  <c r="Q273" i="5"/>
  <c r="AT274" i="17"/>
  <c r="AW274" i="17" s="1"/>
  <c r="AT573" i="17"/>
  <c r="AW573" i="17" s="1"/>
  <c r="Q327" i="5"/>
  <c r="AT328" i="17"/>
  <c r="AW328" i="17" s="1"/>
  <c r="AT627" i="17"/>
  <c r="AW627" i="17" s="1"/>
  <c r="Q354" i="5"/>
  <c r="AT355" i="17"/>
  <c r="AW355" i="17" s="1"/>
  <c r="AT654" i="17"/>
  <c r="AW654" i="17" s="1"/>
  <c r="Q372" i="5"/>
  <c r="AT373" i="17"/>
  <c r="AW373" i="17" s="1"/>
  <c r="AT672" i="17"/>
  <c r="AW672" i="17" s="1"/>
  <c r="Q397" i="5"/>
  <c r="AT697" i="17"/>
  <c r="AW697" i="17" s="1"/>
  <c r="Q458" i="5"/>
  <c r="AT758" i="17"/>
  <c r="AW758" i="17" s="1"/>
  <c r="Q524" i="5"/>
  <c r="AT824" i="17"/>
  <c r="AW824" i="17" s="1"/>
  <c r="Q574" i="5"/>
  <c r="AT874" i="17"/>
  <c r="AW874" i="17" s="1"/>
  <c r="Q670" i="5"/>
  <c r="AT970" i="17"/>
  <c r="AW970" i="17" s="1"/>
  <c r="Q345" i="5"/>
  <c r="AT346" i="17"/>
  <c r="AW346" i="17" s="1"/>
  <c r="AT645" i="17"/>
  <c r="AW645" i="17" s="1"/>
  <c r="Q388" i="5"/>
  <c r="AT688" i="17"/>
  <c r="AW688" i="17" s="1"/>
  <c r="Q419" i="5"/>
  <c r="AT719" i="17"/>
  <c r="AW719" i="17" s="1"/>
  <c r="Q499" i="5"/>
  <c r="AT799" i="17"/>
  <c r="AW799" i="17" s="1"/>
  <c r="Q560" i="5"/>
  <c r="AT860" i="17"/>
  <c r="AW860" i="17" s="1"/>
  <c r="Q667" i="5"/>
  <c r="AT967" i="17"/>
  <c r="AW967" i="17" s="1"/>
  <c r="Q470" i="5"/>
  <c r="AT770" i="17"/>
  <c r="AW770" i="17" s="1"/>
  <c r="Q493" i="5"/>
  <c r="AT793" i="17"/>
  <c r="AW793" i="17" s="1"/>
  <c r="Q516" i="5"/>
  <c r="AT816" i="17"/>
  <c r="AW816" i="17" s="1"/>
  <c r="Q557" i="5"/>
  <c r="AT857" i="17"/>
  <c r="AW857" i="17" s="1"/>
  <c r="Q588" i="5"/>
  <c r="AT888" i="17"/>
  <c r="AW888" i="17" s="1"/>
  <c r="Q660" i="5"/>
  <c r="AT960" i="17"/>
  <c r="AW960" i="17" s="1"/>
  <c r="Q423" i="5"/>
  <c r="AT723" i="17"/>
  <c r="AW723" i="17" s="1"/>
  <c r="Q443" i="5"/>
  <c r="AT743" i="17"/>
  <c r="AW743" i="17" s="1"/>
  <c r="Q469" i="5"/>
  <c r="AT769" i="17"/>
  <c r="AW769" i="17" s="1"/>
  <c r="Q505" i="5"/>
  <c r="AT805" i="17"/>
  <c r="AW805" i="17" s="1"/>
  <c r="Q540" i="5"/>
  <c r="AT840" i="17"/>
  <c r="AW840" i="17" s="1"/>
  <c r="Q567" i="5"/>
  <c r="AT867" i="17"/>
  <c r="AW867" i="17" s="1"/>
  <c r="Q598" i="5"/>
  <c r="AT898" i="17"/>
  <c r="AW898" i="17" s="1"/>
  <c r="Q621" i="5"/>
  <c r="AT921" i="17"/>
  <c r="AW921" i="17" s="1"/>
  <c r="Q657" i="5"/>
  <c r="AT957" i="17"/>
  <c r="AW957" i="17" s="1"/>
  <c r="Q690" i="5"/>
  <c r="AT990" i="17"/>
  <c r="AW990" i="17" s="1"/>
  <c r="Q723" i="5"/>
  <c r="AT1023" i="17"/>
  <c r="AW1023" i="17" s="1"/>
  <c r="Q763" i="5"/>
  <c r="AT1063" i="17"/>
  <c r="AW1063" i="17" s="1"/>
  <c r="Q589" i="5"/>
  <c r="AT889" i="17"/>
  <c r="AW889" i="17" s="1"/>
  <c r="Q638" i="5"/>
  <c r="AT938" i="17"/>
  <c r="AW938" i="17" s="1"/>
  <c r="Q671" i="5"/>
  <c r="AT971" i="17"/>
  <c r="AW971" i="17" s="1"/>
  <c r="Q706" i="5"/>
  <c r="AT1006" i="17"/>
  <c r="AW1006" i="17" s="1"/>
  <c r="Q770" i="5"/>
  <c r="AT1070" i="17"/>
  <c r="AW1070" i="17" s="1"/>
  <c r="Q728" i="5"/>
  <c r="AT1028" i="17"/>
  <c r="AW1028" i="17" s="1"/>
  <c r="Q777" i="5"/>
  <c r="AT1077" i="17"/>
  <c r="AW1077" i="17" s="1"/>
  <c r="Q727" i="5"/>
  <c r="AT1027" i="17"/>
  <c r="AW1027" i="17" s="1"/>
  <c r="Q771" i="5"/>
  <c r="AT1071" i="17"/>
  <c r="AW1071" i="17" s="1"/>
  <c r="Q863" i="5"/>
  <c r="AT1163" i="17"/>
  <c r="AW1163" i="17" s="1"/>
  <c r="Q228" i="5"/>
  <c r="AT229" i="17"/>
  <c r="AW229" i="17" s="1"/>
  <c r="AT528" i="17"/>
  <c r="AW528" i="17" s="1"/>
  <c r="Q155" i="5"/>
  <c r="AT156" i="17"/>
  <c r="AW156" i="17" s="1"/>
  <c r="AT455" i="17"/>
  <c r="AW455" i="17" s="1"/>
  <c r="Q119" i="5"/>
  <c r="AT120" i="17"/>
  <c r="AW120" i="17" s="1"/>
  <c r="AT419" i="17"/>
  <c r="AW419" i="17" s="1"/>
  <c r="Q102" i="5"/>
  <c r="AT103" i="17"/>
  <c r="AW103" i="17" s="1"/>
  <c r="AT402" i="17"/>
  <c r="AW402" i="17" s="1"/>
  <c r="Q68" i="5"/>
  <c r="AT69" i="17" s="1"/>
  <c r="AW69" i="17" s="1"/>
  <c r="Q40" i="5"/>
  <c r="AT41" i="17" s="1"/>
  <c r="AW41" i="17" s="1"/>
  <c r="Q19" i="5"/>
  <c r="AT20" i="17" s="1"/>
  <c r="AW20" i="17" s="1"/>
  <c r="S240" i="5"/>
  <c r="AY241" i="17"/>
  <c r="BB241" i="17" s="1"/>
  <c r="AY540" i="17"/>
  <c r="BB540" i="17" s="1"/>
  <c r="S271" i="5"/>
  <c r="AY272" i="17"/>
  <c r="BB272" i="17" s="1"/>
  <c r="AY571" i="17"/>
  <c r="BB571" i="17" s="1"/>
  <c r="S293" i="5"/>
  <c r="AY294" i="17"/>
  <c r="BB294" i="17" s="1"/>
  <c r="AY593" i="17"/>
  <c r="BB593" i="17" s="1"/>
  <c r="S326" i="5"/>
  <c r="AY327" i="17"/>
  <c r="BB327" i="17" s="1"/>
  <c r="AY626" i="17"/>
  <c r="BB626" i="17" s="1"/>
  <c r="S355" i="5"/>
  <c r="AY356" i="17"/>
  <c r="BB356" i="17" s="1"/>
  <c r="AY655" i="17"/>
  <c r="BB655" i="17" s="1"/>
  <c r="S390" i="5"/>
  <c r="AY690" i="17"/>
  <c r="BB690" i="17" s="1"/>
  <c r="S421" i="5"/>
  <c r="AY721" i="17"/>
  <c r="BB721" i="17" s="1"/>
  <c r="S477" i="5"/>
  <c r="AY777" i="17"/>
  <c r="BB777" i="17" s="1"/>
  <c r="S520" i="5"/>
  <c r="AY820" i="17"/>
  <c r="BB820" i="17" s="1"/>
  <c r="S576" i="5"/>
  <c r="AY876" i="17"/>
  <c r="BB876" i="17" s="1"/>
  <c r="S618" i="5"/>
  <c r="AY918" i="17"/>
  <c r="BB918" i="17" s="1"/>
  <c r="S663" i="5"/>
  <c r="AY963" i="17"/>
  <c r="BB963" i="17" s="1"/>
  <c r="S700" i="5"/>
  <c r="AY1000" i="17"/>
  <c r="BB1000" i="17" s="1"/>
  <c r="S733" i="5"/>
  <c r="AY1033" i="17"/>
  <c r="BB1033" i="17" s="1"/>
  <c r="S822" i="5"/>
  <c r="AY1122" i="17"/>
  <c r="BB1122" i="17" s="1"/>
  <c r="S861" i="5"/>
  <c r="AY1161" i="17"/>
  <c r="BB1161" i="17" s="1"/>
  <c r="S25" i="5"/>
  <c r="AY26" i="17"/>
  <c r="BB26" i="17" s="1"/>
  <c r="S57" i="5"/>
  <c r="AY58" i="17"/>
  <c r="BB58" i="17" s="1"/>
  <c r="S97" i="5"/>
  <c r="AY397" i="17" s="1"/>
  <c r="BB397" i="17" s="1"/>
  <c r="AY98" i="17"/>
  <c r="BB98" i="17" s="1"/>
  <c r="S129" i="5"/>
  <c r="AY130" i="17"/>
  <c r="BB130" i="17" s="1"/>
  <c r="AY429" i="17"/>
  <c r="BB429" i="17" s="1"/>
  <c r="S170" i="5"/>
  <c r="AY171" i="17"/>
  <c r="BB171" i="17" s="1"/>
  <c r="AY470" i="17"/>
  <c r="BB470" i="17" s="1"/>
  <c r="S206" i="5"/>
  <c r="AY207" i="17"/>
  <c r="BB207" i="17" s="1"/>
  <c r="AY506" i="17"/>
  <c r="BB506" i="17" s="1"/>
  <c r="S239" i="5"/>
  <c r="AY240" i="17"/>
  <c r="BB240" i="17" s="1"/>
  <c r="AY539" i="17"/>
  <c r="BB539" i="17" s="1"/>
  <c r="S268" i="5"/>
  <c r="AY269" i="17"/>
  <c r="BB269" i="17" s="1"/>
  <c r="AY568" i="17"/>
  <c r="BB568" i="17" s="1"/>
  <c r="S300" i="5"/>
  <c r="AY301" i="17"/>
  <c r="BB301" i="17" s="1"/>
  <c r="AY600" i="17"/>
  <c r="BB600" i="17" s="1"/>
  <c r="S325" i="5"/>
  <c r="AY326" i="17"/>
  <c r="BB326" i="17" s="1"/>
  <c r="AY625" i="17"/>
  <c r="BB625" i="17" s="1"/>
  <c r="S360" i="5"/>
  <c r="AY361" i="17"/>
  <c r="BB361" i="17" s="1"/>
  <c r="AY660" i="17"/>
  <c r="BB660" i="17" s="1"/>
  <c r="S410" i="5"/>
  <c r="AY710" i="17"/>
  <c r="BB710" i="17" s="1"/>
  <c r="S437" i="5"/>
  <c r="AY737" i="17"/>
  <c r="BB737" i="17" s="1"/>
  <c r="S459" i="5"/>
  <c r="AY759" i="17"/>
  <c r="BB759" i="17" s="1"/>
  <c r="S483" i="5"/>
  <c r="AY783" i="17"/>
  <c r="BB783" i="17" s="1"/>
  <c r="S506" i="5"/>
  <c r="AY806" i="17"/>
  <c r="BB806" i="17" s="1"/>
  <c r="S533" i="5"/>
  <c r="AY833" i="17"/>
  <c r="BB833" i="17" s="1"/>
  <c r="S559" i="5"/>
  <c r="AY859" i="17"/>
  <c r="BB859" i="17" s="1"/>
  <c r="S595" i="5"/>
  <c r="AY895" i="17"/>
  <c r="BB895" i="17" s="1"/>
  <c r="S630" i="5"/>
  <c r="AY930" i="17"/>
  <c r="BB930" i="17" s="1"/>
  <c r="S690" i="5"/>
  <c r="AY990" i="17"/>
  <c r="BB990" i="17" s="1"/>
  <c r="S743" i="5"/>
  <c r="AY1043" i="17"/>
  <c r="BB1043" i="17" s="1"/>
  <c r="S785" i="5"/>
  <c r="AY1085" i="17"/>
  <c r="BB1085" i="17" s="1"/>
  <c r="S813" i="5"/>
  <c r="AY1113" i="17"/>
  <c r="BB1113" i="17" s="1"/>
  <c r="S845" i="5"/>
  <c r="AY1145" i="17"/>
  <c r="BB1145" i="17" s="1"/>
  <c r="S855" i="5"/>
  <c r="AY1155" i="17"/>
  <c r="BB1155" i="17" s="1"/>
  <c r="S577" i="5"/>
  <c r="AY877" i="17"/>
  <c r="BB877" i="17" s="1"/>
  <c r="S601" i="5"/>
  <c r="AY901" i="17"/>
  <c r="BB901" i="17" s="1"/>
  <c r="S632" i="5"/>
  <c r="AY932" i="17"/>
  <c r="BB932" i="17" s="1"/>
  <c r="S675" i="5"/>
  <c r="AY975" i="17"/>
  <c r="BB975" i="17" s="1"/>
  <c r="S707" i="5"/>
  <c r="AY1007" i="17"/>
  <c r="BB1007" i="17" s="1"/>
  <c r="S742" i="5"/>
  <c r="AY1042" i="17"/>
  <c r="BB1042" i="17" s="1"/>
  <c r="S777" i="5"/>
  <c r="AY1077" i="17"/>
  <c r="BB1077" i="17" s="1"/>
  <c r="S817" i="5"/>
  <c r="AY1117" i="17"/>
  <c r="BB1117" i="17" s="1"/>
  <c r="S834" i="5"/>
  <c r="AY1134" i="17"/>
  <c r="BB1134" i="17" s="1"/>
  <c r="S751" i="5"/>
  <c r="AY1051" i="17"/>
  <c r="BB1051" i="17" s="1"/>
  <c r="S671" i="5"/>
  <c r="AY971" i="17"/>
  <c r="BB971" i="17" s="1"/>
  <c r="S553" i="5"/>
  <c r="AY853" i="17"/>
  <c r="BB853" i="17" s="1"/>
  <c r="S503" i="5"/>
  <c r="AY803" i="17"/>
  <c r="BB803" i="17" s="1"/>
  <c r="S463" i="5"/>
  <c r="AY763" i="17"/>
  <c r="BB763" i="17" s="1"/>
  <c r="S419" i="5"/>
  <c r="AY719" i="17"/>
  <c r="BB719" i="17" s="1"/>
  <c r="S815" i="5"/>
  <c r="AY1115" i="17"/>
  <c r="BB1115" i="17" s="1"/>
  <c r="S600" i="5"/>
  <c r="AY900" i="17"/>
  <c r="BB900" i="17" s="1"/>
  <c r="S314" i="5"/>
  <c r="AY315" i="17"/>
  <c r="BB315" i="17" s="1"/>
  <c r="AY614" i="17"/>
  <c r="BB614" i="17" s="1"/>
  <c r="S171" i="5"/>
  <c r="AY172" i="17"/>
  <c r="BB172" i="17" s="1"/>
  <c r="AY471" i="17"/>
  <c r="BB471" i="17" s="1"/>
  <c r="S69" i="5"/>
  <c r="AY70" i="17" s="1"/>
  <c r="BB70" i="17" s="1"/>
  <c r="S818" i="5"/>
  <c r="AY1118" i="17"/>
  <c r="BB1118" i="17" s="1"/>
  <c r="S516" i="5"/>
  <c r="AY816" i="17"/>
  <c r="BB816" i="17" s="1"/>
  <c r="S425" i="5"/>
  <c r="AY725" i="17"/>
  <c r="BB725" i="17" s="1"/>
  <c r="S196" i="5"/>
  <c r="AY197" i="17"/>
  <c r="BB197" i="17" s="1"/>
  <c r="AY496" i="17"/>
  <c r="BB496" i="17" s="1"/>
  <c r="S122" i="5"/>
  <c r="AY422" i="17" s="1"/>
  <c r="BB422" i="17" s="1"/>
  <c r="AY123" i="17"/>
  <c r="BB123" i="17" s="1"/>
  <c r="S10" i="5"/>
  <c r="AY10" i="17" s="1"/>
  <c r="BB10" i="17" s="1"/>
  <c r="AY11" i="17"/>
  <c r="BB11" i="17" s="1"/>
  <c r="S30" i="5"/>
  <c r="AY31" i="17" s="1"/>
  <c r="BB31" i="17" s="1"/>
  <c r="S68" i="5"/>
  <c r="AY69" i="17" s="1"/>
  <c r="BB69" i="17" s="1"/>
  <c r="S104" i="5"/>
  <c r="AY105" i="17" s="1"/>
  <c r="BB105" i="17" s="1"/>
  <c r="AY404" i="17"/>
  <c r="BB404" i="17" s="1"/>
  <c r="S144" i="5"/>
  <c r="AY145" i="17" s="1"/>
  <c r="BB145" i="17" s="1"/>
  <c r="S229" i="5"/>
  <c r="AY230" i="17"/>
  <c r="BB230" i="17" s="1"/>
  <c r="AY529" i="17"/>
  <c r="BB529" i="17" s="1"/>
  <c r="S279" i="5"/>
  <c r="AY280" i="17"/>
  <c r="BB280" i="17" s="1"/>
  <c r="AY579" i="17"/>
  <c r="BB579" i="17" s="1"/>
  <c r="S357" i="5"/>
  <c r="AY358" i="17"/>
  <c r="BB358" i="17" s="1"/>
  <c r="AY657" i="17"/>
  <c r="BB657" i="17" s="1"/>
  <c r="S493" i="5"/>
  <c r="AY793" i="17"/>
  <c r="BB793" i="17" s="1"/>
  <c r="S621" i="5"/>
  <c r="AY921" i="17"/>
  <c r="BB921" i="17" s="1"/>
  <c r="S665" i="5"/>
  <c r="AY965" i="17"/>
  <c r="BB965" i="17" s="1"/>
  <c r="S804" i="5"/>
  <c r="AY1104" i="17"/>
  <c r="BB1104" i="17" s="1"/>
  <c r="S38" i="5"/>
  <c r="AY39" i="17" s="1"/>
  <c r="BB39" i="17" s="1"/>
  <c r="S76" i="5"/>
  <c r="AY77" i="17" s="1"/>
  <c r="BB77" i="17" s="1"/>
  <c r="S110" i="5"/>
  <c r="AY111" i="17" s="1"/>
  <c r="BB111" i="17" s="1"/>
  <c r="S195" i="5"/>
  <c r="AY196" i="17"/>
  <c r="BB196" i="17" s="1"/>
  <c r="AY495" i="17"/>
  <c r="BB495" i="17" s="1"/>
  <c r="S234" i="5"/>
  <c r="AY235" i="17"/>
  <c r="BB235" i="17" s="1"/>
  <c r="AY534" i="17"/>
  <c r="BB534" i="17" s="1"/>
  <c r="S309" i="5"/>
  <c r="AY310" i="17"/>
  <c r="BB310" i="17" s="1"/>
  <c r="AY609" i="17"/>
  <c r="BB609" i="17" s="1"/>
  <c r="S414" i="5"/>
  <c r="AY714" i="17"/>
  <c r="BB714" i="17" s="1"/>
  <c r="S534" i="5"/>
  <c r="AY834" i="17"/>
  <c r="BB834" i="17" s="1"/>
  <c r="S648" i="5"/>
  <c r="AY948" i="17"/>
  <c r="BB948" i="17" s="1"/>
  <c r="S723" i="5"/>
  <c r="AY1023" i="17"/>
  <c r="BB1023" i="17" s="1"/>
  <c r="S802" i="5"/>
  <c r="AY1102" i="17"/>
  <c r="BB1102" i="17" s="1"/>
  <c r="S139" i="5"/>
  <c r="AY140" i="17" s="1"/>
  <c r="BB140" i="17" s="1"/>
  <c r="AY439" i="17"/>
  <c r="BB439" i="17" s="1"/>
  <c r="S164" i="5"/>
  <c r="AY165" i="17"/>
  <c r="BB165" i="17" s="1"/>
  <c r="AY464" i="17"/>
  <c r="BB464" i="17" s="1"/>
  <c r="S211" i="5"/>
  <c r="AY212" i="17"/>
  <c r="BB212" i="17" s="1"/>
  <c r="AY511" i="17"/>
  <c r="BB511" i="17" s="1"/>
  <c r="S281" i="5"/>
  <c r="AY282" i="17"/>
  <c r="BB282" i="17" s="1"/>
  <c r="AY581" i="17"/>
  <c r="BB581" i="17" s="1"/>
  <c r="S340" i="5"/>
  <c r="AY341" i="17"/>
  <c r="BB341" i="17" s="1"/>
  <c r="AY640" i="17"/>
  <c r="BB640" i="17" s="1"/>
  <c r="S402" i="5"/>
  <c r="AY702" i="17"/>
  <c r="BB702" i="17" s="1"/>
  <c r="S494" i="5"/>
  <c r="AY794" i="17"/>
  <c r="BB794" i="17" s="1"/>
  <c r="S560" i="5"/>
  <c r="AY860" i="17"/>
  <c r="BB860" i="17" s="1"/>
  <c r="S638" i="5"/>
  <c r="AY938" i="17"/>
  <c r="BB938" i="17" s="1"/>
  <c r="S752" i="5"/>
  <c r="AY1052" i="17"/>
  <c r="BB1052" i="17" s="1"/>
  <c r="S770" i="5"/>
  <c r="AY1070" i="17"/>
  <c r="BB1070" i="17" s="1"/>
  <c r="S286" i="5"/>
  <c r="AY287" i="17"/>
  <c r="BB287" i="17" s="1"/>
  <c r="AY586" i="17"/>
  <c r="BB586" i="17" s="1"/>
  <c r="S154" i="5"/>
  <c r="AY155" i="17"/>
  <c r="BB155" i="17" s="1"/>
  <c r="AY454" i="17"/>
  <c r="BB454" i="17" s="1"/>
  <c r="S37" i="5"/>
  <c r="AY38" i="17"/>
  <c r="BB38" i="17" s="1"/>
  <c r="U845" i="5"/>
  <c r="BD1145" i="17"/>
  <c r="BG1145" i="17" s="1"/>
  <c r="U819" i="5"/>
  <c r="BD1119" i="17"/>
  <c r="BG1119" i="17" s="1"/>
  <c r="U776" i="5"/>
  <c r="BD1076" i="17"/>
  <c r="BG1076" i="17" s="1"/>
  <c r="U734" i="5"/>
  <c r="BD1034" i="17"/>
  <c r="BG1034" i="17" s="1"/>
  <c r="U699" i="5"/>
  <c r="BD999" i="17"/>
  <c r="BG999" i="17" s="1"/>
  <c r="U848" i="5"/>
  <c r="BD1148" i="17"/>
  <c r="BG1148" i="17" s="1"/>
  <c r="U768" i="5"/>
  <c r="BD1068" i="17"/>
  <c r="BG1068" i="17" s="1"/>
  <c r="U735" i="5"/>
  <c r="BD1035" i="17"/>
  <c r="BG1035" i="17" s="1"/>
  <c r="U526" i="5"/>
  <c r="BD826" i="17"/>
  <c r="BG826" i="17" s="1"/>
  <c r="U555" i="5"/>
  <c r="BD855" i="17"/>
  <c r="BG855" i="17" s="1"/>
  <c r="U582" i="5"/>
  <c r="BD882" i="17"/>
  <c r="BG882" i="17" s="1"/>
  <c r="U612" i="5"/>
  <c r="BD912" i="17"/>
  <c r="BG912" i="17" s="1"/>
  <c r="U636" i="5"/>
  <c r="BD936" i="17"/>
  <c r="BG936" i="17" s="1"/>
  <c r="U671" i="5"/>
  <c r="BD971" i="17"/>
  <c r="BG971" i="17" s="1"/>
  <c r="U766" i="5"/>
  <c r="BD1066" i="17"/>
  <c r="BG1066" i="17" s="1"/>
  <c r="U831" i="5"/>
  <c r="BD1131" i="17"/>
  <c r="BG1131" i="17" s="1"/>
  <c r="U855" i="5"/>
  <c r="BD1155" i="17"/>
  <c r="BG1155" i="17" s="1"/>
  <c r="U511" i="5"/>
  <c r="BD811" i="17"/>
  <c r="BG811" i="17" s="1"/>
  <c r="U548" i="5"/>
  <c r="BD848" i="17"/>
  <c r="BG848" i="17" s="1"/>
  <c r="U584" i="5"/>
  <c r="BD884" i="17"/>
  <c r="BG884" i="17" s="1"/>
  <c r="U644" i="5"/>
  <c r="BD944" i="17"/>
  <c r="BG944" i="17" s="1"/>
  <c r="U679" i="5"/>
  <c r="BD979" i="17"/>
  <c r="BG979" i="17" s="1"/>
  <c r="U724" i="5"/>
  <c r="BD1024" i="17"/>
  <c r="BG1024" i="17" s="1"/>
  <c r="U748" i="5"/>
  <c r="BD1048" i="17"/>
  <c r="BG1048" i="17" s="1"/>
  <c r="U787" i="5"/>
  <c r="BD1087" i="17"/>
  <c r="BG1087" i="17" s="1"/>
  <c r="U850" i="5"/>
  <c r="BD1150" i="17"/>
  <c r="BG1150" i="17" s="1"/>
  <c r="O811" i="5"/>
  <c r="AO1111" i="17"/>
  <c r="AR1111" i="17" s="1"/>
  <c r="O863" i="5"/>
  <c r="AO1163" i="17"/>
  <c r="AR1163" i="17" s="1"/>
  <c r="O778" i="5"/>
  <c r="AO1078" i="17"/>
  <c r="AR1078" i="17" s="1"/>
  <c r="O788" i="5"/>
  <c r="AO1088" i="17"/>
  <c r="AR1088" i="17" s="1"/>
  <c r="O740" i="5"/>
  <c r="AO1040" i="17"/>
  <c r="AR1040" i="17" s="1"/>
  <c r="O93" i="5"/>
  <c r="AO393" i="17" s="1"/>
  <c r="AR393" i="17" s="1"/>
  <c r="AO94" i="17"/>
  <c r="AR94" i="17" s="1"/>
  <c r="O101" i="5"/>
  <c r="AO401" i="17" s="1"/>
  <c r="AR401" i="17" s="1"/>
  <c r="AO102" i="17"/>
  <c r="AR102" i="17" s="1"/>
  <c r="O136" i="5"/>
  <c r="AO137" i="17" s="1"/>
  <c r="AR137" i="17" s="1"/>
  <c r="O165" i="5"/>
  <c r="AO166" i="17"/>
  <c r="AR166" i="17" s="1"/>
  <c r="AO465" i="17"/>
  <c r="AR465" i="17" s="1"/>
  <c r="O199" i="5"/>
  <c r="AO200" i="17"/>
  <c r="AR200" i="17" s="1"/>
  <c r="AO499" i="17"/>
  <c r="AR499" i="17" s="1"/>
  <c r="O225" i="5"/>
  <c r="AO226" i="17"/>
  <c r="AR226" i="17" s="1"/>
  <c r="AO525" i="17"/>
  <c r="AR525" i="17" s="1"/>
  <c r="O260" i="5"/>
  <c r="AO261" i="17"/>
  <c r="AR261" i="17" s="1"/>
  <c r="AO560" i="17"/>
  <c r="AR560" i="17" s="1"/>
  <c r="O293" i="5"/>
  <c r="AO294" i="17"/>
  <c r="AR294" i="17" s="1"/>
  <c r="AO593" i="17"/>
  <c r="AR593" i="17" s="1"/>
  <c r="O321" i="5"/>
  <c r="AO322" i="17"/>
  <c r="AR322" i="17" s="1"/>
  <c r="AO621" i="17"/>
  <c r="AR621" i="17" s="1"/>
  <c r="O359" i="5"/>
  <c r="AO360" i="17"/>
  <c r="AR360" i="17" s="1"/>
  <c r="AO659" i="17"/>
  <c r="AR659" i="17" s="1"/>
  <c r="O423" i="5"/>
  <c r="AO723" i="17"/>
  <c r="AR723" i="17" s="1"/>
  <c r="O470" i="5"/>
  <c r="AO770" i="17"/>
  <c r="AR770" i="17" s="1"/>
  <c r="O505" i="5"/>
  <c r="AO805" i="17"/>
  <c r="AR805" i="17" s="1"/>
  <c r="O545" i="5"/>
  <c r="AO845" i="17"/>
  <c r="AR845" i="17" s="1"/>
  <c r="O588" i="5"/>
  <c r="AO888" i="17"/>
  <c r="AR888" i="17" s="1"/>
  <c r="O657" i="5"/>
  <c r="AO957" i="17"/>
  <c r="AR957" i="17" s="1"/>
  <c r="O44" i="5"/>
  <c r="AO45" i="17"/>
  <c r="AR45" i="17" s="1"/>
  <c r="O78" i="5"/>
  <c r="AO79" i="17" s="1"/>
  <c r="AR79" i="17" s="1"/>
  <c r="O107" i="5"/>
  <c r="AO108" i="17" s="1"/>
  <c r="AR108" i="17" s="1"/>
  <c r="O139" i="5"/>
  <c r="AO439" i="17" s="1"/>
  <c r="AR439" i="17" s="1"/>
  <c r="AO140" i="17"/>
  <c r="AR140" i="17" s="1"/>
  <c r="O169" i="5"/>
  <c r="AO170" i="17"/>
  <c r="AR170" i="17" s="1"/>
  <c r="AO469" i="17"/>
  <c r="AR469" i="17" s="1"/>
  <c r="O208" i="5"/>
  <c r="AO209" i="17"/>
  <c r="AR209" i="17" s="1"/>
  <c r="AO508" i="17"/>
  <c r="AR508" i="17" s="1"/>
  <c r="O246" i="5"/>
  <c r="AO247" i="17"/>
  <c r="AR247" i="17" s="1"/>
  <c r="AO546" i="17"/>
  <c r="AR546" i="17" s="1"/>
  <c r="O271" i="5"/>
  <c r="AO272" i="17"/>
  <c r="AR272" i="17" s="1"/>
  <c r="AO571" i="17"/>
  <c r="AR571" i="17" s="1"/>
  <c r="O302" i="5"/>
  <c r="AO303" i="17"/>
  <c r="AR303" i="17" s="1"/>
  <c r="AO602" i="17"/>
  <c r="AR602" i="17" s="1"/>
  <c r="O329" i="5"/>
  <c r="AO330" i="17"/>
  <c r="AR330" i="17" s="1"/>
  <c r="AO629" i="17"/>
  <c r="AR629" i="17" s="1"/>
  <c r="O365" i="5"/>
  <c r="AO366" i="17"/>
  <c r="AR366" i="17" s="1"/>
  <c r="AO665" i="17"/>
  <c r="AR665" i="17" s="1"/>
  <c r="O396" i="5"/>
  <c r="AO696" i="17"/>
  <c r="AR696" i="17" s="1"/>
  <c r="O415" i="5"/>
  <c r="AO715" i="17"/>
  <c r="AR715" i="17" s="1"/>
  <c r="O466" i="5"/>
  <c r="AO766" i="17"/>
  <c r="AR766" i="17" s="1"/>
  <c r="O499" i="5"/>
  <c r="AO799" i="17"/>
  <c r="AR799" i="17" s="1"/>
  <c r="O547" i="5"/>
  <c r="AO847" i="17"/>
  <c r="AR847" i="17" s="1"/>
  <c r="O571" i="5"/>
  <c r="AO871" i="17"/>
  <c r="AR871" i="17" s="1"/>
  <c r="O603" i="5"/>
  <c r="AO903" i="17"/>
  <c r="AR903" i="17" s="1"/>
  <c r="O642" i="5"/>
  <c r="AO942" i="17"/>
  <c r="AR942" i="17" s="1"/>
  <c r="O675" i="5"/>
  <c r="AO975" i="17"/>
  <c r="AR975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68" i="5"/>
  <c r="AO369" i="17"/>
  <c r="AR369" i="17" s="1"/>
  <c r="AO668" i="17"/>
  <c r="AR668" i="17" s="1"/>
  <c r="O399" i="5"/>
  <c r="AO699" i="17"/>
  <c r="AR699" i="17" s="1"/>
  <c r="O427" i="5"/>
  <c r="AO727" i="17"/>
  <c r="AR727" i="17" s="1"/>
  <c r="O456" i="5"/>
  <c r="AO756" i="17"/>
  <c r="AR756" i="17" s="1"/>
  <c r="O503" i="5"/>
  <c r="AO803" i="17"/>
  <c r="AR803" i="17" s="1"/>
  <c r="O528" i="5"/>
  <c r="AO828" i="17"/>
  <c r="AR828" i="17" s="1"/>
  <c r="O573" i="5"/>
  <c r="AO873" i="17"/>
  <c r="AR873" i="17" s="1"/>
  <c r="O610" i="5"/>
  <c r="AO910" i="17"/>
  <c r="AR910" i="17" s="1"/>
  <c r="O633" i="5"/>
  <c r="AO933" i="17"/>
  <c r="AR933" i="17" s="1"/>
  <c r="O666" i="5"/>
  <c r="AO966" i="17"/>
  <c r="AR966" i="17" s="1"/>
  <c r="O699" i="5"/>
  <c r="AO999" i="17"/>
  <c r="AR999" i="17" s="1"/>
  <c r="O708" i="5"/>
  <c r="AO1008" i="17"/>
  <c r="AR1008" i="17" s="1"/>
  <c r="O832" i="5"/>
  <c r="AO1132" i="17"/>
  <c r="AR1132" i="17" s="1"/>
  <c r="S529" i="5"/>
  <c r="AY829" i="17"/>
  <c r="BB829" i="17" s="1"/>
  <c r="S98" i="5"/>
  <c r="AY398" i="17" s="1"/>
  <c r="BB398" i="17" s="1"/>
  <c r="S528" i="5"/>
  <c r="AY828" i="17"/>
  <c r="BB828" i="17" s="1"/>
  <c r="S806" i="5"/>
  <c r="AY1106" i="17"/>
  <c r="BB1106" i="17" s="1"/>
  <c r="S81" i="5"/>
  <c r="AY82" i="17" s="1"/>
  <c r="BB82" i="17" s="1"/>
  <c r="S345" i="5"/>
  <c r="AY346" i="17"/>
  <c r="BB346" i="17" s="1"/>
  <c r="AY645" i="17"/>
  <c r="BB645" i="17" s="1"/>
  <c r="S96" i="5"/>
  <c r="AY396" i="17" s="1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 s="1"/>
  <c r="AR128" i="17" s="1"/>
  <c r="O75" i="5"/>
  <c r="AO76" i="17" s="1"/>
  <c r="AR76" i="17" s="1"/>
  <c r="O61" i="5"/>
  <c r="AO62" i="17" s="1"/>
  <c r="AR62" i="17" s="1"/>
  <c r="O47" i="5"/>
  <c r="AO48" i="17" s="1"/>
  <c r="AR48" i="17" s="1"/>
  <c r="O10" i="5"/>
  <c r="AO10" i="17" s="1"/>
  <c r="AR10" i="17" s="1"/>
  <c r="O687" i="5"/>
  <c r="AO987" i="17"/>
  <c r="AR987" i="17" s="1"/>
  <c r="O714" i="5"/>
  <c r="AO1014" i="17"/>
  <c r="AR1014" i="17" s="1"/>
  <c r="O19" i="5"/>
  <c r="AO20" i="17"/>
  <c r="AR20" i="17" s="1"/>
  <c r="O25" i="5"/>
  <c r="AO26" i="17"/>
  <c r="AR26" i="17" s="1"/>
  <c r="O41" i="5"/>
  <c r="AO42" i="17"/>
  <c r="AR42" i="17" s="1"/>
  <c r="O67" i="5"/>
  <c r="AO68" i="17"/>
  <c r="AR68" i="17" s="1"/>
  <c r="O106" i="5"/>
  <c r="AO406" i="17" s="1"/>
  <c r="AR406" i="17" s="1"/>
  <c r="AO107" i="17"/>
  <c r="AR107" i="17" s="1"/>
  <c r="O143" i="5"/>
  <c r="AO144" i="17" s="1"/>
  <c r="AR144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416" i="17" s="1"/>
  <c r="AR416" i="17" s="1"/>
  <c r="AO117" i="17"/>
  <c r="AR117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90" i="5"/>
  <c r="BD91" i="17"/>
  <c r="BG91" i="17" s="1"/>
  <c r="BD390" i="17"/>
  <c r="BG390" i="17" s="1"/>
  <c r="U175" i="5"/>
  <c r="BD176" i="17"/>
  <c r="BG176" i="17" s="1"/>
  <c r="BD475" i="17"/>
  <c r="BG475" i="17" s="1"/>
  <c r="U251" i="5"/>
  <c r="BD252" i="17"/>
  <c r="BG252" i="17" s="1"/>
  <c r="BD551" i="17"/>
  <c r="BG551" i="17" s="1"/>
  <c r="U417" i="5"/>
  <c r="BD717" i="17"/>
  <c r="BG717" i="17" s="1"/>
  <c r="U516" i="5"/>
  <c r="BD816" i="17"/>
  <c r="BG816" i="17" s="1"/>
  <c r="U825" i="5"/>
  <c r="BD1125" i="17"/>
  <c r="BG1125" i="17" s="1"/>
  <c r="U236" i="5"/>
  <c r="BD237" i="17"/>
  <c r="BG237" i="17" s="1"/>
  <c r="BD536" i="17"/>
  <c r="BG536" i="17" s="1"/>
  <c r="U294" i="5"/>
  <c r="BD295" i="17"/>
  <c r="BG295" i="17" s="1"/>
  <c r="BD594" i="17"/>
  <c r="BG594" i="17" s="1"/>
  <c r="U339" i="5"/>
  <c r="BD340" i="17"/>
  <c r="BG340" i="17" s="1"/>
  <c r="BD639" i="17"/>
  <c r="BG639" i="17" s="1"/>
  <c r="U420" i="5"/>
  <c r="BD720" i="17"/>
  <c r="BG720" i="17" s="1"/>
  <c r="U480" i="5"/>
  <c r="BD780" i="17"/>
  <c r="BG780" i="17" s="1"/>
  <c r="U635" i="5"/>
  <c r="BD935" i="17"/>
  <c r="BG935" i="17" s="1"/>
  <c r="U696" i="5"/>
  <c r="BD996" i="17"/>
  <c r="BG996" i="17" s="1"/>
  <c r="U625" i="5"/>
  <c r="BD925" i="17"/>
  <c r="BG925" i="17" s="1"/>
  <c r="M844" i="5"/>
  <c r="AJ1144" i="17"/>
  <c r="AM1144" i="17" s="1"/>
  <c r="M827" i="5"/>
  <c r="AJ1127" i="17"/>
  <c r="AM1127" i="17" s="1"/>
  <c r="M819" i="5"/>
  <c r="AJ1119" i="17"/>
  <c r="AM1119" i="17" s="1"/>
  <c r="M811" i="5"/>
  <c r="AJ1111" i="17"/>
  <c r="AM1111" i="17" s="1"/>
  <c r="M803" i="5"/>
  <c r="AJ1103" i="17"/>
  <c r="AM1103" i="17" s="1"/>
  <c r="M795" i="5"/>
  <c r="AJ1095" i="17"/>
  <c r="AM1095" i="17" s="1"/>
  <c r="M783" i="5"/>
  <c r="AJ1083" i="17"/>
  <c r="AM1083" i="17" s="1"/>
  <c r="M775" i="5"/>
  <c r="AJ1075" i="17"/>
  <c r="AM1075" i="17" s="1"/>
  <c r="M767" i="5"/>
  <c r="AJ1067" i="17"/>
  <c r="AM1067" i="17" s="1"/>
  <c r="Q857" i="5"/>
  <c r="AT1157" i="17"/>
  <c r="AW1157" i="17" s="1"/>
  <c r="Q821" i="5"/>
  <c r="AT1121" i="17"/>
  <c r="AW1121" i="17" s="1"/>
  <c r="Q790" i="5"/>
  <c r="AT1090" i="17"/>
  <c r="AW1090" i="17" s="1"/>
  <c r="U828" i="5"/>
  <c r="BD1128" i="17"/>
  <c r="BG1128" i="17" s="1"/>
  <c r="U805" i="5"/>
  <c r="BD1105" i="17"/>
  <c r="BG1105" i="17" s="1"/>
  <c r="O850" i="5"/>
  <c r="AO1150" i="17"/>
  <c r="AR1150" i="17" s="1"/>
  <c r="O846" i="5"/>
  <c r="AO1146" i="17"/>
  <c r="AR1146" i="17" s="1"/>
  <c r="O807" i="5"/>
  <c r="AO1107" i="17"/>
  <c r="AR1107" i="17" s="1"/>
  <c r="O762" i="5"/>
  <c r="AO1062" i="17"/>
  <c r="AR1062" i="17" s="1"/>
  <c r="Q797" i="5"/>
  <c r="AT1097" i="17"/>
  <c r="AW1097" i="17" s="1"/>
  <c r="Q742" i="5"/>
  <c r="AT1042" i="17"/>
  <c r="AW1042" i="17" s="1"/>
  <c r="Q714" i="5"/>
  <c r="AT1014" i="17"/>
  <c r="AW1014" i="17" s="1"/>
  <c r="Q682" i="5"/>
  <c r="AT982" i="17"/>
  <c r="AW982" i="17" s="1"/>
  <c r="Q645" i="5"/>
  <c r="AT945" i="17"/>
  <c r="AW945" i="17" s="1"/>
  <c r="Q615" i="5"/>
  <c r="AT915" i="17"/>
  <c r="AW915" i="17" s="1"/>
  <c r="Q813" i="5"/>
  <c r="AT1113" i="17"/>
  <c r="AW1113" i="17" s="1"/>
  <c r="Q852" i="5"/>
  <c r="AT1152" i="17"/>
  <c r="AW1152" i="17" s="1"/>
  <c r="Q819" i="5"/>
  <c r="AT1119" i="17"/>
  <c r="AW1119" i="17" s="1"/>
  <c r="O732" i="5"/>
  <c r="AO1032" i="17"/>
  <c r="AR1032" i="17" s="1"/>
  <c r="O747" i="5"/>
  <c r="AO1047" i="17"/>
  <c r="AR1047" i="17" s="1"/>
  <c r="O793" i="5"/>
  <c r="AO1093" i="17"/>
  <c r="AR1093" i="17" s="1"/>
  <c r="O840" i="5"/>
  <c r="AO1140" i="17"/>
  <c r="AR1140" i="17" s="1"/>
  <c r="O731" i="5"/>
  <c r="AO1031" i="17"/>
  <c r="AR1031" i="17" s="1"/>
  <c r="O781" i="5"/>
  <c r="AO1081" i="17"/>
  <c r="AR1081" i="17" s="1"/>
  <c r="O815" i="5"/>
  <c r="AO1115" i="17"/>
  <c r="AR1115" i="17" s="1"/>
  <c r="O865" i="5"/>
  <c r="AO1165" i="17"/>
  <c r="AR1165" i="17" s="1"/>
  <c r="Q124" i="5"/>
  <c r="AT125" i="17"/>
  <c r="AW125" i="17" s="1"/>
  <c r="AT424" i="17"/>
  <c r="AW424" i="17" s="1"/>
  <c r="Q140" i="5"/>
  <c r="AT141" i="17"/>
  <c r="AW141" i="17" s="1"/>
  <c r="AT440" i="17"/>
  <c r="AW440" i="17" s="1"/>
  <c r="Q170" i="5"/>
  <c r="AT171" i="17"/>
  <c r="AW171" i="17" s="1"/>
  <c r="AT470" i="17"/>
  <c r="AW470" i="17" s="1"/>
  <c r="Q201" i="5"/>
  <c r="AT202" i="17"/>
  <c r="AW202" i="17" s="1"/>
  <c r="AT501" i="17"/>
  <c r="AW501" i="17" s="1"/>
  <c r="Q237" i="5"/>
  <c r="AT238" i="17"/>
  <c r="AW238" i="17" s="1"/>
  <c r="AT537" i="17"/>
  <c r="AW537" i="17" s="1"/>
  <c r="Q254" i="5"/>
  <c r="AT255" i="17"/>
  <c r="AW255" i="17" s="1"/>
  <c r="AT554" i="17"/>
  <c r="AW554" i="17" s="1"/>
  <c r="Q426" i="5"/>
  <c r="AT726" i="17"/>
  <c r="AW726" i="17" s="1"/>
  <c r="Q534" i="5"/>
  <c r="AT834" i="17"/>
  <c r="AW834" i="17" s="1"/>
  <c r="Q698" i="5"/>
  <c r="AT998" i="17"/>
  <c r="AW998" i="17" s="1"/>
  <c r="Q168" i="5"/>
  <c r="AT169" i="17"/>
  <c r="AW169" i="17" s="1"/>
  <c r="AT468" i="17"/>
  <c r="AW468" i="17" s="1"/>
  <c r="Q204" i="5"/>
  <c r="AT205" i="17"/>
  <c r="AW205" i="17" s="1"/>
  <c r="AT504" i="17"/>
  <c r="AW504" i="17" s="1"/>
  <c r="Q232" i="5"/>
  <c r="AT233" i="17"/>
  <c r="AW233" i="17" s="1"/>
  <c r="AT532" i="17"/>
  <c r="AW532" i="17" s="1"/>
  <c r="Q322" i="5"/>
  <c r="AT323" i="17"/>
  <c r="AW323" i="17" s="1"/>
  <c r="AT622" i="17"/>
  <c r="AW622" i="17" s="1"/>
  <c r="Q430" i="5"/>
  <c r="AT730" i="17"/>
  <c r="AW730" i="17" s="1"/>
  <c r="Q541" i="5"/>
  <c r="AT841" i="17"/>
  <c r="AW841" i="17" s="1"/>
  <c r="Q244" i="5"/>
  <c r="AT245" i="17"/>
  <c r="AW245" i="17" s="1"/>
  <c r="AT544" i="17"/>
  <c r="AW544" i="17" s="1"/>
  <c r="Q270" i="5"/>
  <c r="AT271" i="17"/>
  <c r="AW271" i="17" s="1"/>
  <c r="AT570" i="17"/>
  <c r="AW570" i="17" s="1"/>
  <c r="Q311" i="5"/>
  <c r="AT312" i="17"/>
  <c r="AW312" i="17" s="1"/>
  <c r="AT611" i="17"/>
  <c r="AW611" i="17" s="1"/>
  <c r="Q374" i="5"/>
  <c r="AT375" i="17"/>
  <c r="AW375" i="17" s="1"/>
  <c r="AT674" i="17"/>
  <c r="AW674" i="17" s="1"/>
  <c r="Q472" i="5"/>
  <c r="AT772" i="17"/>
  <c r="AW772" i="17" s="1"/>
  <c r="Q544" i="5"/>
  <c r="AT844" i="17"/>
  <c r="AW844" i="17" s="1"/>
  <c r="Q278" i="5"/>
  <c r="AT279" i="17"/>
  <c r="AW279" i="17" s="1"/>
  <c r="AT578" i="17"/>
  <c r="AW578" i="17" s="1"/>
  <c r="Q320" i="5"/>
  <c r="AT321" i="17"/>
  <c r="AW321" i="17" s="1"/>
  <c r="AT620" i="17"/>
  <c r="AW620" i="17" s="1"/>
  <c r="Q410" i="5"/>
  <c r="AT710" i="17"/>
  <c r="AW710" i="17" s="1"/>
  <c r="Q520" i="5"/>
  <c r="AT820" i="17"/>
  <c r="AW820" i="17" s="1"/>
  <c r="Q627" i="5"/>
  <c r="AT927" i="17"/>
  <c r="AW927" i="17" s="1"/>
  <c r="Q301" i="5"/>
  <c r="AT302" i="17"/>
  <c r="AW302" i="17" s="1"/>
  <c r="AT601" i="17"/>
  <c r="AW601" i="17" s="1"/>
  <c r="Q337" i="5"/>
  <c r="AT338" i="17"/>
  <c r="AW338" i="17" s="1"/>
  <c r="AT637" i="17"/>
  <c r="AW637" i="17" s="1"/>
  <c r="Q360" i="5"/>
  <c r="AT361" i="17"/>
  <c r="AW361" i="17" s="1"/>
  <c r="AT660" i="17"/>
  <c r="AW660" i="17" s="1"/>
  <c r="Q383" i="5"/>
  <c r="AT683" i="17"/>
  <c r="AW683" i="17" s="1"/>
  <c r="Q417" i="5"/>
  <c r="AT717" i="17"/>
  <c r="AW717" i="17" s="1"/>
  <c r="Q487" i="5"/>
  <c r="AT787" i="17"/>
  <c r="AW787" i="17" s="1"/>
  <c r="Q565" i="5"/>
  <c r="AT865" i="17"/>
  <c r="AW865" i="17" s="1"/>
  <c r="Q609" i="5"/>
  <c r="AT909" i="17"/>
  <c r="AW909" i="17" s="1"/>
  <c r="Q339" i="5"/>
  <c r="AT340" i="17"/>
  <c r="AW340" i="17" s="1"/>
  <c r="AT639" i="17"/>
  <c r="AW639" i="17" s="1"/>
  <c r="Q361" i="5"/>
  <c r="AT362" i="17"/>
  <c r="AW362" i="17" s="1"/>
  <c r="AT661" i="17"/>
  <c r="AW661" i="17" s="1"/>
  <c r="Q407" i="5"/>
  <c r="AT707" i="17"/>
  <c r="AW707" i="17" s="1"/>
  <c r="Q441" i="5"/>
  <c r="AT741" i="17"/>
  <c r="AW741" i="17" s="1"/>
  <c r="Q542" i="5"/>
  <c r="AT842" i="17"/>
  <c r="AW842" i="17" s="1"/>
  <c r="Q450" i="5"/>
  <c r="AT750" i="17"/>
  <c r="AW750" i="17" s="1"/>
  <c r="Q481" i="5"/>
  <c r="AT781" i="17"/>
  <c r="AW781" i="17" s="1"/>
  <c r="Q504" i="5"/>
  <c r="AT804" i="17"/>
  <c r="AW804" i="17" s="1"/>
  <c r="Q529" i="5"/>
  <c r="AT829" i="17"/>
  <c r="AW829" i="17" s="1"/>
  <c r="Q577" i="5"/>
  <c r="AT877" i="17"/>
  <c r="AW877" i="17" s="1"/>
  <c r="Q604" i="5"/>
  <c r="AT904" i="17"/>
  <c r="AW904" i="17" s="1"/>
  <c r="Q792" i="5"/>
  <c r="AT1092" i="17"/>
  <c r="AW1092" i="17" s="1"/>
  <c r="Q436" i="5"/>
  <c r="AT736" i="17"/>
  <c r="AW736" i="17" s="1"/>
  <c r="Q452" i="5"/>
  <c r="AT752" i="17"/>
  <c r="AW752" i="17" s="1"/>
  <c r="Q484" i="5"/>
  <c r="AT784" i="17"/>
  <c r="AW784" i="17" s="1"/>
  <c r="Q518" i="5"/>
  <c r="AT818" i="17"/>
  <c r="AW818" i="17" s="1"/>
  <c r="Q552" i="5"/>
  <c r="AT852" i="17"/>
  <c r="AW852" i="17" s="1"/>
  <c r="Q581" i="5"/>
  <c r="AT881" i="17"/>
  <c r="AW881" i="17" s="1"/>
  <c r="Q659" i="5"/>
  <c r="AT959" i="17"/>
  <c r="AW959" i="17" s="1"/>
  <c r="Q641" i="5"/>
  <c r="AT941" i="17"/>
  <c r="AW941" i="17" s="1"/>
  <c r="Q679" i="5"/>
  <c r="AT979" i="17"/>
  <c r="AW979" i="17" s="1"/>
  <c r="Q704" i="5"/>
  <c r="AT1004" i="17"/>
  <c r="AW1004" i="17" s="1"/>
  <c r="Q750" i="5"/>
  <c r="AT1050" i="17"/>
  <c r="AW1050" i="17" s="1"/>
  <c r="Q838" i="5"/>
  <c r="AT1138" i="17"/>
  <c r="AW1138" i="17" s="1"/>
  <c r="Q603" i="5"/>
  <c r="AT903" i="17"/>
  <c r="AW903" i="17" s="1"/>
  <c r="Q648" i="5"/>
  <c r="AT948" i="17"/>
  <c r="AW948" i="17" s="1"/>
  <c r="Q691" i="5"/>
  <c r="AT991" i="17"/>
  <c r="AW991" i="17" s="1"/>
  <c r="Q720" i="5"/>
  <c r="AT1020" i="17"/>
  <c r="AW1020" i="17" s="1"/>
  <c r="Q800" i="5"/>
  <c r="AT1100" i="17"/>
  <c r="AW1100" i="17" s="1"/>
  <c r="Q746" i="5"/>
  <c r="AT1046" i="17"/>
  <c r="AW1046" i="17" s="1"/>
  <c r="Q709" i="5"/>
  <c r="AT1009" i="17"/>
  <c r="AW1009" i="17" s="1"/>
  <c r="Q741" i="5"/>
  <c r="AT1041" i="17"/>
  <c r="AW1041" i="17" s="1"/>
  <c r="Q828" i="5"/>
  <c r="AT1128" i="17"/>
  <c r="AW1128" i="17" s="1"/>
  <c r="Q265" i="5"/>
  <c r="AT266" i="17"/>
  <c r="AW266" i="17" s="1"/>
  <c r="AT565" i="17"/>
  <c r="AW565" i="17" s="1"/>
  <c r="Q192" i="5"/>
  <c r="AT193" i="17"/>
  <c r="AW193" i="17" s="1"/>
  <c r="AT492" i="17"/>
  <c r="AW492" i="17" s="1"/>
  <c r="Q135" i="5"/>
  <c r="AT136" i="17"/>
  <c r="AW136" i="17" s="1"/>
  <c r="AT435" i="17"/>
  <c r="AW435" i="17" s="1"/>
  <c r="Q111" i="5"/>
  <c r="AT112" i="17"/>
  <c r="AW112" i="17" s="1"/>
  <c r="AT411" i="17"/>
  <c r="AW411" i="17" s="1"/>
  <c r="Q95" i="5"/>
  <c r="AT96" i="17"/>
  <c r="AW96" i="17" s="1"/>
  <c r="AT395" i="17"/>
  <c r="AW395" i="17" s="1"/>
  <c r="Q51" i="5"/>
  <c r="AT52" i="17" s="1"/>
  <c r="AW52" i="17" s="1"/>
  <c r="S254" i="5"/>
  <c r="AY255" i="17"/>
  <c r="BB255" i="17" s="1"/>
  <c r="AY554" i="17"/>
  <c r="BB554" i="17" s="1"/>
  <c r="S276" i="5"/>
  <c r="AY277" i="17"/>
  <c r="BB277" i="17" s="1"/>
  <c r="AY576" i="17"/>
  <c r="BB576" i="17" s="1"/>
  <c r="S311" i="5"/>
  <c r="AY312" i="17"/>
  <c r="BB312" i="17" s="1"/>
  <c r="AY611" i="17"/>
  <c r="BB611" i="17" s="1"/>
  <c r="S347" i="5"/>
  <c r="AY348" i="17"/>
  <c r="BB348" i="17" s="1"/>
  <c r="AY647" i="17"/>
  <c r="BB647" i="17" s="1"/>
  <c r="S367" i="5"/>
  <c r="AY368" i="17"/>
  <c r="BB368" i="17" s="1"/>
  <c r="AY667" i="17"/>
  <c r="BB667" i="17" s="1"/>
  <c r="S408" i="5"/>
  <c r="AY708" i="17"/>
  <c r="BB708" i="17" s="1"/>
  <c r="S438" i="5"/>
  <c r="AY738" i="17"/>
  <c r="BB738" i="17" s="1"/>
  <c r="S502" i="5"/>
  <c r="AY802" i="17"/>
  <c r="BB802" i="17" s="1"/>
  <c r="S552" i="5"/>
  <c r="AY852" i="17"/>
  <c r="BB852" i="17" s="1"/>
  <c r="S593" i="5"/>
  <c r="AY893" i="17"/>
  <c r="BB893" i="17" s="1"/>
  <c r="S647" i="5"/>
  <c r="AY947" i="17"/>
  <c r="BB947" i="17" s="1"/>
  <c r="S679" i="5"/>
  <c r="AY979" i="17"/>
  <c r="BB979" i="17" s="1"/>
  <c r="S720" i="5"/>
  <c r="AY1020" i="17"/>
  <c r="BB1020" i="17" s="1"/>
  <c r="S762" i="5"/>
  <c r="AY1062" i="17"/>
  <c r="BB1062" i="17" s="1"/>
  <c r="S833" i="5"/>
  <c r="AY1133" i="17"/>
  <c r="BB1133" i="17" s="1"/>
  <c r="S14" i="5"/>
  <c r="AY15" i="17" s="1"/>
  <c r="BB15" i="17" s="1"/>
  <c r="S43" i="5"/>
  <c r="AY44" i="17" s="1"/>
  <c r="BB44" i="17" s="1"/>
  <c r="S74" i="5"/>
  <c r="AY75" i="17" s="1"/>
  <c r="BB75" i="17" s="1"/>
  <c r="S117" i="5"/>
  <c r="AY417" i="17" s="1"/>
  <c r="BB417" i="17" s="1"/>
  <c r="S156" i="5"/>
  <c r="AY157" i="17"/>
  <c r="BB157" i="17" s="1"/>
  <c r="AY456" i="17"/>
  <c r="BB456" i="17" s="1"/>
  <c r="S191" i="5"/>
  <c r="AY192" i="17"/>
  <c r="BB192" i="17" s="1"/>
  <c r="AY491" i="17"/>
  <c r="BB491" i="17" s="1"/>
  <c r="S217" i="5"/>
  <c r="AY218" i="17"/>
  <c r="BB218" i="17" s="1"/>
  <c r="AY517" i="17"/>
  <c r="BB517" i="17" s="1"/>
  <c r="S250" i="5"/>
  <c r="AY251" i="17"/>
  <c r="BB251" i="17" s="1"/>
  <c r="AY550" i="17"/>
  <c r="BB550" i="17" s="1"/>
  <c r="S288" i="5"/>
  <c r="AY289" i="17"/>
  <c r="BB289" i="17" s="1"/>
  <c r="AY588" i="17"/>
  <c r="BB588" i="17" s="1"/>
  <c r="S307" i="5"/>
  <c r="AY308" i="17"/>
  <c r="BB308" i="17" s="1"/>
  <c r="AY607" i="17"/>
  <c r="BB607" i="17" s="1"/>
  <c r="S346" i="5"/>
  <c r="AY347" i="17"/>
  <c r="BB347" i="17" s="1"/>
  <c r="AY646" i="17"/>
  <c r="BB646" i="17" s="1"/>
  <c r="S388" i="5"/>
  <c r="AY688" i="17"/>
  <c r="BB688" i="17" s="1"/>
  <c r="S424" i="5"/>
  <c r="AY724" i="17"/>
  <c r="BB724" i="17" s="1"/>
  <c r="S450" i="5"/>
  <c r="AY750" i="17"/>
  <c r="BB750" i="17" s="1"/>
  <c r="S469" i="5"/>
  <c r="AY769" i="17"/>
  <c r="BB769" i="17" s="1"/>
  <c r="S491" i="5"/>
  <c r="AY791" i="17"/>
  <c r="BB791" i="17" s="1"/>
  <c r="S517" i="5"/>
  <c r="AY817" i="17"/>
  <c r="BB817" i="17" s="1"/>
  <c r="S544" i="5"/>
  <c r="AY844" i="17"/>
  <c r="BB844" i="17" s="1"/>
  <c r="S574" i="5"/>
  <c r="AY874" i="17"/>
  <c r="BB874" i="17" s="1"/>
  <c r="S617" i="5"/>
  <c r="AY917" i="17"/>
  <c r="BB917" i="17" s="1"/>
  <c r="S659" i="5"/>
  <c r="AY959" i="17"/>
  <c r="BB959" i="17" s="1"/>
  <c r="S714" i="5"/>
  <c r="AY1014" i="17"/>
  <c r="BB1014" i="17" s="1"/>
  <c r="S773" i="5"/>
  <c r="AY1073" i="17"/>
  <c r="BB1073" i="17" s="1"/>
  <c r="S796" i="5"/>
  <c r="AY1096" i="17"/>
  <c r="BB1096" i="17" s="1"/>
  <c r="S835" i="5"/>
  <c r="AY1135" i="17"/>
  <c r="BB1135" i="17" s="1"/>
  <c r="S849" i="5"/>
  <c r="AY1149" i="17"/>
  <c r="BB1149" i="17" s="1"/>
  <c r="S864" i="5"/>
  <c r="AY1164" i="17"/>
  <c r="BB1164" i="17" s="1"/>
  <c r="S610" i="5"/>
  <c r="AY910" i="17"/>
  <c r="BB910" i="17" s="1"/>
  <c r="S644" i="5"/>
  <c r="AY944" i="17"/>
  <c r="BB944" i="17" s="1"/>
  <c r="S688" i="5"/>
  <c r="AY988" i="17"/>
  <c r="BB988" i="17" s="1"/>
  <c r="S719" i="5"/>
  <c r="AY1019" i="17"/>
  <c r="BB1019" i="17" s="1"/>
  <c r="S759" i="5"/>
  <c r="AY1059" i="17"/>
  <c r="BB1059" i="17" s="1"/>
  <c r="S766" i="5"/>
  <c r="AY1066" i="17"/>
  <c r="BB1066" i="17" s="1"/>
  <c r="S795" i="5"/>
  <c r="AY1095" i="17"/>
  <c r="BB1095" i="17" s="1"/>
  <c r="S857" i="5"/>
  <c r="AY1157" i="17"/>
  <c r="BB1157" i="17" s="1"/>
  <c r="S712" i="5"/>
  <c r="AY1012" i="17"/>
  <c r="BB1012" i="17" s="1"/>
  <c r="S587" i="5"/>
  <c r="AY887" i="17"/>
  <c r="BB887" i="17" s="1"/>
  <c r="S522" i="5"/>
  <c r="AY822" i="17"/>
  <c r="BB822" i="17" s="1"/>
  <c r="S475" i="5"/>
  <c r="AY775" i="17"/>
  <c r="BB775" i="17" s="1"/>
  <c r="S444" i="5"/>
  <c r="AY744" i="17"/>
  <c r="BB744" i="17" s="1"/>
  <c r="S375" i="5"/>
  <c r="AY376" i="17"/>
  <c r="BB376" i="17" s="1"/>
  <c r="AY675" i="17"/>
  <c r="BB675" i="17" s="1"/>
  <c r="S691" i="5"/>
  <c r="AY991" i="17"/>
  <c r="BB991" i="17" s="1"/>
  <c r="S505" i="5"/>
  <c r="AY805" i="17"/>
  <c r="BB805" i="17" s="1"/>
  <c r="S190" i="5"/>
  <c r="AY191" i="17"/>
  <c r="BB191" i="17" s="1"/>
  <c r="AY490" i="17"/>
  <c r="BB490" i="17" s="1"/>
  <c r="S116" i="5"/>
  <c r="AY416" i="17" s="1"/>
  <c r="BB416" i="17" s="1"/>
  <c r="AY117" i="17"/>
  <c r="BB117" i="17" s="1"/>
  <c r="S19" i="5"/>
  <c r="AY20" i="17" s="1"/>
  <c r="BB20" i="17" s="1"/>
  <c r="S696" i="5"/>
  <c r="AY996" i="17"/>
  <c r="BB996" i="17" s="1"/>
  <c r="S320" i="5"/>
  <c r="AY321" i="17"/>
  <c r="BB321" i="17" s="1"/>
  <c r="AY620" i="17"/>
  <c r="BB620" i="17" s="1"/>
  <c r="S60" i="5"/>
  <c r="AY61" i="17" s="1"/>
  <c r="BB61" i="17" s="1"/>
  <c r="S13" i="5"/>
  <c r="AY14" i="17" s="1"/>
  <c r="BB14" i="17" s="1"/>
  <c r="S45" i="5"/>
  <c r="AY46" i="17" s="1"/>
  <c r="BB46" i="17" s="1"/>
  <c r="S79" i="5"/>
  <c r="AY80" i="17" s="1"/>
  <c r="BB80" i="17" s="1"/>
  <c r="S131" i="5"/>
  <c r="AY431" i="17" s="1"/>
  <c r="BB431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65" i="5"/>
  <c r="AY266" i="17"/>
  <c r="BB266" i="17" s="1"/>
  <c r="AY565" i="17"/>
  <c r="BB565" i="17" s="1"/>
  <c r="S317" i="5"/>
  <c r="AY318" i="17"/>
  <c r="BB318" i="17" s="1"/>
  <c r="AY617" i="17"/>
  <c r="BB617" i="17" s="1"/>
  <c r="S430" i="5"/>
  <c r="AY730" i="17"/>
  <c r="BB730" i="17" s="1"/>
  <c r="S557" i="5"/>
  <c r="AY857" i="17"/>
  <c r="BB857" i="17" s="1"/>
  <c r="S655" i="5"/>
  <c r="AY955" i="17"/>
  <c r="BB955" i="17" s="1"/>
  <c r="S735" i="5"/>
  <c r="AY1035" i="17"/>
  <c r="BB1035" i="17" s="1"/>
  <c r="S816" i="5"/>
  <c r="AY1116" i="17"/>
  <c r="BB1116" i="17" s="1"/>
  <c r="S55" i="5"/>
  <c r="AY56" i="17" s="1"/>
  <c r="BB56" i="17" s="1"/>
  <c r="S88" i="5"/>
  <c r="AY89" i="17" s="1"/>
  <c r="BB89" i="17" s="1"/>
  <c r="AY388" i="17"/>
  <c r="BB388" i="17" s="1"/>
  <c r="S160" i="5"/>
  <c r="AY161" i="17"/>
  <c r="BB161" i="17" s="1"/>
  <c r="AY460" i="17"/>
  <c r="BB460" i="17" s="1"/>
  <c r="S219" i="5"/>
  <c r="AY220" i="17"/>
  <c r="BB220" i="17" s="1"/>
  <c r="AY519" i="17"/>
  <c r="BB519" i="17" s="1"/>
  <c r="S263" i="5"/>
  <c r="AY264" i="17"/>
  <c r="BB264" i="17" s="1"/>
  <c r="AY563" i="17"/>
  <c r="BB563" i="17" s="1"/>
  <c r="S382" i="5"/>
  <c r="AY383" i="17"/>
  <c r="BB383" i="17" s="1"/>
  <c r="AY682" i="17"/>
  <c r="BB682" i="17" s="1"/>
  <c r="S455" i="5"/>
  <c r="AY755" i="17"/>
  <c r="BB755" i="17" s="1"/>
  <c r="S596" i="5"/>
  <c r="AY896" i="17"/>
  <c r="BB896" i="17" s="1"/>
  <c r="S673" i="5"/>
  <c r="AY973" i="17"/>
  <c r="BB973" i="17" s="1"/>
  <c r="S769" i="5"/>
  <c r="AY1069" i="17"/>
  <c r="BB1069" i="17" s="1"/>
  <c r="S112" i="5"/>
  <c r="AY412" i="17" s="1"/>
  <c r="BB412" i="17" s="1"/>
  <c r="AY113" i="17"/>
  <c r="BB113" i="17" s="1"/>
  <c r="S147" i="5"/>
  <c r="AY148" i="17"/>
  <c r="BB148" i="17" s="1"/>
  <c r="AY447" i="17"/>
  <c r="BB447" i="17" s="1"/>
  <c r="S185" i="5"/>
  <c r="AY186" i="17"/>
  <c r="BB186" i="17" s="1"/>
  <c r="AY485" i="17"/>
  <c r="BB485" i="17" s="1"/>
  <c r="S244" i="5"/>
  <c r="AY245" i="17"/>
  <c r="BB245" i="17" s="1"/>
  <c r="AY544" i="17"/>
  <c r="BB544" i="17" s="1"/>
  <c r="S316" i="5"/>
  <c r="AY317" i="17"/>
  <c r="BB317" i="17" s="1"/>
  <c r="AY616" i="17"/>
  <c r="BB616" i="17" s="1"/>
  <c r="S356" i="5"/>
  <c r="AY357" i="17"/>
  <c r="BB357" i="17" s="1"/>
  <c r="AY656" i="17"/>
  <c r="BB656" i="17" s="1"/>
  <c r="S448" i="5"/>
  <c r="AY748" i="17"/>
  <c r="BB748" i="17" s="1"/>
  <c r="S521" i="5"/>
  <c r="AY821" i="17"/>
  <c r="BB821" i="17" s="1"/>
  <c r="S599" i="5"/>
  <c r="AY899" i="17"/>
  <c r="BB899" i="17" s="1"/>
  <c r="S692" i="5"/>
  <c r="AY992" i="17"/>
  <c r="BB992" i="17" s="1"/>
  <c r="S842" i="5"/>
  <c r="AY1142" i="17"/>
  <c r="BB1142" i="17" s="1"/>
  <c r="S500" i="5"/>
  <c r="AY800" i="17"/>
  <c r="BB800" i="17" s="1"/>
  <c r="S215" i="5"/>
  <c r="AY216" i="17"/>
  <c r="BB216" i="17" s="1"/>
  <c r="AY515" i="17"/>
  <c r="BB515" i="17" s="1"/>
  <c r="S90" i="5"/>
  <c r="AY91" i="17" s="1"/>
  <c r="BB91" i="17" s="1"/>
  <c r="U858" i="5"/>
  <c r="BD1158" i="17"/>
  <c r="BG1158" i="17" s="1"/>
  <c r="U835" i="5"/>
  <c r="BD1135" i="17"/>
  <c r="BG1135" i="17" s="1"/>
  <c r="U800" i="5"/>
  <c r="BD1100" i="17"/>
  <c r="BG1100" i="17" s="1"/>
  <c r="U760" i="5"/>
  <c r="BD1060" i="17"/>
  <c r="BG1060" i="17" s="1"/>
  <c r="U711" i="5"/>
  <c r="BD1011" i="17"/>
  <c r="BG1011" i="17" s="1"/>
  <c r="U675" i="5"/>
  <c r="BD975" i="17"/>
  <c r="BG975" i="17" s="1"/>
  <c r="U790" i="5"/>
  <c r="BD1090" i="17"/>
  <c r="BG1090" i="17" s="1"/>
  <c r="U739" i="5"/>
  <c r="BD1039" i="17"/>
  <c r="BG1039" i="17" s="1"/>
  <c r="U509" i="5"/>
  <c r="BD809" i="17"/>
  <c r="BG809" i="17" s="1"/>
  <c r="U536" i="5"/>
  <c r="BD836" i="17"/>
  <c r="BG836" i="17" s="1"/>
  <c r="U569" i="5"/>
  <c r="BD869" i="17"/>
  <c r="BG869" i="17" s="1"/>
  <c r="U592" i="5"/>
  <c r="BD892" i="17"/>
  <c r="BG892" i="17" s="1"/>
  <c r="U624" i="5"/>
  <c r="BD924" i="17"/>
  <c r="BG924" i="17" s="1"/>
  <c r="U656" i="5"/>
  <c r="BD956" i="17"/>
  <c r="BG956" i="17" s="1"/>
  <c r="U731" i="5"/>
  <c r="BD1031" i="17"/>
  <c r="BG1031" i="17" s="1"/>
  <c r="U797" i="5"/>
  <c r="BD1097" i="17"/>
  <c r="BG1097" i="17" s="1"/>
  <c r="U865" i="5"/>
  <c r="BD1165" i="17"/>
  <c r="BG1165" i="17" s="1"/>
  <c r="U525" i="5"/>
  <c r="BD825" i="17"/>
  <c r="BG825" i="17" s="1"/>
  <c r="U563" i="5"/>
  <c r="BD863" i="17"/>
  <c r="BG863" i="17" s="1"/>
  <c r="U604" i="5"/>
  <c r="BD904" i="17"/>
  <c r="BG904" i="17" s="1"/>
  <c r="U623" i="5"/>
  <c r="BD923" i="17"/>
  <c r="BG923" i="17" s="1"/>
  <c r="U660" i="5"/>
  <c r="BD960" i="17"/>
  <c r="BG960" i="17" s="1"/>
  <c r="U695" i="5"/>
  <c r="BD995" i="17"/>
  <c r="BG995" i="17" s="1"/>
  <c r="U742" i="5"/>
  <c r="BD1042" i="17"/>
  <c r="BG1042" i="17" s="1"/>
  <c r="U756" i="5"/>
  <c r="BD1056" i="17"/>
  <c r="BG1056" i="17" s="1"/>
  <c r="U808" i="5"/>
  <c r="BD1108" i="17"/>
  <c r="BG1108" i="17" s="1"/>
  <c r="O842" i="5"/>
  <c r="AO1142" i="17"/>
  <c r="AR1142" i="17" s="1"/>
  <c r="O776" i="5"/>
  <c r="AO1076" i="17"/>
  <c r="AR1076" i="17" s="1"/>
  <c r="O804" i="5"/>
  <c r="AO1104" i="17"/>
  <c r="AR1104" i="17" s="1"/>
  <c r="O749" i="5"/>
  <c r="AO1049" i="17"/>
  <c r="AR1049" i="17" s="1"/>
  <c r="O771" i="5"/>
  <c r="AO1071" i="17"/>
  <c r="AR1071" i="17" s="1"/>
  <c r="O114" i="5"/>
  <c r="AO414" i="17" s="1"/>
  <c r="AR414" i="17" s="1"/>
  <c r="O150" i="5"/>
  <c r="AO151" i="17"/>
  <c r="AR151" i="17" s="1"/>
  <c r="AO450" i="17"/>
  <c r="AR450" i="17" s="1"/>
  <c r="O183" i="5"/>
  <c r="AO184" i="17"/>
  <c r="AR184" i="17" s="1"/>
  <c r="AO483" i="17"/>
  <c r="AR483" i="17" s="1"/>
  <c r="O212" i="5"/>
  <c r="AO213" i="17"/>
  <c r="AR213" i="17" s="1"/>
  <c r="AO512" i="17"/>
  <c r="AR512" i="17" s="1"/>
  <c r="O242" i="5"/>
  <c r="AO243" i="17"/>
  <c r="AR243" i="17" s="1"/>
  <c r="AO542" i="17"/>
  <c r="AR542" i="17" s="1"/>
  <c r="O283" i="5"/>
  <c r="AO284" i="17"/>
  <c r="AR284" i="17" s="1"/>
  <c r="AO583" i="17"/>
  <c r="AR583" i="17" s="1"/>
  <c r="O309" i="5"/>
  <c r="AO310" i="17"/>
  <c r="AR310" i="17" s="1"/>
  <c r="AO609" i="17"/>
  <c r="AR609" i="17" s="1"/>
  <c r="O341" i="5"/>
  <c r="AO342" i="17"/>
  <c r="AR342" i="17" s="1"/>
  <c r="AO641" i="17"/>
  <c r="AR641" i="17" s="1"/>
  <c r="O401" i="5"/>
  <c r="AO701" i="17"/>
  <c r="AR701" i="17" s="1"/>
  <c r="O451" i="5"/>
  <c r="AO751" i="17"/>
  <c r="AR751" i="17" s="1"/>
  <c r="O488" i="5"/>
  <c r="AO788" i="17"/>
  <c r="AR788" i="17" s="1"/>
  <c r="O523" i="5"/>
  <c r="AO823" i="17"/>
  <c r="AR823" i="17" s="1"/>
  <c r="O570" i="5"/>
  <c r="AO870" i="17"/>
  <c r="AR870" i="17" s="1"/>
  <c r="O607" i="5"/>
  <c r="AO907" i="17"/>
  <c r="AR907" i="17" s="1"/>
  <c r="O622" i="5"/>
  <c r="AO922" i="17"/>
  <c r="AR922" i="17" s="1"/>
  <c r="O681" i="5"/>
  <c r="AO981" i="17"/>
  <c r="AR981" i="17" s="1"/>
  <c r="O701" i="5"/>
  <c r="AO1001" i="17"/>
  <c r="AR1001" i="17" s="1"/>
  <c r="O27" i="5"/>
  <c r="AO28" i="17"/>
  <c r="AR28" i="17" s="1"/>
  <c r="O57" i="5"/>
  <c r="AO58" i="17"/>
  <c r="AR58" i="17" s="1"/>
  <c r="O89" i="5"/>
  <c r="AO90" i="17"/>
  <c r="AR90" i="17" s="1"/>
  <c r="AO389" i="17"/>
  <c r="AR389" i="17" s="1"/>
  <c r="O122" i="5"/>
  <c r="AO123" i="17" s="1"/>
  <c r="AR123" i="17" s="1"/>
  <c r="O152" i="5"/>
  <c r="AO153" i="17"/>
  <c r="AR153" i="17" s="1"/>
  <c r="AO452" i="17"/>
  <c r="AR452" i="17" s="1"/>
  <c r="O186" i="5"/>
  <c r="AO187" i="17"/>
  <c r="AR187" i="17" s="1"/>
  <c r="AO486" i="17"/>
  <c r="AR486" i="17" s="1"/>
  <c r="O221" i="5"/>
  <c r="AO222" i="17"/>
  <c r="AR222" i="17" s="1"/>
  <c r="AO521" i="17"/>
  <c r="AR521" i="17" s="1"/>
  <c r="O257" i="5"/>
  <c r="AO258" i="17"/>
  <c r="AR258" i="17" s="1"/>
  <c r="AO557" i="17"/>
  <c r="AR557" i="17" s="1"/>
  <c r="O281" i="5"/>
  <c r="AO282" i="17"/>
  <c r="AR282" i="17" s="1"/>
  <c r="AO581" i="17"/>
  <c r="AR581" i="17" s="1"/>
  <c r="O317" i="5"/>
  <c r="AO318" i="17"/>
  <c r="AR318" i="17" s="1"/>
  <c r="AO617" i="17"/>
  <c r="AR617" i="17" s="1"/>
  <c r="O349" i="5"/>
  <c r="AO350" i="17"/>
  <c r="AR350" i="17" s="1"/>
  <c r="AO649" i="17"/>
  <c r="AR649" i="17" s="1"/>
  <c r="O381" i="5"/>
  <c r="AO382" i="17"/>
  <c r="AR382" i="17" s="1"/>
  <c r="AO681" i="17"/>
  <c r="AR681" i="17" s="1"/>
  <c r="O438" i="5"/>
  <c r="AO738" i="17"/>
  <c r="AR738" i="17" s="1"/>
  <c r="O484" i="5"/>
  <c r="AO784" i="17"/>
  <c r="AR784" i="17" s="1"/>
  <c r="O525" i="5"/>
  <c r="AO825" i="17"/>
  <c r="AR825" i="17" s="1"/>
  <c r="O589" i="5"/>
  <c r="AO889" i="17"/>
  <c r="AR889" i="17" s="1"/>
  <c r="O626" i="5"/>
  <c r="AO926" i="17"/>
  <c r="AR926" i="17" s="1"/>
  <c r="O653" i="5"/>
  <c r="AO953" i="17"/>
  <c r="AR953" i="17" s="1"/>
  <c r="O686" i="5"/>
  <c r="AO986" i="17"/>
  <c r="AR986" i="17" s="1"/>
  <c r="O702" i="5"/>
  <c r="AO1002" i="17"/>
  <c r="AR1002" i="17" s="1"/>
  <c r="O343" i="5"/>
  <c r="AO344" i="17"/>
  <c r="AR344" i="17" s="1"/>
  <c r="AO643" i="17"/>
  <c r="AR643" i="17" s="1"/>
  <c r="O387" i="5"/>
  <c r="AO687" i="17"/>
  <c r="AR687" i="17" s="1"/>
  <c r="O411" i="5"/>
  <c r="AO711" i="17"/>
  <c r="AR711" i="17" s="1"/>
  <c r="O439" i="5"/>
  <c r="AO739" i="17"/>
  <c r="AR739" i="17" s="1"/>
  <c r="O476" i="5"/>
  <c r="AO776" i="17"/>
  <c r="AR776" i="17" s="1"/>
  <c r="O513" i="5"/>
  <c r="AO813" i="17"/>
  <c r="AR813" i="17" s="1"/>
  <c r="O548" i="5"/>
  <c r="AO848" i="17"/>
  <c r="AR848" i="17" s="1"/>
  <c r="O558" i="5"/>
  <c r="AO858" i="17"/>
  <c r="AR858" i="17" s="1"/>
  <c r="O594" i="5"/>
  <c r="AO894" i="17"/>
  <c r="AR894" i="17" s="1"/>
  <c r="O623" i="5"/>
  <c r="AO923" i="17"/>
  <c r="AR923" i="17" s="1"/>
  <c r="O651" i="5"/>
  <c r="AO951" i="17"/>
  <c r="AR951" i="17" s="1"/>
  <c r="O673" i="5"/>
  <c r="AO973" i="17"/>
  <c r="AR973" i="17" s="1"/>
  <c r="O724" i="5"/>
  <c r="AO1024" i="17"/>
  <c r="AR1024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 s="1"/>
  <c r="AW64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 s="1"/>
  <c r="BB16" i="17" s="1"/>
  <c r="S46" i="5"/>
  <c r="AY47" i="17" s="1"/>
  <c r="BB47" i="17" s="1"/>
  <c r="S66" i="5"/>
  <c r="AY67" i="17" s="1"/>
  <c r="BB67" i="17" s="1"/>
  <c r="S75" i="5"/>
  <c r="AY76" i="17" s="1"/>
  <c r="BB76" i="17" s="1"/>
  <c r="S106" i="5"/>
  <c r="AY406" i="17" s="1"/>
  <c r="BB406" i="17" s="1"/>
  <c r="AY107" i="17"/>
  <c r="BB107" i="17" s="1"/>
  <c r="S121" i="5"/>
  <c r="AY122" i="17" s="1"/>
  <c r="BB122" i="17" s="1"/>
  <c r="AY421" i="17"/>
  <c r="BB421" i="17" s="1"/>
  <c r="S134" i="5"/>
  <c r="AY135" i="17" s="1"/>
  <c r="BB135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407" i="17" s="1"/>
  <c r="BB407" i="17" s="1"/>
  <c r="AY108" i="17"/>
  <c r="BB108" i="17" s="1"/>
  <c r="S59" i="5"/>
  <c r="AY60" i="17" s="1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 s="1"/>
  <c r="BB101" i="17" s="1"/>
  <c r="S52" i="5"/>
  <c r="AY53" i="17" s="1"/>
  <c r="BB53" i="17" s="1"/>
  <c r="S21" i="5"/>
  <c r="AY22" i="17" s="1"/>
  <c r="BB22" i="17" s="1"/>
  <c r="S32" i="5"/>
  <c r="AY33" i="17" s="1"/>
  <c r="BB33" i="17" s="1"/>
  <c r="S53" i="5"/>
  <c r="AY54" i="17"/>
  <c r="BB54" i="17" s="1"/>
  <c r="S72" i="5"/>
  <c r="AY73" i="17" s="1"/>
  <c r="BB73" i="17" s="1"/>
  <c r="S80" i="5"/>
  <c r="AY81" i="17" s="1"/>
  <c r="BB81" i="17" s="1"/>
  <c r="S111" i="5"/>
  <c r="AY112" i="17" s="1"/>
  <c r="BB112" i="17" s="1"/>
  <c r="S133" i="5"/>
  <c r="AY433" i="17" s="1"/>
  <c r="BB433" i="17" s="1"/>
  <c r="AY134" i="17"/>
  <c r="BB134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 s="1"/>
  <c r="BB41" i="17" s="1"/>
  <c r="S61" i="5"/>
  <c r="AY62" i="17" s="1"/>
  <c r="BB62" i="17" s="1"/>
  <c r="S85" i="5"/>
  <c r="AY385" i="17" s="1"/>
  <c r="BB385" i="17" s="1"/>
  <c r="AY86" i="17"/>
  <c r="BB86" i="17" s="1"/>
  <c r="S91" i="5"/>
  <c r="AY92" i="17" s="1"/>
  <c r="BB92" i="17" s="1"/>
  <c r="S114" i="5"/>
  <c r="AY115" i="17" s="1"/>
  <c r="BB115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419" i="17" s="1"/>
  <c r="BB419" i="17" s="1"/>
  <c r="S140" i="5"/>
  <c r="AY141" i="17" s="1"/>
  <c r="BB141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 s="1"/>
  <c r="BB139" i="17" s="1"/>
  <c r="S84" i="5"/>
  <c r="AY85" i="17" s="1"/>
  <c r="BB85" i="17" s="1"/>
  <c r="S35" i="5"/>
  <c r="AY36" i="17" s="1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/>
  <c r="AR83" i="17" s="1"/>
  <c r="O95" i="5"/>
  <c r="AO395" i="17" s="1"/>
  <c r="AR395" i="17" s="1"/>
  <c r="O103" i="5"/>
  <c r="AO104" i="17" s="1"/>
  <c r="AR104" i="17" s="1"/>
  <c r="O121" i="5"/>
  <c r="AO421" i="17" s="1"/>
  <c r="AR421" i="17" s="1"/>
  <c r="AO122" i="17"/>
  <c r="AR122" i="17" s="1"/>
  <c r="O138" i="5"/>
  <c r="AO139" i="17" s="1"/>
  <c r="AR139" i="17" s="1"/>
  <c r="AO438" i="17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 s="1"/>
  <c r="AR64" i="17" s="1"/>
  <c r="O81" i="5"/>
  <c r="AO82" i="17" s="1"/>
  <c r="AR82" i="17" s="1"/>
  <c r="O91" i="5"/>
  <c r="AO92" i="17" s="1"/>
  <c r="AR92" i="17" s="1"/>
  <c r="AO391" i="17"/>
  <c r="AR391" i="17" s="1"/>
  <c r="O115" i="5"/>
  <c r="AO116" i="17"/>
  <c r="AR116" i="17" s="1"/>
  <c r="AO415" i="17"/>
  <c r="AR415" i="17" s="1"/>
  <c r="O125" i="5"/>
  <c r="AO126" i="17" s="1"/>
  <c r="AR126" i="17" s="1"/>
  <c r="O141" i="5"/>
  <c r="AO441" i="17" s="1"/>
  <c r="AR441" i="17" s="1"/>
  <c r="AO142" i="17"/>
  <c r="AR142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 s="1"/>
  <c r="BB34" i="17" s="1"/>
  <c r="S384" i="5"/>
  <c r="AY684" i="17"/>
  <c r="BB684" i="17" s="1"/>
  <c r="S400" i="5"/>
  <c r="AY700" i="17"/>
  <c r="BB700" i="17" s="1"/>
  <c r="S44" i="5"/>
  <c r="AY45" i="17" s="1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 s="1"/>
  <c r="AR101" i="17" s="1"/>
  <c r="O73" i="5"/>
  <c r="AO74" i="17" s="1"/>
  <c r="AR74" i="17" s="1"/>
  <c r="O59" i="5"/>
  <c r="AO60" i="17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/>
  <c r="AR21" i="17" s="1"/>
  <c r="O28" i="5"/>
  <c r="AO29" i="17" s="1"/>
  <c r="AR29" i="17" s="1"/>
  <c r="O43" i="5"/>
  <c r="AO44" i="17"/>
  <c r="AR44" i="17" s="1"/>
  <c r="O79" i="5"/>
  <c r="AO80" i="17" s="1"/>
  <c r="AR80" i="17" s="1"/>
  <c r="O112" i="5"/>
  <c r="AO113" i="17"/>
  <c r="AR113" i="17" s="1"/>
  <c r="AO412" i="17"/>
  <c r="AR412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 s="1"/>
  <c r="AR136" i="17" s="1"/>
  <c r="O108" i="5"/>
  <c r="AO408" i="17" s="1"/>
  <c r="AR408" i="17" s="1"/>
  <c r="AO109" i="17"/>
  <c r="AR109" i="17" s="1"/>
  <c r="O66" i="5"/>
  <c r="AO67" i="17" s="1"/>
  <c r="AR67" i="17" s="1"/>
  <c r="O13" i="5"/>
  <c r="AO14" i="17" s="1"/>
  <c r="AR14" i="17" s="1"/>
  <c r="O734" i="5"/>
  <c r="AO1034" i="17"/>
  <c r="AR1034" i="17" s="1"/>
  <c r="U81" i="5"/>
  <c r="BD82" i="17"/>
  <c r="BG82" i="17" s="1"/>
  <c r="U127" i="5"/>
  <c r="BD128" i="17"/>
  <c r="BG128" i="17" s="1"/>
  <c r="BD427" i="17"/>
  <c r="BG427" i="17" s="1"/>
  <c r="U228" i="5"/>
  <c r="BD229" i="17"/>
  <c r="BG229" i="17" s="1"/>
  <c r="BD528" i="17"/>
  <c r="BG528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48" i="5"/>
  <c r="BD748" i="17"/>
  <c r="BG748" i="17" s="1"/>
  <c r="U562" i="5"/>
  <c r="BD862" i="17"/>
  <c r="BG862" i="17" s="1"/>
  <c r="U161" i="5"/>
  <c r="BD162" i="17"/>
  <c r="BG162" i="17" s="1"/>
  <c r="BD461" i="17"/>
  <c r="BG461" i="17" s="1"/>
  <c r="U211" i="5"/>
  <c r="BD212" i="17"/>
  <c r="BG212" i="17" s="1"/>
  <c r="BD511" i="17"/>
  <c r="BG511" i="17" s="1"/>
  <c r="U262" i="5"/>
  <c r="BD263" i="17"/>
  <c r="BG263" i="17" s="1"/>
  <c r="BD562" i="17"/>
  <c r="BG562" i="17" s="1"/>
  <c r="U325" i="5"/>
  <c r="BD326" i="17"/>
  <c r="BG326" i="17" s="1"/>
  <c r="BD625" i="17"/>
  <c r="BG625" i="17" s="1"/>
  <c r="U386" i="5"/>
  <c r="BD686" i="17"/>
  <c r="BG686" i="17" s="1"/>
  <c r="U453" i="5"/>
  <c r="BD753" i="17"/>
  <c r="BG753" i="17" s="1"/>
  <c r="U614" i="5"/>
  <c r="BD914" i="17"/>
  <c r="BG914" i="17" s="1"/>
  <c r="U851" i="5"/>
  <c r="BD1151" i="17"/>
  <c r="BG1151" i="17" s="1"/>
  <c r="U484" i="5"/>
  <c r="BD784" i="17"/>
  <c r="BG784" i="17" s="1"/>
  <c r="U275" i="5"/>
  <c r="BD276" i="17"/>
  <c r="BG276" i="17" s="1"/>
  <c r="BD575" i="17"/>
  <c r="BG575" i="17" s="1"/>
  <c r="U112" i="5"/>
  <c r="BD113" i="17"/>
  <c r="BG113" i="17" s="1"/>
  <c r="BD412" i="17"/>
  <c r="BG412" i="17" s="1"/>
  <c r="U21" i="5"/>
  <c r="BD22" i="17"/>
  <c r="BG22" i="17" s="1"/>
  <c r="U567" i="5"/>
  <c r="BD867" i="17"/>
  <c r="BG867" i="17" s="1"/>
  <c r="U505" i="5"/>
  <c r="BD805" i="17"/>
  <c r="BG805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502" i="5"/>
  <c r="BD802" i="17"/>
  <c r="BG802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 s="1"/>
  <c r="AW74" i="17" s="1"/>
  <c r="Q53" i="5"/>
  <c r="AT54" i="17" s="1"/>
  <c r="AW54" i="17" s="1"/>
  <c r="Q44" i="5"/>
  <c r="AT45" i="17" s="1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 s="1"/>
  <c r="BB43" i="17" s="1"/>
  <c r="S54" i="5"/>
  <c r="AY55" i="17" s="1"/>
  <c r="BB55" i="17" s="1"/>
  <c r="S71" i="5"/>
  <c r="AY72" i="17" s="1"/>
  <c r="BB72" i="17" s="1"/>
  <c r="S94" i="5"/>
  <c r="AY95" i="17" s="1"/>
  <c r="BB95" i="17" s="1"/>
  <c r="S113" i="5"/>
  <c r="AY114" i="17" s="1"/>
  <c r="BB114" i="17" s="1"/>
  <c r="AY413" i="17"/>
  <c r="BB413" i="17" s="1"/>
  <c r="S125" i="5"/>
  <c r="AY126" i="17" s="1"/>
  <c r="BB126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 s="1"/>
  <c r="BB119" i="17" s="1"/>
  <c r="S70" i="5"/>
  <c r="AY71" i="17" s="1"/>
  <c r="BB71" i="17" s="1"/>
  <c r="S28" i="5"/>
  <c r="AY29" i="17" s="1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 s="1"/>
  <c r="BB133" i="17" s="1"/>
  <c r="S93" i="5"/>
  <c r="AY94" i="17" s="1"/>
  <c r="BB94" i="17" s="1"/>
  <c r="S11" i="5"/>
  <c r="AY12" i="17" s="1"/>
  <c r="BB12" i="17" s="1"/>
  <c r="S26" i="5"/>
  <c r="AY27" i="17" s="1"/>
  <c r="BB27" i="17" s="1"/>
  <c r="S41" i="5"/>
  <c r="AY42" i="17" s="1"/>
  <c r="BB42" i="17" s="1"/>
  <c r="S58" i="5"/>
  <c r="AY59" i="17" s="1"/>
  <c r="BB59" i="17" s="1"/>
  <c r="S78" i="5"/>
  <c r="AY79" i="17" s="1"/>
  <c r="BB79" i="17" s="1"/>
  <c r="S92" i="5"/>
  <c r="AY93" i="17" s="1"/>
  <c r="BB93" i="17" s="1"/>
  <c r="S120" i="5"/>
  <c r="AY121" i="17" s="1"/>
  <c r="BB121" i="17" s="1"/>
  <c r="AY420" i="17"/>
  <c r="BB420" i="17" s="1"/>
  <c r="S137" i="5"/>
  <c r="AY138" i="17" s="1"/>
  <c r="BB138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 s="1"/>
  <c r="BB24" i="17" s="1"/>
  <c r="S51" i="5"/>
  <c r="AY52" i="17" s="1"/>
  <c r="BB52" i="17" s="1"/>
  <c r="S65" i="5"/>
  <c r="AY66" i="17" s="1"/>
  <c r="BB66" i="17" s="1"/>
  <c r="S87" i="5"/>
  <c r="AY88" i="17" s="1"/>
  <c r="BB88" i="17" s="1"/>
  <c r="S108" i="5"/>
  <c r="AY408" i="17" s="1"/>
  <c r="BB408" i="17" s="1"/>
  <c r="AY109" i="17"/>
  <c r="BB109" i="17" s="1"/>
  <c r="S130" i="5"/>
  <c r="AY131" i="17" s="1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402" i="17" s="1"/>
  <c r="BB402" i="17" s="1"/>
  <c r="AY103" i="17"/>
  <c r="BB103" i="17" s="1"/>
  <c r="S136" i="5"/>
  <c r="AY137" i="17" s="1"/>
  <c r="BB137" i="17" s="1"/>
  <c r="S145" i="5"/>
  <c r="AY445" i="17" s="1"/>
  <c r="BB445" i="17" s="1"/>
  <c r="AY146" i="17"/>
  <c r="BB146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403" i="17" s="1"/>
  <c r="BB403" i="17" s="1"/>
  <c r="S47" i="5"/>
  <c r="AY48" i="17" s="1"/>
  <c r="BB48" i="17" s="1"/>
  <c r="S16" i="5"/>
  <c r="AY17" i="17" s="1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 s="1"/>
  <c r="AR88" i="17" s="1"/>
  <c r="O99" i="5"/>
  <c r="AO399" i="17" s="1"/>
  <c r="AR399" i="17" s="1"/>
  <c r="O111" i="5"/>
  <c r="AO112" i="17" s="1"/>
  <c r="AR112" i="17" s="1"/>
  <c r="O133" i="5"/>
  <c r="AO433" i="17" s="1"/>
  <c r="AR433" i="17" s="1"/>
  <c r="AO134" i="17"/>
  <c r="AR134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 s="1"/>
  <c r="AR87" i="17" s="1"/>
  <c r="O104" i="5"/>
  <c r="AO105" i="17"/>
  <c r="AR105" i="17" s="1"/>
  <c r="AO404" i="17"/>
  <c r="AR404" i="17" s="1"/>
  <c r="O119" i="5"/>
  <c r="AO120" i="17" s="1"/>
  <c r="AR120" i="17" s="1"/>
  <c r="O134" i="5"/>
  <c r="AO434" i="17" s="1"/>
  <c r="AR434" i="17" s="1"/>
  <c r="AO135" i="17"/>
  <c r="AR135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424" i="17" s="1"/>
  <c r="BB424" i="17" s="1"/>
  <c r="S36" i="5"/>
  <c r="AY37" i="17" s="1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445" i="17" s="1"/>
  <c r="AR445" i="17" s="1"/>
  <c r="AO146" i="17"/>
  <c r="AR146" i="17" s="1"/>
  <c r="O77" i="5"/>
  <c r="AO78" i="17" s="1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 s="1"/>
  <c r="AR95" i="17" s="1"/>
  <c r="O128" i="5"/>
  <c r="AO428" i="17" s="1"/>
  <c r="AR428" i="17" s="1"/>
  <c r="AO129" i="17"/>
  <c r="AR129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 s="1"/>
  <c r="AR125" i="17" s="1"/>
  <c r="O80" i="5"/>
  <c r="AO81" i="17"/>
  <c r="AR81" i="17" s="1"/>
  <c r="O37" i="5"/>
  <c r="AO38" i="17" s="1"/>
  <c r="AR38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443" i="17" s="1"/>
  <c r="AM443" i="17" s="1"/>
  <c r="AJ144" i="17"/>
  <c r="AM144" i="17" s="1"/>
  <c r="M130" i="5"/>
  <c r="AJ131" i="17" s="1"/>
  <c r="AM131" i="17" s="1"/>
  <c r="M110" i="5"/>
  <c r="AJ111" i="17"/>
  <c r="AM111" i="17" s="1"/>
  <c r="AJ410" i="17"/>
  <c r="AM410" i="17" s="1"/>
  <c r="M100" i="5"/>
  <c r="AJ101" i="17" s="1"/>
  <c r="AM101" i="17" s="1"/>
  <c r="M87" i="5"/>
  <c r="AJ387" i="17" s="1"/>
  <c r="AM387" i="17" s="1"/>
  <c r="AJ88" i="17"/>
  <c r="AM88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 s="1"/>
  <c r="AM146" i="17" s="1"/>
  <c r="M131" i="5"/>
  <c r="AJ431" i="17" s="1"/>
  <c r="AM431" i="17" s="1"/>
  <c r="M120" i="5"/>
  <c r="AJ121" i="17" s="1"/>
  <c r="AM121" i="17" s="1"/>
  <c r="AJ420" i="17"/>
  <c r="AM420" i="17" s="1"/>
  <c r="M92" i="5"/>
  <c r="AJ93" i="17" s="1"/>
  <c r="AM93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416" i="17" s="1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J415" i="17"/>
  <c r="AM415" i="17" s="1"/>
  <c r="AJ390" i="17"/>
  <c r="AM390" i="17" s="1"/>
  <c r="AO410" i="17"/>
  <c r="AR410" i="17" s="1"/>
  <c r="AT10" i="17"/>
  <c r="AW10" i="17" s="1"/>
  <c r="AJ126" i="17"/>
  <c r="AM126" i="17" s="1"/>
  <c r="AJ428" i="17"/>
  <c r="AM428" i="17" s="1"/>
  <c r="AJ120" i="17"/>
  <c r="AM120" i="17" s="1"/>
  <c r="AJ94" i="17"/>
  <c r="AM94" i="17" s="1"/>
  <c r="AO121" i="17"/>
  <c r="AR121" i="17" s="1"/>
  <c r="AJ103" i="17"/>
  <c r="AM103" i="17" s="1"/>
  <c r="AO437" i="17"/>
  <c r="AR437" i="17" s="1"/>
  <c r="AO385" i="17"/>
  <c r="AR385" i="17" s="1"/>
  <c r="S73" i="5"/>
  <c r="AY74" i="17" s="1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/>
  <c r="AM139" i="17" s="1"/>
  <c r="AJ438" i="17"/>
  <c r="AM438" i="17" s="1"/>
  <c r="M123" i="5"/>
  <c r="AJ124" i="17" s="1"/>
  <c r="AM124" i="17" s="1"/>
  <c r="M106" i="5"/>
  <c r="AJ406" i="17" s="1"/>
  <c r="AM406" i="17" s="1"/>
  <c r="AJ107" i="17"/>
  <c r="AM107" i="17" s="1"/>
  <c r="M99" i="5"/>
  <c r="AJ100" i="17" s="1"/>
  <c r="AM100" i="17" s="1"/>
  <c r="AJ399" i="17"/>
  <c r="AM399" i="17" s="1"/>
  <c r="M86" i="5"/>
  <c r="AJ87" i="17"/>
  <c r="AM87" i="17" s="1"/>
  <c r="AJ386" i="17"/>
  <c r="AM386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M126" i="5"/>
  <c r="AJ426" i="17" s="1"/>
  <c r="AM426" i="17" s="1"/>
  <c r="M112" i="5"/>
  <c r="AJ113" i="17" s="1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 s="1"/>
  <c r="AM112" i="17" s="1"/>
  <c r="M61" i="5"/>
  <c r="AJ62" i="17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435" i="17" s="1"/>
  <c r="AM435" i="17" s="1"/>
  <c r="M117" i="5"/>
  <c r="AJ118" i="17" s="1"/>
  <c r="AM118" i="17" s="1"/>
  <c r="M103" i="5"/>
  <c r="AJ104" i="17" s="1"/>
  <c r="AM104" i="17" s="1"/>
  <c r="M98" i="5"/>
  <c r="AJ99" i="17" s="1"/>
  <c r="AM99" i="17" s="1"/>
  <c r="M84" i="5"/>
  <c r="AJ384" i="17" s="1"/>
  <c r="AM384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441" i="17" s="1"/>
  <c r="AM441" i="17" s="1"/>
  <c r="AJ142" i="17"/>
  <c r="AM142" i="17" s="1"/>
  <c r="M124" i="5"/>
  <c r="AJ125" i="17" s="1"/>
  <c r="AM125" i="17" s="1"/>
  <c r="M107" i="5"/>
  <c r="AJ108" i="17"/>
  <c r="AM108" i="17" s="1"/>
  <c r="AJ407" i="17"/>
  <c r="AM407" i="17" s="1"/>
  <c r="M85" i="5"/>
  <c r="AJ86" i="17" s="1"/>
  <c r="AM86" i="17" s="1"/>
  <c r="M74" i="5"/>
  <c r="AJ75" i="17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 s="1"/>
  <c r="AM109" i="17" s="1"/>
  <c r="M60" i="5"/>
  <c r="AJ61" i="17" s="1"/>
  <c r="AM61" i="17" s="1"/>
  <c r="M10" i="5"/>
  <c r="AJ11" i="17" s="1"/>
  <c r="AM11" i="17" s="1"/>
  <c r="AJ10" i="17"/>
  <c r="AM10" i="17" s="1"/>
  <c r="M43" i="5"/>
  <c r="AJ44" i="17" s="1"/>
  <c r="AM44" i="17" s="1"/>
  <c r="M97" i="5"/>
  <c r="AJ98" i="17" s="1"/>
  <c r="AM98" i="17" s="1"/>
  <c r="M132" i="5"/>
  <c r="AJ432" i="17" s="1"/>
  <c r="AM432" i="17" s="1"/>
  <c r="AJ133" i="17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AO442" i="17"/>
  <c r="AR442" i="17" s="1"/>
  <c r="AJ436" i="17"/>
  <c r="AM436" i="17" s="1"/>
  <c r="S329" i="5"/>
  <c r="AY330" i="17"/>
  <c r="BB330" i="17" s="1"/>
  <c r="AY629" i="17"/>
  <c r="BB629" i="17" s="1"/>
  <c r="S12" i="5"/>
  <c r="AY13" i="17" s="1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 s="1"/>
  <c r="AM135" i="17" s="1"/>
  <c r="AJ434" i="17"/>
  <c r="AM434" i="17" s="1"/>
  <c r="M114" i="5"/>
  <c r="AJ115" i="17" s="1"/>
  <c r="AM115" i="17" s="1"/>
  <c r="M101" i="5"/>
  <c r="AJ102" i="17" s="1"/>
  <c r="AM102" i="17" s="1"/>
  <c r="M95" i="5"/>
  <c r="AJ395" i="17" s="1"/>
  <c r="AM395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 s="1"/>
  <c r="AM141" i="17" s="1"/>
  <c r="M121" i="5"/>
  <c r="AJ421" i="17" s="1"/>
  <c r="AM421" i="17" s="1"/>
  <c r="M104" i="5"/>
  <c r="AJ105" i="17" s="1"/>
  <c r="AM105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 s="1"/>
  <c r="AM140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409" i="17" s="1"/>
  <c r="AM409" i="17" s="1"/>
  <c r="M142" i="5"/>
  <c r="AJ143" i="17" s="1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4" i="5"/>
  <c r="AJ4" i="17" s="1"/>
  <c r="AM4" i="17" s="1"/>
  <c r="U5" i="5"/>
  <c r="U8" i="5"/>
  <c r="U2" i="5"/>
  <c r="BD2" i="17" s="1"/>
  <c r="BG2" i="17" s="1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404" i="17" l="1"/>
  <c r="AM404" i="17" s="1"/>
  <c r="AJ417" i="17"/>
  <c r="AM417" i="17" s="1"/>
  <c r="AO436" i="17"/>
  <c r="AR436" i="17" s="1"/>
  <c r="AO409" i="17"/>
  <c r="AR409" i="17" s="1"/>
  <c r="AY443" i="17"/>
  <c r="BB443" i="17" s="1"/>
  <c r="AJ414" i="17"/>
  <c r="AM414" i="17" s="1"/>
  <c r="AJ418" i="17"/>
  <c r="AM418" i="17" s="1"/>
  <c r="AJ412" i="17"/>
  <c r="AM412" i="17" s="1"/>
  <c r="AY427" i="17"/>
  <c r="BB427" i="17" s="1"/>
  <c r="AJ442" i="17"/>
  <c r="AM442" i="17" s="1"/>
  <c r="AJ403" i="17"/>
  <c r="AM403" i="17" s="1"/>
  <c r="AJ430" i="17"/>
  <c r="AM430" i="17" s="1"/>
  <c r="AO424" i="17"/>
  <c r="AR424" i="17" s="1"/>
  <c r="AO386" i="17"/>
  <c r="AR386" i="17" s="1"/>
  <c r="AO100" i="17"/>
  <c r="AR100" i="17" s="1"/>
  <c r="AY432" i="17"/>
  <c r="BB432" i="17" s="1"/>
  <c r="AY394" i="17"/>
  <c r="BB394" i="17" s="1"/>
  <c r="AO96" i="17"/>
  <c r="AR96" i="17" s="1"/>
  <c r="AY391" i="17"/>
  <c r="BB391" i="17" s="1"/>
  <c r="AO115" i="17"/>
  <c r="AR115" i="17" s="1"/>
  <c r="AY118" i="17"/>
  <c r="BB118" i="17" s="1"/>
  <c r="AY409" i="17"/>
  <c r="BB409" i="17" s="1"/>
  <c r="AO417" i="17"/>
  <c r="AR417" i="17" s="1"/>
  <c r="AY426" i="17"/>
  <c r="BB426" i="17" s="1"/>
  <c r="AO431" i="17"/>
  <c r="AR431" i="17" s="1"/>
  <c r="AY120" i="17"/>
  <c r="BB120" i="17" s="1"/>
  <c r="AY438" i="17"/>
  <c r="BB438" i="17" s="1"/>
  <c r="AY97" i="17"/>
  <c r="BB97" i="17" s="1"/>
  <c r="AY125" i="17"/>
  <c r="BB125" i="17" s="1"/>
  <c r="AY104" i="17"/>
  <c r="BB104" i="17" s="1"/>
  <c r="AY392" i="17"/>
  <c r="BB392" i="17" s="1"/>
  <c r="AY390" i="17"/>
  <c r="BB390" i="17" s="1"/>
  <c r="AY132" i="17"/>
  <c r="BB132" i="17" s="1"/>
  <c r="AY395" i="17"/>
  <c r="BB395" i="17" s="1"/>
  <c r="AY401" i="17"/>
  <c r="BB401" i="17" s="1"/>
  <c r="AY99" i="17"/>
  <c r="BB99" i="17" s="1"/>
  <c r="AO407" i="17"/>
  <c r="AR407" i="17" s="1"/>
  <c r="AO127" i="17"/>
  <c r="AR127" i="17" s="1"/>
  <c r="AO99" i="17"/>
  <c r="AR99" i="17" s="1"/>
  <c r="AO440" i="17"/>
  <c r="AR440" i="17" s="1"/>
  <c r="AO429" i="17"/>
  <c r="AR429" i="17" s="1"/>
  <c r="AO98" i="17"/>
  <c r="AR98" i="17" s="1"/>
  <c r="AO411" i="17"/>
  <c r="AR411" i="17" s="1"/>
  <c r="AO11" i="17"/>
  <c r="AR11" i="17" s="1"/>
  <c r="AO103" i="17"/>
  <c r="AR103" i="17" s="1"/>
  <c r="AJ392" i="17"/>
  <c r="AM392" i="17" s="1"/>
  <c r="AJ96" i="17"/>
  <c r="AM96" i="17" s="1"/>
  <c r="AJ397" i="17"/>
  <c r="AM397" i="17" s="1"/>
  <c r="AJ85" i="17"/>
  <c r="AM85" i="17" s="1"/>
  <c r="AJ136" i="17"/>
  <c r="AM136" i="17" s="1"/>
  <c r="AJ388" i="17"/>
  <c r="AM388" i="17" s="1"/>
  <c r="AJ132" i="17"/>
  <c r="AM132" i="17" s="1"/>
  <c r="AJ110" i="17"/>
  <c r="AM110" i="17" s="1"/>
  <c r="AJ122" i="17"/>
  <c r="AM122" i="17" s="1"/>
  <c r="AJ424" i="17"/>
  <c r="AM424" i="17" s="1"/>
  <c r="AJ411" i="17"/>
  <c r="AM411" i="17" s="1"/>
  <c r="AJ127" i="17"/>
  <c r="AM127" i="17" s="1"/>
  <c r="AJ117" i="17"/>
  <c r="AM117" i="17" s="1"/>
  <c r="AJ439" i="17"/>
  <c r="AM439" i="17" s="1"/>
  <c r="AJ440" i="17"/>
  <c r="AM440" i="17" s="1"/>
  <c r="AJ401" i="17"/>
  <c r="AM401" i="17" s="1"/>
  <c r="AJ408" i="17"/>
  <c r="AM408" i="17" s="1"/>
  <c r="AJ385" i="17"/>
  <c r="AM385" i="17" s="1"/>
  <c r="AJ398" i="17"/>
  <c r="AM398" i="17" s="1"/>
  <c r="AJ444" i="17"/>
  <c r="AM444" i="17" s="1"/>
  <c r="AJ423" i="17"/>
  <c r="AM423" i="17" s="1"/>
  <c r="AJ437" i="17"/>
  <c r="AM437" i="17" s="1"/>
  <c r="AJ445" i="17"/>
  <c r="AM445" i="17" s="1"/>
  <c r="AJ400" i="17"/>
  <c r="AM400" i="17" s="1"/>
  <c r="AO394" i="17"/>
  <c r="AR394" i="17" s="1"/>
  <c r="AO419" i="17"/>
  <c r="AR419" i="17" s="1"/>
  <c r="AO387" i="17"/>
  <c r="AR387" i="17" s="1"/>
  <c r="AY436" i="17"/>
  <c r="BB436" i="17" s="1"/>
  <c r="AY387" i="17"/>
  <c r="BB387" i="17" s="1"/>
  <c r="AY437" i="17"/>
  <c r="BB437" i="17" s="1"/>
  <c r="AY393" i="17"/>
  <c r="BB393" i="17" s="1"/>
  <c r="AY418" i="17"/>
  <c r="BB418" i="17" s="1"/>
  <c r="AY425" i="17"/>
  <c r="BB425" i="17" s="1"/>
  <c r="AO435" i="17"/>
  <c r="AR435" i="17" s="1"/>
  <c r="AO400" i="17"/>
  <c r="AR400" i="17" s="1"/>
  <c r="AO425" i="17"/>
  <c r="AR425" i="17" s="1"/>
  <c r="AO403" i="17"/>
  <c r="AR403" i="17" s="1"/>
  <c r="AY384" i="17"/>
  <c r="BB384" i="17" s="1"/>
  <c r="AY440" i="17"/>
  <c r="BB440" i="17" s="1"/>
  <c r="AY414" i="17"/>
  <c r="BB414" i="17" s="1"/>
  <c r="AY411" i="17"/>
  <c r="BB411" i="17" s="1"/>
  <c r="AY400" i="17"/>
  <c r="BB400" i="17" s="1"/>
  <c r="AY434" i="17"/>
  <c r="BB434" i="17" s="1"/>
  <c r="AO422" i="17"/>
  <c r="AR422" i="17" s="1"/>
  <c r="AO443" i="17"/>
  <c r="AR443" i="17" s="1"/>
  <c r="AO427" i="17"/>
  <c r="AR427" i="17" s="1"/>
  <c r="AY410" i="17"/>
  <c r="BB410" i="17" s="1"/>
  <c r="AY444" i="17"/>
  <c r="BB444" i="17" s="1"/>
  <c r="AY87" i="17"/>
  <c r="BB87" i="17" s="1"/>
  <c r="AY90" i="17"/>
  <c r="BB90" i="17" s="1"/>
  <c r="AO145" i="17"/>
  <c r="AR145" i="17" s="1"/>
  <c r="AO384" i="17"/>
  <c r="AR384" i="17" s="1"/>
  <c r="AY129" i="17"/>
  <c r="BB129" i="17" s="1"/>
  <c r="AY143" i="17"/>
  <c r="BB143" i="17" s="1"/>
  <c r="AY116" i="17"/>
  <c r="BB116" i="17" s="1"/>
  <c r="AO388" i="17"/>
  <c r="AR388" i="17" s="1"/>
  <c r="AO430" i="17"/>
  <c r="AR430" i="17" s="1"/>
  <c r="AY136" i="17"/>
  <c r="BB136" i="17" s="1"/>
  <c r="AY106" i="17"/>
  <c r="BB106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<sst xmlns="http://schemas.openxmlformats.org/spreadsheetml/2006/main" count="2106" uniqueCount="122">
  <si>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</si>
  <si>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</si>
  <si>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</si>
  <si>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</si>
  <si>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</si>
  <si>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</si>
  <si>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</si>
  <si>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</si>
  <si>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</si>
  <si>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</si>
  <si>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</si>
  <si>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</si>
  <si>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</si>
  <si>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</si>
  <si>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</si>
  <si>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</si>
  <si>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</si>
  <si>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</si>
  <si>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</si>
  <si>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</si>
  <si>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</si>
  <si>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</si>
  <si>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</si>
  <si>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</si>
  <si>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</si>
  <si>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</si>
  <si>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</si>
  <si>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</si>
  <si>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</si>
  <si>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</si>
  <si>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</si>
  <si>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</si>
  <si>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</si>
  <si>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</si>
  <si>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</si>
  <si>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</si>
  <si>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</si>
  <si>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</si>
  <si>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</si>
  <si>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</si>
  <si>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</si>
  <si>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</si>
  <si>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</si>
  <si>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</si>
  <si>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</si>
  <si>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</si>
  <si>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</si>
  <si>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</si>
  <si>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</si>
  <si>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</si>
  <si>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</si>
  <si>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</si>
  <si>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</si>
  <si>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</si>
  <si>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</si>
  <si>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</si>
  <si>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</si>
  <si>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</si>
  <si>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</si>
  <si>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</si>
  <si>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</si>
  <si>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</si>
  <si>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</si>
  <si>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</si>
  <si>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</si>
  <si>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</si>
  <si>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</si>
  <si>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</si>
  <si>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</si>
  <si>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</si>
  <si>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</si>
  <si>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</si>
  <si>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</si>
  <si>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</si>
  <si>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</si>
  <si>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</si>
  <si>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</si>
  <si>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</si>
  <si>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</si>
  <si>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</si>
  <si>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</si>
  <si>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</si>
  <si>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</si>
  <si>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</si>
  <si>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</si>
  <si>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</si>
  <si>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</si>
  <si>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</si>
  <si>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101615</t>
  </si>
  <si>
    <t>BB LAS(Z)-B106B (06)</t>
  </si>
  <si>
    <t>NV-3PC: ZAYO-ENT-E-1</t>
  </si>
  <si>
    <t>BB LAS(Z)-B106B (05)</t>
  </si>
  <si>
    <t>BB LAS(Z)-B140 (01)</t>
  </si>
  <si>
    <t>Span: 103</t>
  </si>
  <si>
    <t>Span: 126</t>
  </si>
  <si>
    <t>Span: 1722</t>
  </si>
  <si>
    <t>Span: 5926</t>
  </si>
  <si>
    <t>PT NONE - DUP89-SW</t>
  </si>
  <si>
    <t>Span: 6655</t>
  </si>
  <si>
    <t>Dean Martin and Palms Center</t>
  </si>
  <si>
    <t>Las Vegas NV</t>
  </si>
  <si>
    <t>Jason Little</t>
  </si>
  <si>
    <t>1</t>
  </si>
  <si>
    <t>ISO-0175067</t>
  </si>
  <si>
    <t>F17M-0036335 FBDK/753629//ZFS</t>
  </si>
  <si>
    <t>1.1</t>
  </si>
  <si>
    <t>ISO-0185420</t>
  </si>
  <si>
    <t>F17E-0035792 ETYX/142318//ZYO</t>
  </si>
  <si>
    <t>1.2</t>
  </si>
  <si>
    <t>2</t>
  </si>
  <si>
    <t>ISO-0182645</t>
  </si>
  <si>
    <t>Hyper Networks LLC Ring</t>
  </si>
  <si>
    <t>4</t>
  </si>
  <si>
    <t>3</t>
  </si>
  <si>
    <t>Travis Shelton</t>
  </si>
  <si>
    <t>6</t>
  </si>
  <si>
    <t>2.0</t>
  </si>
  <si>
    <t>ISO-0236533</t>
  </si>
  <si>
    <t>Cirque du Soleil</t>
  </si>
  <si>
    <t>8</t>
  </si>
  <si>
    <t>3.0</t>
  </si>
  <si>
    <t>ISO-0233577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</si>
</sst>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114300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4" zoomScale="85" zoomScaleNormal="85" workbookViewId="0">
      <selection activeCell="J10" sqref="J10"/>
    </sheetView>
  </sheetViews>
  <sheetFormatPr defaultColWidth="9.140625"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88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116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99</v>
      </c>
      <c r="E41" s="288" t="s">
        <v>100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LAS(Z)-B106B (05)  BB LAS(Z)-B106B (06)   NV-3PC: ZAYO-ENT-E-1  BB LAS(Z)-B140 (01)   PT NONE - DUP89-SW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114</v>
      </c>
      <c r="C50" s="320">
        <v>43074</v>
      </c>
      <c r="D50" s="322" t="s">
        <v>101</v>
      </c>
      <c r="E50" s="323" t="str">
        <f>J10</f>
        <v>2.0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101615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B18" sqref="B18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>
        <f>IF($B$41&gt;=K2,K2,"")</f>
        <v>1</v>
      </c>
      <c r="U2" s="4" t="e">
        <f>IF(T2="","",IF(T2&lt;=$E$43,VLOOKUP($E$42,$I$1:$J$4,2,FALSE),VLOOKUP($F$42,$I$1:$J$4,2,FALSE)))</f>
        <v>#N/A</v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101615</v>
      </c>
      <c r="C3" s="13"/>
      <c r="D3" s="13"/>
      <c r="E3" s="343" t="str">
        <f>'Cover - Location Info'!J10</f>
        <v>2.0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91</v>
      </c>
      <c r="D11" s="333" t="s">
        <v>93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89</v>
      </c>
      <c r="D18" s="333" t="s">
        <v>94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144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90</v>
      </c>
      <c r="D25" s="333" t="s">
        <v>95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>
        <f t="shared" si="6"/>
        <v>25</v>
      </c>
      <c r="S26" s="4" t="e">
        <f t="shared" si="7"/>
        <v>#N/A</v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72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>
        <f t="shared" si="6"/>
        <v>26</v>
      </c>
      <c r="S27" s="4" t="e">
        <f t="shared" si="7"/>
        <v>#N/A</v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>
        <f t="shared" si="6"/>
        <v>27</v>
      </c>
      <c r="S28" s="4" t="e">
        <f t="shared" si="7"/>
        <v>#N/A</v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>
        <f t="shared" si="6"/>
        <v>28</v>
      </c>
      <c r="S29" s="4" t="e">
        <f t="shared" si="7"/>
        <v>#N/A</v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>
        <f t="shared" si="6"/>
        <v>29</v>
      </c>
      <c r="S30" s="4" t="e">
        <f t="shared" si="7"/>
        <v>#N/A</v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>
        <f t="shared" si="6"/>
        <v>30</v>
      </c>
      <c r="S31" s="4" t="e">
        <f t="shared" si="7"/>
        <v>#N/A</v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92</v>
      </c>
      <c r="D32" s="333" t="s">
        <v>96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>
        <f t="shared" si="6"/>
        <v>31</v>
      </c>
      <c r="S32" s="4" t="e">
        <f t="shared" si="7"/>
        <v>#N/A</v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>
        <f t="shared" si="6"/>
        <v>32</v>
      </c>
      <c r="S33" s="4" t="e">
        <f t="shared" si="7"/>
        <v>#N/A</v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144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>
        <f t="shared" si="6"/>
        <v>33</v>
      </c>
      <c r="S34" s="4" t="e">
        <f t="shared" si="7"/>
        <v>#N/A</v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>
        <f t="shared" si="6"/>
        <v>34</v>
      </c>
      <c r="S35" s="4" t="e">
        <f t="shared" si="7"/>
        <v>#N/A</v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>
        <f t="shared" si="6"/>
        <v>35</v>
      </c>
      <c r="S36" s="4" t="e">
        <f t="shared" si="7"/>
        <v>#N/A</v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>
        <f t="shared" si="6"/>
        <v>36</v>
      </c>
      <c r="S37" s="4" t="e">
        <f t="shared" si="7"/>
        <v>#N/A</v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>
        <f t="shared" si="6"/>
        <v>37</v>
      </c>
      <c r="S38" s="4" t="e">
        <f t="shared" si="7"/>
        <v>#N/A</v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97</v>
      </c>
      <c r="D39" s="333" t="s">
        <v>98</v>
      </c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>
        <f t="shared" si="6"/>
        <v>38</v>
      </c>
      <c r="S39" s="4" t="e">
        <f t="shared" si="7"/>
        <v>#N/A</v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>
        <f t="shared" si="6"/>
        <v>39</v>
      </c>
      <c r="S40" s="4" t="e">
        <f t="shared" si="7"/>
        <v>#N/A</v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1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>
        <f t="shared" si="6"/>
        <v>40</v>
      </c>
      <c r="S41" s="4" t="e">
        <f t="shared" si="7"/>
        <v>#N/A</v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>
        <f t="shared" si="6"/>
        <v>41</v>
      </c>
      <c r="S42" s="4" t="e">
        <f t="shared" si="7"/>
        <v>#N/A</v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>
        <f t="shared" si="6"/>
        <v>42</v>
      </c>
      <c r="S43" s="4" t="e">
        <f t="shared" si="7"/>
        <v>#N/A</v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>
        <f t="shared" si="6"/>
        <v>43</v>
      </c>
      <c r="S44" s="4" t="e">
        <f t="shared" si="7"/>
        <v>#N/A</v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>
        <f t="shared" si="6"/>
        <v>44</v>
      </c>
      <c r="S45" s="4" t="e">
        <f t="shared" si="7"/>
        <v>#N/A</v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>
        <f t="shared" si="6"/>
        <v>45</v>
      </c>
      <c r="S46" s="4" t="e">
        <f t="shared" si="7"/>
        <v>#N/A</v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>
        <f t="shared" si="6"/>
        <v>46</v>
      </c>
      <c r="S47" s="4" t="e">
        <f t="shared" si="7"/>
        <v>#N/A</v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>
        <f t="shared" si="6"/>
        <v>47</v>
      </c>
      <c r="S48" s="4" t="e">
        <f t="shared" si="7"/>
        <v>#N/A</v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>
        <f t="shared" si="6"/>
        <v>48</v>
      </c>
      <c r="S49" s="4" t="e">
        <f t="shared" si="7"/>
        <v>#N/A</v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>
        <f t="shared" si="6"/>
        <v>49</v>
      </c>
      <c r="S50" s="4" t="e">
        <f t="shared" si="7"/>
        <v>#N/A</v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>
        <f t="shared" si="6"/>
        <v>50</v>
      </c>
      <c r="S51" s="4" t="e">
        <f t="shared" si="7"/>
        <v>#N/A</v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>
        <f t="shared" si="6"/>
        <v>51</v>
      </c>
      <c r="S52" s="4" t="e">
        <f t="shared" si="7"/>
        <v>#N/A</v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>
        <f t="shared" si="6"/>
        <v>52</v>
      </c>
      <c r="S53" s="4" t="e">
        <f t="shared" si="7"/>
        <v>#N/A</v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>
        <f t="shared" si="6"/>
        <v>53</v>
      </c>
      <c r="S54" s="4" t="e">
        <f t="shared" si="7"/>
        <v>#N/A</v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>
        <f t="shared" si="6"/>
        <v>54</v>
      </c>
      <c r="S55" s="4" t="e">
        <f t="shared" si="7"/>
        <v>#N/A</v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>
        <f t="shared" si="6"/>
        <v>55</v>
      </c>
      <c r="S56" s="4" t="e">
        <f t="shared" si="7"/>
        <v>#N/A</v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>
        <f t="shared" si="6"/>
        <v>56</v>
      </c>
      <c r="S57" s="4" t="e">
        <f t="shared" si="7"/>
        <v>#N/A</v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>
        <f t="shared" si="6"/>
        <v>57</v>
      </c>
      <c r="S58" s="4" t="e">
        <f t="shared" si="7"/>
        <v>#N/A</v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>
        <f t="shared" si="6"/>
        <v>58</v>
      </c>
      <c r="S59" s="4" t="e">
        <f t="shared" si="7"/>
        <v>#N/A</v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>
        <f t="shared" si="6"/>
        <v>59</v>
      </c>
      <c r="S60" s="4" t="e">
        <f t="shared" si="7"/>
        <v>#N/A</v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>
        <f t="shared" si="6"/>
        <v>60</v>
      </c>
      <c r="S61" s="4" t="e">
        <f t="shared" si="7"/>
        <v>#N/A</v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>
        <f t="shared" si="6"/>
        <v>61</v>
      </c>
      <c r="S62" s="4" t="e">
        <f t="shared" si="7"/>
        <v>#N/A</v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>
        <f t="shared" si="6"/>
        <v>62</v>
      </c>
      <c r="S63" s="4" t="e">
        <f t="shared" si="7"/>
        <v>#N/A</v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>
        <f t="shared" si="6"/>
        <v>63</v>
      </c>
      <c r="S64" s="4" t="e">
        <f t="shared" si="7"/>
        <v>#N/A</v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>
        <f t="shared" si="6"/>
        <v>64</v>
      </c>
      <c r="S65" s="4" t="e">
        <f t="shared" si="7"/>
        <v>#N/A</v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>
        <f t="shared" si="6"/>
        <v>65</v>
      </c>
      <c r="S66" s="4" t="e">
        <f t="shared" si="7"/>
        <v>#N/A</v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>
        <f t="shared" ref="R67:R130" si="18">IF($B$34&gt;=K67,K67,"")</f>
        <v>66</v>
      </c>
      <c r="S67" s="4" t="e">
        <f t="shared" ref="S67:S130" si="19">IF(R67="","",IF(R67&lt;=$E$36,VLOOKUP($E$35,$I$1:$J$4,2,FALSE),VLOOKUP($F$35,$I$1:$J$4,2,FALSE)))</f>
        <v>#N/A</v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>
        <f t="shared" si="18"/>
        <v>67</v>
      </c>
      <c r="S68" s="4" t="e">
        <f t="shared" si="19"/>
        <v>#N/A</v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>
        <f t="shared" si="18"/>
        <v>68</v>
      </c>
      <c r="S69" s="4" t="e">
        <f t="shared" si="19"/>
        <v>#N/A</v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>
        <f t="shared" si="18"/>
        <v>69</v>
      </c>
      <c r="S70" s="4" t="e">
        <f t="shared" si="19"/>
        <v>#N/A</v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>
        <f t="shared" si="18"/>
        <v>70</v>
      </c>
      <c r="S71" s="4" t="e">
        <f t="shared" si="19"/>
        <v>#N/A</v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>
        <f t="shared" si="18"/>
        <v>71</v>
      </c>
      <c r="S72" s="4" t="e">
        <f t="shared" si="19"/>
        <v>#N/A</v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>
        <f t="shared" si="18"/>
        <v>72</v>
      </c>
      <c r="S73" s="4" t="e">
        <f t="shared" si="19"/>
        <v>#N/A</v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>
        <f t="shared" si="18"/>
        <v>73</v>
      </c>
      <c r="S74" s="4" t="e">
        <f t="shared" si="19"/>
        <v>#N/A</v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>
        <f t="shared" si="18"/>
        <v>74</v>
      </c>
      <c r="S75" s="4" t="e">
        <f t="shared" si="19"/>
        <v>#N/A</v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>
        <f t="shared" si="18"/>
        <v>75</v>
      </c>
      <c r="S76" s="4" t="e">
        <f t="shared" si="19"/>
        <v>#N/A</v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>
        <f t="shared" si="18"/>
        <v>76</v>
      </c>
      <c r="S77" s="4" t="e">
        <f t="shared" si="19"/>
        <v>#N/A</v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>
        <f t="shared" si="18"/>
        <v>77</v>
      </c>
      <c r="S78" s="4" t="e">
        <f t="shared" si="19"/>
        <v>#N/A</v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>
        <f t="shared" si="18"/>
        <v>78</v>
      </c>
      <c r="S79" s="4" t="e">
        <f t="shared" si="19"/>
        <v>#N/A</v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>
        <f t="shared" si="18"/>
        <v>79</v>
      </c>
      <c r="S80" s="4" t="e">
        <f t="shared" si="19"/>
        <v>#N/A</v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>
        <f t="shared" si="18"/>
        <v>80</v>
      </c>
      <c r="S81" s="4" t="e">
        <f t="shared" si="19"/>
        <v>#N/A</v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>
        <f t="shared" si="18"/>
        <v>81</v>
      </c>
      <c r="S82" s="4" t="e">
        <f t="shared" si="19"/>
        <v>#N/A</v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>
        <f t="shared" si="18"/>
        <v>82</v>
      </c>
      <c r="S83" s="4" t="e">
        <f t="shared" si="19"/>
        <v>#N/A</v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>
        <f t="shared" si="18"/>
        <v>83</v>
      </c>
      <c r="S84" s="4" t="e">
        <f t="shared" si="19"/>
        <v>#N/A</v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>
        <f t="shared" si="18"/>
        <v>84</v>
      </c>
      <c r="S85" s="4" t="e">
        <f t="shared" si="19"/>
        <v>#N/A</v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>
        <f t="shared" si="18"/>
        <v>85</v>
      </c>
      <c r="S86" s="4" t="e">
        <f t="shared" si="19"/>
        <v>#N/A</v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>
        <f t="shared" si="18"/>
        <v>86</v>
      </c>
      <c r="S87" s="4" t="e">
        <f t="shared" si="19"/>
        <v>#N/A</v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>
        <f t="shared" si="18"/>
        <v>87</v>
      </c>
      <c r="S88" s="4" t="e">
        <f t="shared" si="19"/>
        <v>#N/A</v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>
        <f t="shared" si="18"/>
        <v>88</v>
      </c>
      <c r="S89" s="4" t="e">
        <f t="shared" si="19"/>
        <v>#N/A</v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>
        <f t="shared" si="18"/>
        <v>89</v>
      </c>
      <c r="S90" s="4" t="e">
        <f t="shared" si="19"/>
        <v>#N/A</v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>
        <f t="shared" si="18"/>
        <v>90</v>
      </c>
      <c r="S91" s="4" t="e">
        <f t="shared" si="19"/>
        <v>#N/A</v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>
        <f t="shared" si="18"/>
        <v>91</v>
      </c>
      <c r="S92" s="4" t="e">
        <f t="shared" si="19"/>
        <v>#N/A</v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>
        <f t="shared" si="18"/>
        <v>92</v>
      </c>
      <c r="S93" s="4" t="e">
        <f t="shared" si="19"/>
        <v>#N/A</v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>
        <f t="shared" si="18"/>
        <v>93</v>
      </c>
      <c r="S94" s="4" t="e">
        <f t="shared" si="19"/>
        <v>#N/A</v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>
        <f t="shared" si="18"/>
        <v>94</v>
      </c>
      <c r="S95" s="4" t="e">
        <f t="shared" si="19"/>
        <v>#N/A</v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>
        <f t="shared" si="18"/>
        <v>95</v>
      </c>
      <c r="S96" s="4" t="e">
        <f t="shared" si="19"/>
        <v>#N/A</v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>
        <f t="shared" si="18"/>
        <v>96</v>
      </c>
      <c r="S97" s="4" t="e">
        <f t="shared" si="19"/>
        <v>#N/A</v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>
        <f t="shared" si="18"/>
        <v>97</v>
      </c>
      <c r="S98" s="4" t="e">
        <f t="shared" si="19"/>
        <v>#N/A</v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>
        <f t="shared" si="18"/>
        <v>98</v>
      </c>
      <c r="S99" s="4" t="e">
        <f t="shared" si="19"/>
        <v>#N/A</v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>
        <f t="shared" si="18"/>
        <v>99</v>
      </c>
      <c r="S100" s="4" t="e">
        <f t="shared" si="19"/>
        <v>#N/A</v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>
        <f t="shared" si="18"/>
        <v>100</v>
      </c>
      <c r="S101" s="4" t="e">
        <f t="shared" si="19"/>
        <v>#N/A</v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>
        <f t="shared" si="18"/>
        <v>101</v>
      </c>
      <c r="S102" s="4" t="e">
        <f t="shared" si="19"/>
        <v>#N/A</v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>
        <f t="shared" si="18"/>
        <v>102</v>
      </c>
      <c r="S103" s="4" t="e">
        <f t="shared" si="19"/>
        <v>#N/A</v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>
        <f t="shared" si="18"/>
        <v>103</v>
      </c>
      <c r="S104" s="4" t="e">
        <f t="shared" si="19"/>
        <v>#N/A</v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>
        <f t="shared" si="18"/>
        <v>104</v>
      </c>
      <c r="S105" s="4" t="e">
        <f t="shared" si="19"/>
        <v>#N/A</v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>
        <f t="shared" si="18"/>
        <v>105</v>
      </c>
      <c r="S106" s="4" t="e">
        <f t="shared" si="19"/>
        <v>#N/A</v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>
        <f t="shared" si="18"/>
        <v>106</v>
      </c>
      <c r="S107" s="4" t="e">
        <f t="shared" si="19"/>
        <v>#N/A</v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>
        <f t="shared" si="18"/>
        <v>107</v>
      </c>
      <c r="S108" s="4" t="e">
        <f t="shared" si="19"/>
        <v>#N/A</v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>
        <f t="shared" si="18"/>
        <v>108</v>
      </c>
      <c r="S109" s="4" t="e">
        <f t="shared" si="19"/>
        <v>#N/A</v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>
        <f t="shared" si="18"/>
        <v>109</v>
      </c>
      <c r="S110" s="4" t="e">
        <f t="shared" si="19"/>
        <v>#N/A</v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>
        <f t="shared" si="18"/>
        <v>110</v>
      </c>
      <c r="S111" s="4" t="e">
        <f t="shared" si="19"/>
        <v>#N/A</v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>
        <f t="shared" si="18"/>
        <v>111</v>
      </c>
      <c r="S112" s="4" t="e">
        <f t="shared" si="19"/>
        <v>#N/A</v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>
        <f t="shared" si="18"/>
        <v>112</v>
      </c>
      <c r="S113" s="4" t="e">
        <f t="shared" si="19"/>
        <v>#N/A</v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>
        <f t="shared" si="18"/>
        <v>113</v>
      </c>
      <c r="S114" s="4" t="e">
        <f t="shared" si="19"/>
        <v>#N/A</v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>
        <f t="shared" si="18"/>
        <v>114</v>
      </c>
      <c r="S115" s="4" t="e">
        <f t="shared" si="19"/>
        <v>#N/A</v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>
        <f t="shared" si="18"/>
        <v>115</v>
      </c>
      <c r="S116" s="4" t="e">
        <f t="shared" si="19"/>
        <v>#N/A</v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>
        <f t="shared" si="18"/>
        <v>116</v>
      </c>
      <c r="S117" s="4" t="e">
        <f t="shared" si="19"/>
        <v>#N/A</v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>
        <f t="shared" si="18"/>
        <v>117</v>
      </c>
      <c r="S118" s="4" t="e">
        <f t="shared" si="19"/>
        <v>#N/A</v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>
        <f t="shared" si="18"/>
        <v>118</v>
      </c>
      <c r="S119" s="4" t="e">
        <f t="shared" si="19"/>
        <v>#N/A</v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>
        <f t="shared" si="18"/>
        <v>119</v>
      </c>
      <c r="S120" s="4" t="e">
        <f t="shared" si="19"/>
        <v>#N/A</v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>
        <f t="shared" si="18"/>
        <v>120</v>
      </c>
      <c r="S121" s="4" t="e">
        <f t="shared" si="19"/>
        <v>#N/A</v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>
        <f t="shared" si="18"/>
        <v>121</v>
      </c>
      <c r="S122" s="4" t="e">
        <f t="shared" si="19"/>
        <v>#N/A</v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>
        <f t="shared" si="18"/>
        <v>122</v>
      </c>
      <c r="S123" s="4" t="e">
        <f t="shared" si="19"/>
        <v>#N/A</v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>
        <f t="shared" si="18"/>
        <v>123</v>
      </c>
      <c r="S124" s="4" t="e">
        <f t="shared" si="19"/>
        <v>#N/A</v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>
        <f t="shared" si="18"/>
        <v>124</v>
      </c>
      <c r="S125" s="4" t="e">
        <f t="shared" si="19"/>
        <v>#N/A</v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>
        <f t="shared" si="18"/>
        <v>125</v>
      </c>
      <c r="S126" s="4" t="e">
        <f t="shared" si="19"/>
        <v>#N/A</v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>
        <f t="shared" si="18"/>
        <v>126</v>
      </c>
      <c r="S127" s="4" t="e">
        <f t="shared" si="19"/>
        <v>#N/A</v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>
        <f t="shared" si="18"/>
        <v>127</v>
      </c>
      <c r="S128" s="4" t="e">
        <f t="shared" si="19"/>
        <v>#N/A</v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>
        <f t="shared" si="18"/>
        <v>128</v>
      </c>
      <c r="S129" s="4" t="e">
        <f t="shared" si="19"/>
        <v>#N/A</v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>
        <f t="shared" si="18"/>
        <v>129</v>
      </c>
      <c r="S130" s="4" t="e">
        <f t="shared" si="19"/>
        <v>#N/A</v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>
        <f t="shared" ref="R131:R194" si="30">IF($B$34&gt;=K131,K131,"")</f>
        <v>130</v>
      </c>
      <c r="S131" s="4" t="e">
        <f t="shared" ref="S131:S194" si="31">IF(R131="","",IF(R131&lt;=$E$36,VLOOKUP($E$35,$I$1:$J$4,2,FALSE),VLOOKUP($F$35,$I$1:$J$4,2,FALSE)))</f>
        <v>#N/A</v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>
        <f t="shared" si="30"/>
        <v>131</v>
      </c>
      <c r="S132" s="4" t="e">
        <f t="shared" si="31"/>
        <v>#N/A</v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>
        <f t="shared" si="30"/>
        <v>132</v>
      </c>
      <c r="S133" s="4" t="e">
        <f t="shared" si="31"/>
        <v>#N/A</v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>
        <f t="shared" si="30"/>
        <v>133</v>
      </c>
      <c r="S134" s="4" t="e">
        <f t="shared" si="31"/>
        <v>#N/A</v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>
        <f t="shared" si="30"/>
        <v>134</v>
      </c>
      <c r="S135" s="4" t="e">
        <f t="shared" si="31"/>
        <v>#N/A</v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>
        <f t="shared" si="30"/>
        <v>135</v>
      </c>
      <c r="S136" s="4" t="e">
        <f t="shared" si="31"/>
        <v>#N/A</v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>
        <f t="shared" si="30"/>
        <v>136</v>
      </c>
      <c r="S137" s="4" t="e">
        <f t="shared" si="31"/>
        <v>#N/A</v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>
        <f t="shared" si="30"/>
        <v>137</v>
      </c>
      <c r="S138" s="4" t="e">
        <f t="shared" si="31"/>
        <v>#N/A</v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>
        <f t="shared" si="30"/>
        <v>138</v>
      </c>
      <c r="S139" s="4" t="e">
        <f t="shared" si="31"/>
        <v>#N/A</v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>
        <f t="shared" si="30"/>
        <v>139</v>
      </c>
      <c r="S140" s="4" t="e">
        <f t="shared" si="31"/>
        <v>#N/A</v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>
        <f t="shared" si="30"/>
        <v>140</v>
      </c>
      <c r="S141" s="4" t="e">
        <f t="shared" si="31"/>
        <v>#N/A</v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>
        <f t="shared" si="30"/>
        <v>141</v>
      </c>
      <c r="S142" s="4" t="e">
        <f t="shared" si="31"/>
        <v>#N/A</v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>
        <f t="shared" si="30"/>
        <v>142</v>
      </c>
      <c r="S143" s="4" t="e">
        <f t="shared" si="31"/>
        <v>#N/A</v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>
        <f t="shared" si="30"/>
        <v>143</v>
      </c>
      <c r="S144" s="4" t="e">
        <f t="shared" si="31"/>
        <v>#N/A</v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>
        <f t="shared" si="30"/>
        <v>144</v>
      </c>
      <c r="S145" s="4" t="e">
        <f t="shared" si="31"/>
        <v>#N/A</v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101615</v>
      </c>
      <c r="C3" s="52"/>
      <c r="D3" s="52"/>
      <c r="E3" s="52"/>
      <c r="F3" s="377" t="str">
        <f>'Cover - Location Info'!J10</f>
        <v>2.0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101615</v>
      </c>
      <c r="C3" s="13"/>
      <c r="D3" s="13"/>
      <c r="E3" s="343" t="str">
        <f>'Cover - Location Info'!J10</f>
        <v>2.0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W31" sqref="W31"/>
    </sheetView>
  </sheetViews>
  <sheetFormatPr defaultColWidth="9.140625"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LAS(Z)-B106B (05)</v>
      </c>
      <c r="AI1" s="165" t="s">
        <v>8</v>
      </c>
      <c r="AJ1" s="166" t="s">
        <v>0</v>
      </c>
      <c r="AM1" s="166" t="str">
        <f>AF1</f>
        <v>[A] BB LAS(Z)-B106B (05)</v>
      </c>
      <c r="AN1" s="166" t="s">
        <v>8</v>
      </c>
      <c r="AO1" s="166" t="s">
        <v>1</v>
      </c>
      <c r="AR1" s="166" t="str">
        <f>AF2</f>
        <v>[B] BB LAS(Z)-B106B (06)</v>
      </c>
      <c r="AS1" s="166" t="s">
        <v>8</v>
      </c>
      <c r="AT1" s="166" t="s">
        <v>2</v>
      </c>
      <c r="AW1" s="166" t="str">
        <f>AF3</f>
        <v>[C] NV-3PC: ZAYO-ENT-E-1</v>
      </c>
      <c r="AX1" s="166" t="s">
        <v>8</v>
      </c>
      <c r="AY1" s="166" t="s">
        <v>3</v>
      </c>
      <c r="BB1" s="166" t="str">
        <f>AF4</f>
        <v>[D] BB LAS(Z)-B140 (01)</v>
      </c>
      <c r="BC1" s="166" t="s">
        <v>8</v>
      </c>
      <c r="BD1" s="166" t="s">
        <v>4</v>
      </c>
      <c r="BG1" s="166" t="str">
        <f>AF5</f>
        <v>[E] PT NONE - DUP89-SW</v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LAS(Z)-B106B (06)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e">
        <f>IF('Cable Info'!T2="","",CONCATENATE('Cable Info'!T2," - ",'Cable Info'!U2))</f>
        <v>#N/A</v>
      </c>
      <c r="BG2" s="166" t="e">
        <f>IF(BE2="",BD2,CONCATENATE(BD2,"  &lt;=&gt; ",BE2," ",BF2))</f>
        <v>#N/A</v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101615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2.0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NV-3PC: ZAYO-ENT-E-1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BB LAS(Z)-B140 (01)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>[E] PT NONE - DUP89-SW</v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LAS(Z)-B106B (05)</v>
      </c>
      <c r="D10" s="207">
        <v>1</v>
      </c>
      <c r="E10" s="208">
        <v>1</v>
      </c>
      <c r="F10" s="209" t="s">
        <v>37</v>
      </c>
      <c r="G10" s="210">
        <v>2</v>
      </c>
      <c r="H10" s="206">
        <f>IF(G10="","",((E10-G10)-1)*(-1))</f>
        <v>2</v>
      </c>
      <c r="I10" s="211">
        <v>1</v>
      </c>
      <c r="J10" s="209" t="s">
        <v>37</v>
      </c>
      <c r="K10" s="212">
        <v>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LAS(Z)-B106B (06)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LAS(Z)-B106B (05)</v>
      </c>
      <c r="D11" s="223">
        <v>1</v>
      </c>
      <c r="E11" s="224">
        <v>7</v>
      </c>
      <c r="F11" s="225" t="s">
        <v>37</v>
      </c>
      <c r="G11" s="226">
        <v>8</v>
      </c>
      <c r="H11" s="222">
        <f>IF(G11="","",((E11-G11)-1)*(-1))</f>
        <v>2</v>
      </c>
      <c r="I11" s="227">
        <v>7</v>
      </c>
      <c r="J11" s="225" t="s">
        <v>37</v>
      </c>
      <c r="K11" s="228">
        <v>8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BB LAS(Z)-B106B (06)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LAS(Z)-B106B (05)</v>
      </c>
      <c r="D12" s="223">
        <v>1</v>
      </c>
      <c r="E12" s="224">
        <v>11</v>
      </c>
      <c r="F12" s="225" t="s">
        <v>37</v>
      </c>
      <c r="G12" s="226">
        <v>12</v>
      </c>
      <c r="H12" s="222">
        <f t="shared" ref="H12:H75" si="12">IF(G12="","",((E12-G12)-1)*(-1))</f>
        <v>2</v>
      </c>
      <c r="I12" s="227">
        <v>11</v>
      </c>
      <c r="J12" s="225" t="s">
        <v>37</v>
      </c>
      <c r="K12" s="228">
        <v>12</v>
      </c>
      <c r="L12" s="229">
        <v>1</v>
      </c>
      <c r="M12" s="222" t="str">
        <f>IFERROR(IF(P12="","",IF((COUNTIF('Cable Info'!$B$11:$C$50,P12)=0),VLOOKUP(P12,'Cable Info (2)'!$B$11:$C$50,2,FALSE),(VLOOKUP(P12,'Cable Info'!$B$11:$C$50,2,FALSE)))),"NO SUCH EXIT")</f>
        <v>BB LAS(Z)-B106B (06)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LAS(Z)-B106B (05)</v>
      </c>
      <c r="D13" s="223">
        <v>4</v>
      </c>
      <c r="E13" s="224">
        <v>41</v>
      </c>
      <c r="F13" s="225" t="s">
        <v>37</v>
      </c>
      <c r="G13" s="226">
        <v>48</v>
      </c>
      <c r="H13" s="222">
        <f t="shared" si="12"/>
        <v>8</v>
      </c>
      <c r="I13" s="227">
        <v>41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LAS(Z)-B106B (06)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8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LAS(Z)-B106B (05)</v>
      </c>
      <c r="D14" s="223">
        <v>5</v>
      </c>
      <c r="E14" s="224">
        <v>49</v>
      </c>
      <c r="F14" s="225" t="s">
        <v>37</v>
      </c>
      <c r="G14" s="226">
        <v>54</v>
      </c>
      <c r="H14" s="222">
        <f t="shared" si="12"/>
        <v>6</v>
      </c>
      <c r="I14" s="227">
        <v>49</v>
      </c>
      <c r="J14" s="225" t="s">
        <v>37</v>
      </c>
      <c r="K14" s="228">
        <v>54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LAS(Z)-B106B (06)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6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LAS(Z)-B106B (05)</v>
      </c>
      <c r="D15" s="223">
        <v>6</v>
      </c>
      <c r="E15" s="224">
        <v>63</v>
      </c>
      <c r="F15" s="225" t="s">
        <v>37</v>
      </c>
      <c r="G15" s="226">
        <v>70</v>
      </c>
      <c r="H15" s="222">
        <f t="shared" si="12"/>
        <v>8</v>
      </c>
      <c r="I15" s="227">
        <v>63</v>
      </c>
      <c r="J15" s="225" t="s">
        <v>37</v>
      </c>
      <c r="K15" s="228">
        <v>70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LAS(Z)-B106B (06)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8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LAS(Z)-B106B (05)</v>
      </c>
      <c r="D16" s="223">
        <v>7</v>
      </c>
      <c r="E16" s="224">
        <v>73</v>
      </c>
      <c r="F16" s="225" t="s">
        <v>37</v>
      </c>
      <c r="G16" s="226">
        <v>78</v>
      </c>
      <c r="H16" s="222">
        <f t="shared" si="12"/>
        <v>6</v>
      </c>
      <c r="I16" s="227">
        <v>73</v>
      </c>
      <c r="J16" s="225" t="s">
        <v>37</v>
      </c>
      <c r="K16" s="228">
        <v>78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LAS(Z)-B106B (06)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6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LAS(Z)-B106B (05)</v>
      </c>
      <c r="D17" s="223">
        <v>8</v>
      </c>
      <c r="E17" s="224">
        <v>85</v>
      </c>
      <c r="F17" s="225" t="s">
        <v>37</v>
      </c>
      <c r="G17" s="226">
        <v>96</v>
      </c>
      <c r="H17" s="222">
        <f t="shared" si="12"/>
        <v>12</v>
      </c>
      <c r="I17" s="227">
        <v>85</v>
      </c>
      <c r="J17" s="225" t="s">
        <v>37</v>
      </c>
      <c r="K17" s="228">
        <v>96</v>
      </c>
      <c r="L17" s="229">
        <v>8</v>
      </c>
      <c r="M17" s="222" t="str">
        <f>IFERROR(IF(P17="","",IF((COUNTIF('Cable Info'!$B$11:$C$50,P17)=0),VLOOKUP(P17,'Cable Info (2)'!$B$11:$C$50,2,FALSE),(VLOOKUP(P17,'Cable Info'!$B$11:$C$50,2,FALSE)))),"NO SUCH EXIT")</f>
        <v>BB LAS(Z)-B106B (06)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LAS(Z)-B106B (05)</v>
      </c>
      <c r="D18" s="223">
        <v>9</v>
      </c>
      <c r="E18" s="224">
        <v>97</v>
      </c>
      <c r="F18" s="225" t="s">
        <v>37</v>
      </c>
      <c r="G18" s="226">
        <v>108</v>
      </c>
      <c r="H18" s="222">
        <f t="shared" si="12"/>
        <v>12</v>
      </c>
      <c r="I18" s="227">
        <v>97</v>
      </c>
      <c r="J18" s="225" t="s">
        <v>37</v>
      </c>
      <c r="K18" s="228">
        <v>108</v>
      </c>
      <c r="L18" s="229">
        <v>9</v>
      </c>
      <c r="M18" s="222" t="str">
        <f>IFERROR(IF(P18="","",IF((COUNTIF('Cable Info'!$B$11:$C$50,P18)=0),VLOOKUP(P18,'Cable Info (2)'!$B$11:$C$50,2,FALSE),(VLOOKUP(P18,'Cable Info'!$B$11:$C$50,2,FALSE)))),"NO SUCH EXIT")</f>
        <v>BB LAS(Z)-B106B (06)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LAS(Z)-B106B (05)</v>
      </c>
      <c r="D19" s="223">
        <v>10</v>
      </c>
      <c r="E19" s="224">
        <v>109</v>
      </c>
      <c r="F19" s="225" t="s">
        <v>37</v>
      </c>
      <c r="G19" s="226">
        <v>120</v>
      </c>
      <c r="H19" s="222">
        <f t="shared" si="12"/>
        <v>12</v>
      </c>
      <c r="I19" s="227">
        <v>109</v>
      </c>
      <c r="J19" s="225" t="s">
        <v>37</v>
      </c>
      <c r="K19" s="228">
        <v>120</v>
      </c>
      <c r="L19" s="229">
        <v>10</v>
      </c>
      <c r="M19" s="222" t="str">
        <f>IFERROR(IF(P19="","",IF((COUNTIF('Cable Info'!$B$11:$C$50,P19)=0),VLOOKUP(P19,'Cable Info (2)'!$B$11:$C$50,2,FALSE),(VLOOKUP(P19,'Cable Info'!$B$11:$C$50,2,FALSE)))),"NO SUCH EXIT")</f>
        <v>BB LAS(Z)-B106B (06)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LAS(Z)-B106B (05)</v>
      </c>
      <c r="D20" s="223">
        <v>11</v>
      </c>
      <c r="E20" s="224">
        <v>121</v>
      </c>
      <c r="F20" s="225" t="s">
        <v>37</v>
      </c>
      <c r="G20" s="226">
        <v>126</v>
      </c>
      <c r="H20" s="222">
        <f t="shared" si="12"/>
        <v>6</v>
      </c>
      <c r="I20" s="227">
        <v>121</v>
      </c>
      <c r="J20" s="225" t="s">
        <v>37</v>
      </c>
      <c r="K20" s="228">
        <v>126</v>
      </c>
      <c r="L20" s="229">
        <v>11</v>
      </c>
      <c r="M20" s="222" t="str">
        <f>IFERROR(IF(P20="","",IF((COUNTIF('Cable Info'!$B$11:$C$50,P20)=0),VLOOKUP(P20,'Cable Info (2)'!$B$11:$C$50,2,FALSE),(VLOOKUP(P20,'Cable Info'!$B$11:$C$50,2,FALSE)))),"NO SUCH EXIT")</f>
        <v>BB LAS(Z)-B106B (06)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6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LAS(Z)-B106B (05)</v>
      </c>
      <c r="D21" s="223">
        <v>1</v>
      </c>
      <c r="E21" s="224">
        <v>5</v>
      </c>
      <c r="F21" s="225" t="s">
        <v>37</v>
      </c>
      <c r="G21" s="226">
        <v>6</v>
      </c>
      <c r="H21" s="222">
        <f t="shared" si="12"/>
        <v>2</v>
      </c>
      <c r="I21" s="227">
        <v>1</v>
      </c>
      <c r="J21" s="225" t="s">
        <v>37</v>
      </c>
      <c r="K21" s="228">
        <v>2</v>
      </c>
      <c r="L21" s="229">
        <v>1</v>
      </c>
      <c r="M21" s="222" t="str">
        <f>IFERROR(IF(P21="","",IF((COUNTIF('Cable Info'!$B$11:$C$50,P21)=0),VLOOKUP(P21,'Cable Info (2)'!$B$11:$C$50,2,FALSE),(VLOOKUP(P21,'Cable Info'!$B$11:$C$50,2,FALSE)))),"NO SUCH EXIT")</f>
        <v>BB LAS(Z)-B140 (01)</v>
      </c>
      <c r="N21" s="230"/>
      <c r="O21" s="231"/>
      <c r="P21" s="232" t="s">
        <v>3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LAS(Z)-B106B (05)</v>
      </c>
      <c r="D22" s="223">
        <v>2</v>
      </c>
      <c r="E22" s="224">
        <v>19</v>
      </c>
      <c r="F22" s="225" t="s">
        <v>37</v>
      </c>
      <c r="G22" s="226">
        <v>24</v>
      </c>
      <c r="H22" s="222">
        <f t="shared" si="12"/>
        <v>6</v>
      </c>
      <c r="I22" s="227">
        <v>3</v>
      </c>
      <c r="J22" s="225" t="s">
        <v>37</v>
      </c>
      <c r="K22" s="228">
        <v>8</v>
      </c>
      <c r="L22" s="229">
        <v>1</v>
      </c>
      <c r="M22" s="222" t="str">
        <f>IFERROR(IF(P22="","",IF((COUNTIF('Cable Info'!$B$11:$C$50,P22)=0),VLOOKUP(P22,'Cable Info (2)'!$B$11:$C$50,2,FALSE),(VLOOKUP(P22,'Cable Info'!$B$11:$C$50,2,FALSE)))),"NO SUCH EXIT")</f>
        <v>BB LAS(Z)-B140 (01)</v>
      </c>
      <c r="N22" s="230"/>
      <c r="O22" s="231"/>
      <c r="P22" s="232" t="s">
        <v>3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6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LAS(Z)-B106B (05)</v>
      </c>
      <c r="D23" s="223">
        <v>5</v>
      </c>
      <c r="E23" s="224">
        <v>55</v>
      </c>
      <c r="F23" s="225" t="s">
        <v>37</v>
      </c>
      <c r="G23" s="226">
        <v>60</v>
      </c>
      <c r="H23" s="222">
        <f t="shared" si="12"/>
        <v>6</v>
      </c>
      <c r="I23" s="227">
        <v>9</v>
      </c>
      <c r="J23" s="225" t="s">
        <v>37</v>
      </c>
      <c r="K23" s="228">
        <v>14</v>
      </c>
      <c r="L23" s="229">
        <v>1</v>
      </c>
      <c r="M23" s="222" t="str">
        <f>IFERROR(IF(P23="","",IF((COUNTIF('Cable Info'!$B$11:$C$50,P23)=0),VLOOKUP(P23,'Cable Info (2)'!$B$11:$C$50,2,FALSE),(VLOOKUP(P23,'Cable Info'!$B$11:$C$50,2,FALSE)))),"NO SUCH EXIT")</f>
        <v>BB LAS(Z)-B140 (01)</v>
      </c>
      <c r="N23" s="230"/>
      <c r="O23" s="231"/>
      <c r="P23" s="232" t="s">
        <v>3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6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1</v>
      </c>
      <c r="C24" s="222" t="str">
        <f>IFERROR(IF(B24="","",IF((COUNTIF('Cable Info'!$B$11:$C$50,B24)=0),VLOOKUP(B24,'Cable Info (2)'!$B$11:$C$50,2,FALSE),(VLOOKUP(B24,'Cable Info'!$B$11:$C$50,2,FALSE)))),"NO SUCH EXIT")</f>
        <v>BB LAS(Z)-B106B (06)</v>
      </c>
      <c r="D24" s="223">
        <v>1</v>
      </c>
      <c r="E24" s="224">
        <v>5</v>
      </c>
      <c r="F24" s="225" t="s">
        <v>37</v>
      </c>
      <c r="G24" s="226">
        <v>6</v>
      </c>
      <c r="H24" s="222">
        <f t="shared" si="12"/>
        <v>2</v>
      </c>
      <c r="I24" s="227">
        <v>1</v>
      </c>
      <c r="J24" s="225" t="s">
        <v>37</v>
      </c>
      <c r="K24" s="228">
        <v>2</v>
      </c>
      <c r="L24" s="229">
        <v>1</v>
      </c>
      <c r="M24" s="222" t="str">
        <f>IFERROR(IF(P24="","",IF((COUNTIF('Cable Info'!$B$11:$C$50,P24)=0),VLOOKUP(P24,'Cable Info (2)'!$B$11:$C$50,2,FALSE),(VLOOKUP(P24,'Cable Info'!$B$11:$C$50,2,FALSE)))),"NO SUCH EXIT")</f>
        <v>NV-3PC: ZAYO-ENT-E-1</v>
      </c>
      <c r="N24" s="230"/>
      <c r="O24" s="231"/>
      <c r="P24" s="232" t="s">
        <v>2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1</v>
      </c>
      <c r="C25" s="222" t="str">
        <f>IFERROR(IF(B25="","",IF((COUNTIF('Cable Info'!$B$11:$C$50,B25)=0),VLOOKUP(B25,'Cable Info (2)'!$B$11:$C$50,2,FALSE),(VLOOKUP(B25,'Cable Info'!$B$11:$C$50,2,FALSE)))),"NO SUCH EXIT")</f>
        <v>BB LAS(Z)-B106B (06)</v>
      </c>
      <c r="D25" s="223">
        <v>11</v>
      </c>
      <c r="E25" s="224">
        <v>127</v>
      </c>
      <c r="F25" s="225" t="s">
        <v>37</v>
      </c>
      <c r="G25" s="226">
        <v>128</v>
      </c>
      <c r="H25" s="222">
        <f t="shared" si="12"/>
        <v>2</v>
      </c>
      <c r="I25" s="227">
        <v>3</v>
      </c>
      <c r="J25" s="225" t="s">
        <v>37</v>
      </c>
      <c r="K25" s="228">
        <v>4</v>
      </c>
      <c r="L25" s="229">
        <v>1</v>
      </c>
      <c r="M25" s="222" t="str">
        <f>IFERROR(IF(P25="","",IF((COUNTIF('Cable Info'!$B$11:$C$50,P25)=0),VLOOKUP(P25,'Cable Info (2)'!$B$11:$C$50,2,FALSE),(VLOOKUP(P25,'Cable Info'!$B$11:$C$50,2,FALSE)))),"NO SUCH EXIT")</f>
        <v>NV-3PC: ZAYO-ENT-E-1</v>
      </c>
      <c r="N25" s="230"/>
      <c r="O25" s="231"/>
      <c r="P25" s="232" t="s">
        <v>2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1</v>
      </c>
      <c r="C26" s="222" t="str">
        <f>IFERROR(IF(B26="","",IF((COUNTIF('Cable Info'!$B$11:$C$50,B26)=0),VLOOKUP(B26,'Cable Info (2)'!$B$11:$C$50,2,FALSE),(VLOOKUP(B26,'Cable Info'!$B$11:$C$50,2,FALSE)))),"NO SUCH EXIT")</f>
        <v>BB LAS(Z)-B106B (06)</v>
      </c>
      <c r="D26" s="223" t="s">
        <v>102</v>
      </c>
      <c r="E26" s="224">
        <v>7</v>
      </c>
      <c r="F26" s="225" t="s">
        <v>37</v>
      </c>
      <c r="G26" s="226">
        <v>8</v>
      </c>
      <c r="H26" s="222">
        <f t="shared" si="12"/>
        <v>2</v>
      </c>
      <c r="I26" s="227">
        <v>23</v>
      </c>
      <c r="J26" s="225" t="s">
        <v>37</v>
      </c>
      <c r="K26" s="228">
        <v>24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>BB LAS(Z)-B140 (01)</v>
      </c>
      <c r="N26" s="230"/>
      <c r="O26" s="231"/>
      <c r="P26" s="232" t="s">
        <v>3</v>
      </c>
      <c r="Q26" s="186"/>
      <c r="R26" s="233" t="s">
        <v>6</v>
      </c>
      <c r="S26" s="233" t="s">
        <v>12</v>
      </c>
      <c r="T26" s="234">
        <v>42776</v>
      </c>
      <c r="U26" s="234"/>
      <c r="V26" s="235" t="s">
        <v>64</v>
      </c>
      <c r="W26" s="217" t="s">
        <v>103</v>
      </c>
      <c r="X26" s="236">
        <f t="shared" si="13"/>
        <v>1</v>
      </c>
      <c r="Y26" s="163" t="str">
        <f t="shared" si="14"/>
        <v/>
      </c>
      <c r="Z26" s="164" t="str">
        <f t="shared" si="15"/>
        <v/>
      </c>
      <c r="AA26" s="164">
        <f t="shared" si="16"/>
        <v>2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 t="s">
        <v>104</v>
      </c>
    </row>
    <row r="27" spans="1:90" x14ac:dyDescent="0.2">
      <c r="A27" s="185"/>
      <c r="B27" s="205" t="s">
        <v>1</v>
      </c>
      <c r="C27" s="222" t="str">
        <f>IFERROR(IF(B27="","",IF((COUNTIF('Cable Info'!$B$11:$C$50,B27)=0),VLOOKUP(B27,'Cable Info (2)'!$B$11:$C$50,2,FALSE),(VLOOKUP(B27,'Cable Info'!$B$11:$C$50,2,FALSE)))),"NO SUCH EXIT")</f>
        <v>BB LAS(Z)-B106B (06)</v>
      </c>
      <c r="D27" s="223" t="s">
        <v>113</v>
      </c>
      <c r="E27" s="224">
        <v>33</v>
      </c>
      <c r="F27" s="225" t="s">
        <v>37</v>
      </c>
      <c r="G27" s="226">
        <v>34</v>
      </c>
      <c r="H27" s="222">
        <f t="shared" si="12"/>
        <v>2</v>
      </c>
      <c r="I27" s="227">
        <v>21</v>
      </c>
      <c r="J27" s="225" t="s">
        <v>37</v>
      </c>
      <c r="K27" s="228">
        <v>22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>BB LAS(Z)-B140 (01)</v>
      </c>
      <c r="N27" s="230"/>
      <c r="O27" s="231"/>
      <c r="P27" s="232" t="s">
        <v>3</v>
      </c>
      <c r="Q27" s="186"/>
      <c r="R27" s="233" t="s">
        <v>11</v>
      </c>
      <c r="S27" s="233" t="s">
        <v>12</v>
      </c>
      <c r="T27" s="234">
        <v>42781</v>
      </c>
      <c r="U27" s="234">
        <v>42809</v>
      </c>
      <c r="V27" s="235" t="s">
        <v>105</v>
      </c>
      <c r="W27" s="217" t="s">
        <v>106</v>
      </c>
      <c r="X27" s="236">
        <f t="shared" si="13"/>
        <v>0</v>
      </c>
      <c r="Y27" s="163" t="str">
        <f t="shared" si="14"/>
        <v/>
      </c>
      <c r="Z27" s="164" t="str">
        <f t="shared" si="15"/>
        <v/>
      </c>
      <c r="AA27" s="164">
        <f t="shared" si="16"/>
        <v>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e">
        <f>IF('Cable Info'!R26="","",CONCATENATE('Cable Info'!R26," - ",'Cable Info'!S26))</f>
        <v>#N/A</v>
      </c>
      <c r="BB27" s="166" t="e">
        <f t="shared" si="21"/>
        <v>#N/A</v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 t="s">
        <v>107</v>
      </c>
    </row>
    <row r="28" spans="1:90" x14ac:dyDescent="0.2">
      <c r="A28" s="185"/>
      <c r="B28" s="205" t="s">
        <v>1</v>
      </c>
      <c r="C28" s="222" t="str">
        <f>IFERROR(IF(B28="","",IF((COUNTIF('Cable Info'!$B$11:$C$50,B28)=0),VLOOKUP(B28,'Cable Info (2)'!$B$11:$C$50,2,FALSE),(VLOOKUP(B28,'Cable Info'!$B$11:$C$50,2,FALSE)))),"NO SUCH EXIT")</f>
        <v>BB LAS(Z)-B106B (06)</v>
      </c>
      <c r="D28" s="223" t="s">
        <v>102</v>
      </c>
      <c r="E28" s="224">
        <v>11</v>
      </c>
      <c r="F28" s="225" t="s">
        <v>37</v>
      </c>
      <c r="G28" s="226">
        <v>12</v>
      </c>
      <c r="H28" s="222">
        <f t="shared" si="12"/>
        <v>2</v>
      </c>
      <c r="I28" s="227">
        <v>19</v>
      </c>
      <c r="J28" s="225" t="s">
        <v>37</v>
      </c>
      <c r="K28" s="228">
        <v>20</v>
      </c>
      <c r="L28" s="229" t="s">
        <v>109</v>
      </c>
      <c r="M28" s="222" t="str">
        <f>IFERROR(IF(P28="","",IF((COUNTIF('Cable Info'!$B$11:$C$50,P28)=0),VLOOKUP(P28,'Cable Info (2)'!$B$11:$C$50,2,FALSE),(VLOOKUP(P28,'Cable Info'!$B$11:$C$50,2,FALSE)))),"NO SUCH EXIT")</f>
        <v>BB LAS(Z)-B140 (01)</v>
      </c>
      <c r="N28" s="230"/>
      <c r="O28" s="231"/>
      <c r="P28" s="232" t="s">
        <v>3</v>
      </c>
      <c r="Q28" s="186"/>
      <c r="R28" s="233" t="s">
        <v>6</v>
      </c>
      <c r="S28" s="233" t="s">
        <v>12</v>
      </c>
      <c r="T28" s="234">
        <v>42800</v>
      </c>
      <c r="U28" s="234"/>
      <c r="V28" s="235" t="s">
        <v>108</v>
      </c>
      <c r="W28" s="217" t="s">
        <v>110</v>
      </c>
      <c r="X28" s="236">
        <f t="shared" si="13"/>
        <v>1</v>
      </c>
      <c r="Y28" s="163" t="str">
        <f t="shared" si="14"/>
        <v/>
      </c>
      <c r="Z28" s="164" t="str">
        <f t="shared" si="15"/>
        <v/>
      </c>
      <c r="AA28" s="164">
        <f t="shared" si="16"/>
        <v>2</v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e">
        <f>IF('Cable Info'!R27="","",CONCATENATE('Cable Info'!R27," - ",'Cable Info'!S27))</f>
        <v>#N/A</v>
      </c>
      <c r="BB28" s="166" t="e">
        <f t="shared" si="21"/>
        <v>#N/A</v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 t="s">
        <v>111</v>
      </c>
    </row>
    <row r="29" spans="1:90" x14ac:dyDescent="0.2">
      <c r="A29" s="185"/>
      <c r="B29" s="205" t="s">
        <v>0</v>
      </c>
      <c r="C29" s="222" t="str">
        <f>IFERROR(IF(B29="","",IF((COUNTIF('Cable Info'!$B$11:$C$50,B29)=0),VLOOKUP(B29,'Cable Info (2)'!$B$11:$C$50,2,FALSE),(VLOOKUP(B29,'Cable Info'!$B$11:$C$50,2,FALSE)))),"NO SUCH EXIT")</f>
        <v>BB LAS(Z)-B106B (05)</v>
      </c>
      <c r="D29" s="223" t="s">
        <v>112</v>
      </c>
      <c r="E29" s="224">
        <v>39</v>
      </c>
      <c r="F29" s="225" t="s">
        <v>37</v>
      </c>
      <c r="G29" s="226">
        <v>40</v>
      </c>
      <c r="H29" s="222">
        <f t="shared" si="12"/>
        <v>2</v>
      </c>
      <c r="I29" s="227">
        <v>23</v>
      </c>
      <c r="J29" s="225" t="s">
        <v>37</v>
      </c>
      <c r="K29" s="228">
        <v>24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>BB LAS(Z)-B140 (01)</v>
      </c>
      <c r="N29" s="230"/>
      <c r="O29" s="231"/>
      <c r="P29" s="232" t="s">
        <v>3</v>
      </c>
      <c r="Q29" s="186"/>
      <c r="R29" s="233" t="s">
        <v>11</v>
      </c>
      <c r="S29" s="233" t="s">
        <v>12</v>
      </c>
      <c r="T29" s="234"/>
      <c r="U29" s="234">
        <v>42794</v>
      </c>
      <c r="V29" s="235" t="s">
        <v>108</v>
      </c>
      <c r="W29" s="217" t="s">
        <v>103</v>
      </c>
      <c r="X29" s="236">
        <f t="shared" si="13"/>
        <v>0</v>
      </c>
      <c r="Y29" s="163" t="str">
        <f t="shared" si="14"/>
        <v/>
      </c>
      <c r="Z29" s="164" t="str">
        <f t="shared" si="15"/>
        <v/>
      </c>
      <c r="AA29" s="164">
        <f t="shared" si="16"/>
        <v>2</v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e">
        <f>IF('Cable Info'!R28="","",CONCATENATE('Cable Info'!R28," - ",'Cable Info'!S28))</f>
        <v>#N/A</v>
      </c>
      <c r="BB29" s="166" t="e">
        <f t="shared" si="21"/>
        <v>#N/A</v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1</v>
      </c>
      <c r="C30" s="222" t="str">
        <f>IFERROR(IF(B30="","",IF((COUNTIF('Cable Info'!$B$11:$C$50,B30)=0),VLOOKUP(B30,'Cable Info (2)'!$B$11:$C$50,2,FALSE),(VLOOKUP(B30,'Cable Info'!$B$11:$C$50,2,FALSE)))),"NO SUCH EXIT")</f>
        <v>BB LAS(Z)-B106B (06)</v>
      </c>
      <c r="D30" s="223" t="s">
        <v>115</v>
      </c>
      <c r="E30" s="224">
        <v>65</v>
      </c>
      <c r="F30" s="225" t="s">
        <v>37</v>
      </c>
      <c r="G30" s="226">
        <v>66</v>
      </c>
      <c r="H30" s="222">
        <f t="shared" si="12"/>
        <v>2</v>
      </c>
      <c r="I30" s="227">
        <v>15</v>
      </c>
      <c r="J30" s="225" t="s">
        <v>37</v>
      </c>
      <c r="K30" s="228">
        <v>16</v>
      </c>
      <c r="L30" s="229" t="s">
        <v>109</v>
      </c>
      <c r="M30" s="222" t="str">
        <f>IFERROR(IF(P30="","",IF((COUNTIF('Cable Info'!$B$11:$C$50,P30)=0),VLOOKUP(P30,'Cable Info (2)'!$B$11:$C$50,2,FALSE),(VLOOKUP(P30,'Cable Info'!$B$11:$C$50,2,FALSE)))),"NO SUCH EXIT")</f>
        <v>BB LAS(Z)-B140 (01)</v>
      </c>
      <c r="N30" s="230"/>
      <c r="O30" s="231"/>
      <c r="P30" s="232" t="s">
        <v>3</v>
      </c>
      <c r="Q30" s="186"/>
      <c r="R30" s="233" t="s">
        <v>6</v>
      </c>
      <c r="S30" s="233" t="s">
        <v>12</v>
      </c>
      <c r="T30" s="234">
        <v>43074</v>
      </c>
      <c r="U30" s="234"/>
      <c r="V30" s="235" t="s">
        <v>116</v>
      </c>
      <c r="W30" s="217" t="s">
        <v>117</v>
      </c>
      <c r="X30" s="236">
        <f t="shared" si="13"/>
        <v>11</v>
      </c>
      <c r="Y30" s="163" t="str">
        <f t="shared" si="14"/>
        <v/>
      </c>
      <c r="Z30" s="164" t="str">
        <f t="shared" si="15"/>
        <v/>
      </c>
      <c r="AA30" s="164">
        <f t="shared" si="16"/>
        <v>2</v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e">
        <f>IF('Cable Info'!R29="","",CONCATENATE('Cable Info'!R29," - ",'Cable Info'!S29))</f>
        <v>#N/A</v>
      </c>
      <c r="BB30" s="166" t="e">
        <f t="shared" si="21"/>
        <v>#N/A</v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 t="s">
        <v>118</v>
      </c>
    </row>
    <row r="31" spans="1:90" x14ac:dyDescent="0.2">
      <c r="A31" s="185"/>
      <c r="B31" s="205" t="s">
        <v>1</v>
      </c>
      <c r="C31" s="222" t="str">
        <f>IFERROR(IF(B31="","",IF((COUNTIF('Cable Info'!$B$11:$C$50,B31)=0),VLOOKUP(B31,'Cable Info (2)'!$B$11:$C$50,2,FALSE),(VLOOKUP(B31,'Cable Info'!$B$11:$C$50,2,FALSE)))),"NO SUCH EXIT")</f>
        <v>BB LAS(Z)-B106B (06)</v>
      </c>
      <c r="D31" s="223" t="s">
        <v>119</v>
      </c>
      <c r="E31" s="224">
        <v>91</v>
      </c>
      <c r="F31" s="225" t="s">
        <v>37</v>
      </c>
      <c r="G31" s="226">
        <v>92</v>
      </c>
      <c r="H31" s="222">
        <f t="shared" si="12"/>
        <v>2</v>
      </c>
      <c r="I31" s="227">
        <v>25</v>
      </c>
      <c r="J31" s="225" t="s">
        <v>37</v>
      </c>
      <c r="K31" s="228">
        <v>26</v>
      </c>
      <c r="L31" s="229" t="s">
        <v>113</v>
      </c>
      <c r="M31" s="222" t="str">
        <f>IFERROR(IF(P31="","",IF((COUNTIF('Cable Info'!$B$11:$C$50,P31)=0),VLOOKUP(P31,'Cable Info (2)'!$B$11:$C$50,2,FALSE),(VLOOKUP(P31,'Cable Info'!$B$11:$C$50,2,FALSE)))),"NO SUCH EXIT")</f>
        <v>BB LAS(Z)-B140 (01)</v>
      </c>
      <c r="N31" s="230"/>
      <c r="O31" s="231"/>
      <c r="P31" s="232" t="s">
        <v>3</v>
      </c>
      <c r="Q31" s="186"/>
      <c r="R31" s="233" t="s">
        <v>6</v>
      </c>
      <c r="S31" s="233" t="s">
        <v>12</v>
      </c>
      <c r="T31" s="234">
        <v>43164</v>
      </c>
      <c r="U31" s="234"/>
      <c r="V31" s="235" t="s">
        <v>120</v>
      </c>
      <c r="W31" s="217" t="s">
        <v>121</v>
      </c>
      <c r="X31" s="236">
        <f t="shared" si="13"/>
        <v>1</v>
      </c>
      <c r="Y31" s="163" t="str">
        <f t="shared" si="14"/>
        <v/>
      </c>
      <c r="Z31" s="164" t="str">
        <f t="shared" si="15"/>
        <v/>
      </c>
      <c r="AA31" s="164">
        <f t="shared" si="16"/>
        <v>2</v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e">
        <f>IF('Cable Info'!R30="","",CONCATENATE('Cable Info'!R30," - ",'Cable Info'!S30))</f>
        <v>#N/A</v>
      </c>
      <c r="BB31" s="166" t="e">
        <f t="shared" si="21"/>
        <v>#N/A</v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e">
        <f>IF('Cable Info'!R31="","",CONCATENATE('Cable Info'!R31," - ",'Cable Info'!S31))</f>
        <v>#N/A</v>
      </c>
      <c r="BB32" s="166" t="e">
        <f t="shared" si="21"/>
        <v>#N/A</v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e">
        <f>IF('Cable Info'!R32="","",CONCATENATE('Cable Info'!R32," - ",'Cable Info'!S32))</f>
        <v>#N/A</v>
      </c>
      <c r="BB33" s="166" t="e">
        <f t="shared" si="21"/>
        <v>#N/A</v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e">
        <f>IF('Cable Info'!R33="","",CONCATENATE('Cable Info'!R33," - ",'Cable Info'!S33))</f>
        <v>#N/A</v>
      </c>
      <c r="BB34" s="166" t="e">
        <f t="shared" si="21"/>
        <v>#N/A</v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e">
        <f>IF('Cable Info'!R34="","",CONCATENATE('Cable Info'!R34," - ",'Cable Info'!S34))</f>
        <v>#N/A</v>
      </c>
      <c r="BB35" s="166" t="e">
        <f t="shared" si="21"/>
        <v>#N/A</v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e">
        <f>IF('Cable Info'!R35="","",CONCATENATE('Cable Info'!R35," - ",'Cable Info'!S35))</f>
        <v>#N/A</v>
      </c>
      <c r="BB36" s="166" t="e">
        <f t="shared" si="21"/>
        <v>#N/A</v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e">
        <f>IF('Cable Info'!R36="","",CONCATENATE('Cable Info'!R36," - ",'Cable Info'!S36))</f>
        <v>#N/A</v>
      </c>
      <c r="BB37" s="166" t="e">
        <f t="shared" si="21"/>
        <v>#N/A</v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e">
        <f>IF('Cable Info'!R37="","",CONCATENATE('Cable Info'!R37," - ",'Cable Info'!S37))</f>
        <v>#N/A</v>
      </c>
      <c r="BB38" s="166" t="e">
        <f t="shared" si="21"/>
        <v>#N/A</v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e">
        <f>IF('Cable Info'!R38="","",CONCATENATE('Cable Info'!R38," - ",'Cable Info'!S38))</f>
        <v>#N/A</v>
      </c>
      <c r="BB39" s="166" t="e">
        <f t="shared" si="21"/>
        <v>#N/A</v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e">
        <f>IF('Cable Info'!R39="","",CONCATENATE('Cable Info'!R39," - ",'Cable Info'!S39))</f>
        <v>#N/A</v>
      </c>
      <c r="BB40" s="166" t="e">
        <f t="shared" si="21"/>
        <v>#N/A</v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e">
        <f>IF('Cable Info'!R40="","",CONCATENATE('Cable Info'!R40," - ",'Cable Info'!S40))</f>
        <v>#N/A</v>
      </c>
      <c r="BB41" s="166" t="e">
        <f t="shared" si="21"/>
        <v>#N/A</v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e">
        <f>IF('Cable Info'!R41="","",CONCATENATE('Cable Info'!R41," - ",'Cable Info'!S41))</f>
        <v>#N/A</v>
      </c>
      <c r="BB42" s="166" t="e">
        <f t="shared" si="21"/>
        <v>#N/A</v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e">
        <f>IF('Cable Info'!R42="","",CONCATENATE('Cable Info'!R42," - ",'Cable Info'!S42))</f>
        <v>#N/A</v>
      </c>
      <c r="BB43" s="166" t="e">
        <f t="shared" si="21"/>
        <v>#N/A</v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e">
        <f>IF('Cable Info'!R43="","",CONCATENATE('Cable Info'!R43," - ",'Cable Info'!S43))</f>
        <v>#N/A</v>
      </c>
      <c r="BB44" s="166" t="e">
        <f t="shared" si="21"/>
        <v>#N/A</v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e">
        <f>IF('Cable Info'!R44="","",CONCATENATE('Cable Info'!R44," - ",'Cable Info'!S44))</f>
        <v>#N/A</v>
      </c>
      <c r="BB45" s="166" t="e">
        <f t="shared" si="21"/>
        <v>#N/A</v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e">
        <f>IF('Cable Info'!R45="","",CONCATENATE('Cable Info'!R45," - ",'Cable Info'!S45))</f>
        <v>#N/A</v>
      </c>
      <c r="BB46" s="166" t="e">
        <f t="shared" si="21"/>
        <v>#N/A</v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e">
        <f>IF('Cable Info'!R46="","",CONCATENATE('Cable Info'!R46," - ",'Cable Info'!S46))</f>
        <v>#N/A</v>
      </c>
      <c r="BB47" s="166" t="e">
        <f t="shared" si="21"/>
        <v>#N/A</v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e">
        <f>IF('Cable Info'!R47="","",CONCATENATE('Cable Info'!R47," - ",'Cable Info'!S47))</f>
        <v>#N/A</v>
      </c>
      <c r="BB48" s="166" t="e">
        <f t="shared" si="21"/>
        <v>#N/A</v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e">
        <f>IF('Cable Info'!R48="","",CONCATENATE('Cable Info'!R48," - ",'Cable Info'!S48))</f>
        <v>#N/A</v>
      </c>
      <c r="BB49" s="166" t="e">
        <f t="shared" si="21"/>
        <v>#N/A</v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e">
        <f>IF('Cable Info'!R49="","",CONCATENATE('Cable Info'!R49," - ",'Cable Info'!S49))</f>
        <v>#N/A</v>
      </c>
      <c r="BB50" s="166" t="e">
        <f t="shared" si="21"/>
        <v>#N/A</v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e">
        <f>IF('Cable Info'!R50="","",CONCATENATE('Cable Info'!R50," - ",'Cable Info'!S50))</f>
        <v>#N/A</v>
      </c>
      <c r="BB51" s="166" t="e">
        <f t="shared" si="21"/>
        <v>#N/A</v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e">
        <f>IF('Cable Info'!R51="","",CONCATENATE('Cable Info'!R51," - ",'Cable Info'!S51))</f>
        <v>#N/A</v>
      </c>
      <c r="BB52" s="166" t="e">
        <f t="shared" si="21"/>
        <v>#N/A</v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e">
        <f>IF('Cable Info'!R52="","",CONCATENATE('Cable Info'!R52," - ",'Cable Info'!S52))</f>
        <v>#N/A</v>
      </c>
      <c r="BB53" s="166" t="e">
        <f t="shared" si="21"/>
        <v>#N/A</v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e">
        <f>IF('Cable Info'!R53="","",CONCATENATE('Cable Info'!R53," - ",'Cable Info'!S53))</f>
        <v>#N/A</v>
      </c>
      <c r="BB54" s="166" t="e">
        <f t="shared" si="21"/>
        <v>#N/A</v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e">
        <f>IF('Cable Info'!R54="","",CONCATENATE('Cable Info'!R54," - ",'Cable Info'!S54))</f>
        <v>#N/A</v>
      </c>
      <c r="BB55" s="166" t="e">
        <f t="shared" si="21"/>
        <v>#N/A</v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e">
        <f>IF('Cable Info'!R55="","",CONCATENATE('Cable Info'!R55," - ",'Cable Info'!S55))</f>
        <v>#N/A</v>
      </c>
      <c r="BB56" s="166" t="e">
        <f t="shared" si="21"/>
        <v>#N/A</v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e">
        <f>IF('Cable Info'!R56="","",CONCATENATE('Cable Info'!R56," - ",'Cable Info'!S56))</f>
        <v>#N/A</v>
      </c>
      <c r="BB57" s="166" t="e">
        <f t="shared" si="21"/>
        <v>#N/A</v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e">
        <f>IF('Cable Info'!R57="","",CONCATENATE('Cable Info'!R57," - ",'Cable Info'!S57))</f>
        <v>#N/A</v>
      </c>
      <c r="BB58" s="166" t="e">
        <f t="shared" si="21"/>
        <v>#N/A</v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e">
        <f>IF('Cable Info'!R58="","",CONCATENATE('Cable Info'!R58," - ",'Cable Info'!S58))</f>
        <v>#N/A</v>
      </c>
      <c r="BB59" s="166" t="e">
        <f t="shared" si="21"/>
        <v>#N/A</v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e">
        <f>IF('Cable Info'!R59="","",CONCATENATE('Cable Info'!R59," - ",'Cable Info'!S59))</f>
        <v>#N/A</v>
      </c>
      <c r="BB60" s="166" t="e">
        <f t="shared" si="21"/>
        <v>#N/A</v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e">
        <f>IF('Cable Info'!R60="","",CONCATENATE('Cable Info'!R60," - ",'Cable Info'!S60))</f>
        <v>#N/A</v>
      </c>
      <c r="BB61" s="166" t="e">
        <f t="shared" si="21"/>
        <v>#N/A</v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e">
        <f>IF('Cable Info'!R61="","",CONCATENATE('Cable Info'!R61," - ",'Cable Info'!S61))</f>
        <v>#N/A</v>
      </c>
      <c r="BB62" s="166" t="e">
        <f t="shared" si="21"/>
        <v>#N/A</v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e">
        <f>IF('Cable Info'!R62="","",CONCATENATE('Cable Info'!R62," - ",'Cable Info'!S62))</f>
        <v>#N/A</v>
      </c>
      <c r="BB63" s="166" t="e">
        <f t="shared" si="21"/>
        <v>#N/A</v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e">
        <f>IF('Cable Info'!R63="","",CONCATENATE('Cable Info'!R63," - ",'Cable Info'!S63))</f>
        <v>#N/A</v>
      </c>
      <c r="BB64" s="166" t="e">
        <f t="shared" si="21"/>
        <v>#N/A</v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e">
        <f>IF('Cable Info'!R64="","",CONCATENATE('Cable Info'!R64," - ",'Cable Info'!S64))</f>
        <v>#N/A</v>
      </c>
      <c r="BB65" s="166" t="e">
        <f t="shared" si="21"/>
        <v>#N/A</v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e">
        <f>IF('Cable Info'!R65="","",CONCATENATE('Cable Info'!R65," - ",'Cable Info'!S65))</f>
        <v>#N/A</v>
      </c>
      <c r="BB66" s="166" t="e">
        <f t="shared" si="21"/>
        <v>#N/A</v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e">
        <f>IF('Cable Info'!R66="","",CONCATENATE('Cable Info'!R66," - ",'Cable Info'!S66))</f>
        <v>#N/A</v>
      </c>
      <c r="BB67" s="166" t="e">
        <f t="shared" si="21"/>
        <v>#N/A</v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e">
        <f>IF('Cable Info'!R67="","",CONCATENATE('Cable Info'!R67," - ",'Cable Info'!S67))</f>
        <v>#N/A</v>
      </c>
      <c r="BB68" s="166" t="e">
        <f t="shared" si="21"/>
        <v>#N/A</v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e">
        <f>IF('Cable Info'!R68="","",CONCATENATE('Cable Info'!R68," - ",'Cable Info'!S68))</f>
        <v>#N/A</v>
      </c>
      <c r="BB69" s="166" t="e">
        <f t="shared" si="21"/>
        <v>#N/A</v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e">
        <f>IF('Cable Info'!R69="","",CONCATENATE('Cable Info'!R69," - ",'Cable Info'!S69))</f>
        <v>#N/A</v>
      </c>
      <c r="BB70" s="166" t="e">
        <f t="shared" si="21"/>
        <v>#N/A</v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e">
        <f>IF('Cable Info'!R70="","",CONCATENATE('Cable Info'!R70," - ",'Cable Info'!S70))</f>
        <v>#N/A</v>
      </c>
      <c r="BB71" s="166" t="e">
        <f t="shared" si="21"/>
        <v>#N/A</v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e">
        <f>IF('Cable Info'!R71="","",CONCATENATE('Cable Info'!R71," - ",'Cable Info'!S71))</f>
        <v>#N/A</v>
      </c>
      <c r="BB72" s="166" t="e">
        <f t="shared" si="21"/>
        <v>#N/A</v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e">
        <f>IF('Cable Info'!R72="","",CONCATENATE('Cable Info'!R72," - ",'Cable Info'!S72))</f>
        <v>#N/A</v>
      </c>
      <c r="BB73" s="166" t="e">
        <f t="shared" si="21"/>
        <v>#N/A</v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e">
        <f>IF('Cable Info'!R73="","",CONCATENATE('Cable Info'!R73," - ",'Cable Info'!S73))</f>
        <v>#N/A</v>
      </c>
      <c r="BB74" s="166" t="e">
        <f t="shared" si="21"/>
        <v>#N/A</v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e">
        <f>IF('Cable Info'!R74="","",CONCATENATE('Cable Info'!R74," - ",'Cable Info'!S74))</f>
        <v>#N/A</v>
      </c>
      <c r="BB75" s="166" t="e">
        <f t="shared" si="21"/>
        <v>#N/A</v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e">
        <f>IF('Cable Info'!R75="","",CONCATENATE('Cable Info'!R75," - ",'Cable Info'!S75))</f>
        <v>#N/A</v>
      </c>
      <c r="BB76" s="166" t="e">
        <f t="shared" ref="BB76:BB139" si="33">IF(AZ76="",AY76,CONCATENATE(AY76,"  &lt;=&gt; ",AZ76," ",BA76))</f>
        <v>#N/A</v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e">
        <f>IF('Cable Info'!R76="","",CONCATENATE('Cable Info'!R76," - ",'Cable Info'!S76))</f>
        <v>#N/A</v>
      </c>
      <c r="BB77" s="166" t="e">
        <f t="shared" si="33"/>
        <v>#N/A</v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e">
        <f>IF('Cable Info'!R77="","",CONCATENATE('Cable Info'!R77," - ",'Cable Info'!S77))</f>
        <v>#N/A</v>
      </c>
      <c r="BB78" s="166" t="e">
        <f t="shared" si="33"/>
        <v>#N/A</v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e">
        <f>IF('Cable Info'!R78="","",CONCATENATE('Cable Info'!R78," - ",'Cable Info'!S78))</f>
        <v>#N/A</v>
      </c>
      <c r="BB79" s="166" t="e">
        <f t="shared" si="33"/>
        <v>#N/A</v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e">
        <f>IF('Cable Info'!R79="","",CONCATENATE('Cable Info'!R79," - ",'Cable Info'!S79))</f>
        <v>#N/A</v>
      </c>
      <c r="BB80" s="166" t="e">
        <f t="shared" si="33"/>
        <v>#N/A</v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e">
        <f>IF('Cable Info'!R80="","",CONCATENATE('Cable Info'!R80," - ",'Cable Info'!S80))</f>
        <v>#N/A</v>
      </c>
      <c r="BB81" s="166" t="e">
        <f t="shared" si="33"/>
        <v>#N/A</v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e">
        <f>IF('Cable Info'!R81="","",CONCATENATE('Cable Info'!R81," - ",'Cable Info'!S81))</f>
        <v>#N/A</v>
      </c>
      <c r="BB82" s="166" t="e">
        <f t="shared" si="33"/>
        <v>#N/A</v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e">
        <f>IF('Cable Info'!R82="","",CONCATENATE('Cable Info'!R82," - ",'Cable Info'!S82))</f>
        <v>#N/A</v>
      </c>
      <c r="BB83" s="166" t="e">
        <f t="shared" si="33"/>
        <v>#N/A</v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e">
        <f>IF('Cable Info'!R83="","",CONCATENATE('Cable Info'!R83," - ",'Cable Info'!S83))</f>
        <v>#N/A</v>
      </c>
      <c r="BB84" s="166" t="e">
        <f t="shared" si="33"/>
        <v>#N/A</v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e">
        <f>IF('Cable Info'!R84="","",CONCATENATE('Cable Info'!R84," - ",'Cable Info'!S84))</f>
        <v>#N/A</v>
      </c>
      <c r="BB85" s="166" t="e">
        <f t="shared" si="33"/>
        <v>#N/A</v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e">
        <f>IF('Cable Info'!R85="","",CONCATENATE('Cable Info'!R85," - ",'Cable Info'!S85))</f>
        <v>#N/A</v>
      </c>
      <c r="BB86" s="166" t="e">
        <f t="shared" si="33"/>
        <v>#N/A</v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e">
        <f>IF('Cable Info'!R86="","",CONCATENATE('Cable Info'!R86," - ",'Cable Info'!S86))</f>
        <v>#N/A</v>
      </c>
      <c r="BB87" s="166" t="e">
        <f t="shared" si="33"/>
        <v>#N/A</v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e">
        <f>IF('Cable Info'!R87="","",CONCATENATE('Cable Info'!R87," - ",'Cable Info'!S87))</f>
        <v>#N/A</v>
      </c>
      <c r="BB88" s="166" t="e">
        <f t="shared" si="33"/>
        <v>#N/A</v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e">
        <f>IF('Cable Info'!R88="","",CONCATENATE('Cable Info'!R88," - ",'Cable Info'!S88))</f>
        <v>#N/A</v>
      </c>
      <c r="BB89" s="166" t="e">
        <f t="shared" si="33"/>
        <v>#N/A</v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e">
        <f>IF('Cable Info'!R89="","",CONCATENATE('Cable Info'!R89," - ",'Cable Info'!S89))</f>
        <v>#N/A</v>
      </c>
      <c r="BB90" s="166" t="e">
        <f t="shared" si="33"/>
        <v>#N/A</v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e">
        <f>IF('Cable Info'!R90="","",CONCATENATE('Cable Info'!R90," - ",'Cable Info'!S90))</f>
        <v>#N/A</v>
      </c>
      <c r="BB91" s="166" t="e">
        <f t="shared" si="33"/>
        <v>#N/A</v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e">
        <f>IF('Cable Info'!R91="","",CONCATENATE('Cable Info'!R91," - ",'Cable Info'!S91))</f>
        <v>#N/A</v>
      </c>
      <c r="BB92" s="166" t="e">
        <f t="shared" si="33"/>
        <v>#N/A</v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e">
        <f>IF('Cable Info'!R92="","",CONCATENATE('Cable Info'!R92," - ",'Cable Info'!S92))</f>
        <v>#N/A</v>
      </c>
      <c r="BB93" s="166" t="e">
        <f t="shared" si="33"/>
        <v>#N/A</v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e">
        <f>IF('Cable Info'!R93="","",CONCATENATE('Cable Info'!R93," - ",'Cable Info'!S93))</f>
        <v>#N/A</v>
      </c>
      <c r="BB94" s="166" t="e">
        <f t="shared" si="33"/>
        <v>#N/A</v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e">
        <f>IF('Cable Info'!R94="","",CONCATENATE('Cable Info'!R94," - ",'Cable Info'!S94))</f>
        <v>#N/A</v>
      </c>
      <c r="BB95" s="166" t="e">
        <f t="shared" si="33"/>
        <v>#N/A</v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e">
        <f>IF('Cable Info'!R95="","",CONCATENATE('Cable Info'!R95," - ",'Cable Info'!S95))</f>
        <v>#N/A</v>
      </c>
      <c r="BB96" s="166" t="e">
        <f t="shared" si="33"/>
        <v>#N/A</v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e">
        <f>IF('Cable Info'!R96="","",CONCATENATE('Cable Info'!R96," - ",'Cable Info'!S96))</f>
        <v>#N/A</v>
      </c>
      <c r="BB97" s="166" t="e">
        <f t="shared" si="33"/>
        <v>#N/A</v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e">
        <f>IF('Cable Info'!R97="","",CONCATENATE('Cable Info'!R97," - ",'Cable Info'!S97))</f>
        <v>#N/A</v>
      </c>
      <c r="BB98" s="166" t="e">
        <f t="shared" si="33"/>
        <v>#N/A</v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e">
        <f>IF('Cable Info'!R98="","",CONCATENATE('Cable Info'!R98," - ",'Cable Info'!S98))</f>
        <v>#N/A</v>
      </c>
      <c r="BB99" s="166" t="e">
        <f t="shared" si="33"/>
        <v>#N/A</v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e">
        <f>IF('Cable Info'!R99="","",CONCATENATE('Cable Info'!R99," - ",'Cable Info'!S99))</f>
        <v>#N/A</v>
      </c>
      <c r="BB100" s="166" t="e">
        <f t="shared" si="33"/>
        <v>#N/A</v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e">
        <f>IF('Cable Info'!R100="","",CONCATENATE('Cable Info'!R100," - ",'Cable Info'!S100))</f>
        <v>#N/A</v>
      </c>
      <c r="BB101" s="166" t="e">
        <f t="shared" si="33"/>
        <v>#N/A</v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e">
        <f>IF('Cable Info'!R101="","",CONCATENATE('Cable Info'!R101," - ",'Cable Info'!S101))</f>
        <v>#N/A</v>
      </c>
      <c r="BB102" s="166" t="e">
        <f t="shared" si="33"/>
        <v>#N/A</v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e">
        <f>IF('Cable Info'!R102="","",CONCATENATE('Cable Info'!R102," - ",'Cable Info'!S102))</f>
        <v>#N/A</v>
      </c>
      <c r="BB103" s="166" t="e">
        <f t="shared" si="33"/>
        <v>#N/A</v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e">
        <f>IF('Cable Info'!R103="","",CONCATENATE('Cable Info'!R103," - ",'Cable Info'!S103))</f>
        <v>#N/A</v>
      </c>
      <c r="BB104" s="166" t="e">
        <f t="shared" si="33"/>
        <v>#N/A</v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e">
        <f>IF('Cable Info'!R104="","",CONCATENATE('Cable Info'!R104," - ",'Cable Info'!S104))</f>
        <v>#N/A</v>
      </c>
      <c r="BB105" s="166" t="e">
        <f t="shared" si="33"/>
        <v>#N/A</v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e">
        <f>IF('Cable Info'!R105="","",CONCATENATE('Cable Info'!R105," - ",'Cable Info'!S105))</f>
        <v>#N/A</v>
      </c>
      <c r="BB106" s="166" t="e">
        <f t="shared" si="33"/>
        <v>#N/A</v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e">
        <f>IF('Cable Info'!R106="","",CONCATENATE('Cable Info'!R106," - ",'Cable Info'!S106))</f>
        <v>#N/A</v>
      </c>
      <c r="BB107" s="166" t="e">
        <f t="shared" si="33"/>
        <v>#N/A</v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e">
        <f>IF('Cable Info'!R107="","",CONCATENATE('Cable Info'!R107," - ",'Cable Info'!S107))</f>
        <v>#N/A</v>
      </c>
      <c r="BB108" s="166" t="e">
        <f t="shared" si="33"/>
        <v>#N/A</v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e">
        <f>IF('Cable Info'!R108="","",CONCATENATE('Cable Info'!R108," - ",'Cable Info'!S108))</f>
        <v>#N/A</v>
      </c>
      <c r="BB109" s="166" t="e">
        <f t="shared" si="33"/>
        <v>#N/A</v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e">
        <f>IF('Cable Info'!R109="","",CONCATENATE('Cable Info'!R109," - ",'Cable Info'!S109))</f>
        <v>#N/A</v>
      </c>
      <c r="BB110" s="166" t="e">
        <f t="shared" si="33"/>
        <v>#N/A</v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e">
        <f>IF('Cable Info'!R110="","",CONCATENATE('Cable Info'!R110," - ",'Cable Info'!S110))</f>
        <v>#N/A</v>
      </c>
      <c r="BB111" s="166" t="e">
        <f t="shared" si="33"/>
        <v>#N/A</v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e">
        <f>IF('Cable Info'!R111="","",CONCATENATE('Cable Info'!R111," - ",'Cable Info'!S111))</f>
        <v>#N/A</v>
      </c>
      <c r="BB112" s="166" t="e">
        <f t="shared" si="33"/>
        <v>#N/A</v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e">
        <f>IF('Cable Info'!R112="","",CONCATENATE('Cable Info'!R112," - ",'Cable Info'!S112))</f>
        <v>#N/A</v>
      </c>
      <c r="BB113" s="166" t="e">
        <f t="shared" si="33"/>
        <v>#N/A</v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e">
        <f>IF('Cable Info'!R113="","",CONCATENATE('Cable Info'!R113," - ",'Cable Info'!S113))</f>
        <v>#N/A</v>
      </c>
      <c r="BB114" s="166" t="e">
        <f t="shared" si="33"/>
        <v>#N/A</v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e">
        <f>IF('Cable Info'!R114="","",CONCATENATE('Cable Info'!R114," - ",'Cable Info'!S114))</f>
        <v>#N/A</v>
      </c>
      <c r="BB115" s="166" t="e">
        <f t="shared" si="33"/>
        <v>#N/A</v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e">
        <f>IF('Cable Info'!R115="","",CONCATENATE('Cable Info'!R115," - ",'Cable Info'!S115))</f>
        <v>#N/A</v>
      </c>
      <c r="BB116" s="166" t="e">
        <f t="shared" si="33"/>
        <v>#N/A</v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e">
        <f>IF('Cable Info'!R116="","",CONCATENATE('Cable Info'!R116," - ",'Cable Info'!S116))</f>
        <v>#N/A</v>
      </c>
      <c r="BB117" s="166" t="e">
        <f t="shared" si="33"/>
        <v>#N/A</v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e">
        <f>IF('Cable Info'!R117="","",CONCATENATE('Cable Info'!R117," - ",'Cable Info'!S117))</f>
        <v>#N/A</v>
      </c>
      <c r="BB118" s="166" t="e">
        <f t="shared" si="33"/>
        <v>#N/A</v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e">
        <f>IF('Cable Info'!R118="","",CONCATENATE('Cable Info'!R118," - ",'Cable Info'!S118))</f>
        <v>#N/A</v>
      </c>
      <c r="BB119" s="166" t="e">
        <f t="shared" si="33"/>
        <v>#N/A</v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e">
        <f>IF('Cable Info'!R119="","",CONCATENATE('Cable Info'!R119," - ",'Cable Info'!S119))</f>
        <v>#N/A</v>
      </c>
      <c r="BB120" s="166" t="e">
        <f t="shared" si="33"/>
        <v>#N/A</v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e">
        <f>IF('Cable Info'!R120="","",CONCATENATE('Cable Info'!R120," - ",'Cable Info'!S120))</f>
        <v>#N/A</v>
      </c>
      <c r="BB121" s="166" t="e">
        <f t="shared" si="33"/>
        <v>#N/A</v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e">
        <f>IF('Cable Info'!R121="","",CONCATENATE('Cable Info'!R121," - ",'Cable Info'!S121))</f>
        <v>#N/A</v>
      </c>
      <c r="BB122" s="166" t="e">
        <f t="shared" si="33"/>
        <v>#N/A</v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e">
        <f>IF('Cable Info'!R122="","",CONCATENATE('Cable Info'!R122," - ",'Cable Info'!S122))</f>
        <v>#N/A</v>
      </c>
      <c r="BB123" s="166" t="e">
        <f t="shared" si="33"/>
        <v>#N/A</v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e">
        <f>IF('Cable Info'!R123="","",CONCATENATE('Cable Info'!R123," - ",'Cable Info'!S123))</f>
        <v>#N/A</v>
      </c>
      <c r="BB124" s="166" t="e">
        <f t="shared" si="33"/>
        <v>#N/A</v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e">
        <f>IF('Cable Info'!R124="","",CONCATENATE('Cable Info'!R124," - ",'Cable Info'!S124))</f>
        <v>#N/A</v>
      </c>
      <c r="BB125" s="166" t="e">
        <f t="shared" si="33"/>
        <v>#N/A</v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e">
        <f>IF('Cable Info'!R125="","",CONCATENATE('Cable Info'!R125," - ",'Cable Info'!S125))</f>
        <v>#N/A</v>
      </c>
      <c r="BB126" s="166" t="e">
        <f t="shared" si="33"/>
        <v>#N/A</v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e">
        <f>IF('Cable Info'!R126="","",CONCATENATE('Cable Info'!R126," - ",'Cable Info'!S126))</f>
        <v>#N/A</v>
      </c>
      <c r="BB127" s="166" t="e">
        <f t="shared" si="33"/>
        <v>#N/A</v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e">
        <f>IF('Cable Info'!R127="","",CONCATENATE('Cable Info'!R127," - ",'Cable Info'!S127))</f>
        <v>#N/A</v>
      </c>
      <c r="BB128" s="166" t="e">
        <f t="shared" si="33"/>
        <v>#N/A</v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e">
        <f>IF('Cable Info'!R128="","",CONCATENATE('Cable Info'!R128," - ",'Cable Info'!S128))</f>
        <v>#N/A</v>
      </c>
      <c r="BB129" s="166" t="e">
        <f t="shared" si="33"/>
        <v>#N/A</v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e">
        <f>IF('Cable Info'!R129="","",CONCATENATE('Cable Info'!R129," - ",'Cable Info'!S129))</f>
        <v>#N/A</v>
      </c>
      <c r="BB130" s="166" t="e">
        <f t="shared" si="33"/>
        <v>#N/A</v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e">
        <f>IF('Cable Info'!R130="","",CONCATENATE('Cable Info'!R130," - ",'Cable Info'!S130))</f>
        <v>#N/A</v>
      </c>
      <c r="BB131" s="166" t="e">
        <f t="shared" si="33"/>
        <v>#N/A</v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e">
        <f>IF('Cable Info'!R131="","",CONCATENATE('Cable Info'!R131," - ",'Cable Info'!S131))</f>
        <v>#N/A</v>
      </c>
      <c r="BB132" s="166" t="e">
        <f t="shared" si="33"/>
        <v>#N/A</v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e">
        <f>IF('Cable Info'!R132="","",CONCATENATE('Cable Info'!R132," - ",'Cable Info'!S132))</f>
        <v>#N/A</v>
      </c>
      <c r="BB133" s="166" t="e">
        <f t="shared" si="33"/>
        <v>#N/A</v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e">
        <f>IF('Cable Info'!R133="","",CONCATENATE('Cable Info'!R133," - ",'Cable Info'!S133))</f>
        <v>#N/A</v>
      </c>
      <c r="BB134" s="166" t="e">
        <f t="shared" si="33"/>
        <v>#N/A</v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e">
        <f>IF('Cable Info'!R134="","",CONCATENATE('Cable Info'!R134," - ",'Cable Info'!S134))</f>
        <v>#N/A</v>
      </c>
      <c r="BB135" s="166" t="e">
        <f t="shared" si="33"/>
        <v>#N/A</v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e">
        <f>IF('Cable Info'!R135="","",CONCATENATE('Cable Info'!R135," - ",'Cable Info'!S135))</f>
        <v>#N/A</v>
      </c>
      <c r="BB136" s="166" t="e">
        <f t="shared" si="33"/>
        <v>#N/A</v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e">
        <f>IF('Cable Info'!R136="","",CONCATENATE('Cable Info'!R136," - ",'Cable Info'!S136))</f>
        <v>#N/A</v>
      </c>
      <c r="BB137" s="166" t="e">
        <f t="shared" si="33"/>
        <v>#N/A</v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e">
        <f>IF('Cable Info'!R137="","",CONCATENATE('Cable Info'!R137," - ",'Cable Info'!S137))</f>
        <v>#N/A</v>
      </c>
      <c r="BB138" s="166" t="e">
        <f t="shared" si="33"/>
        <v>#N/A</v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e">
        <f>IF('Cable Info'!R138="","",CONCATENATE('Cable Info'!R138," - ",'Cable Info'!S138))</f>
        <v>#N/A</v>
      </c>
      <c r="BB139" s="166" t="e">
        <f t="shared" si="33"/>
        <v>#N/A</v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e">
        <f>IF('Cable Info'!R139="","",CONCATENATE('Cable Info'!R139," - ",'Cable Info'!S139))</f>
        <v>#N/A</v>
      </c>
      <c r="BB140" s="166" t="e">
        <f t="shared" ref="BB140:BB203" si="45">IF(AZ140="",AY140,CONCATENATE(AY140,"  &lt;=&gt; ",AZ140," ",BA140))</f>
        <v>#N/A</v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e">
        <f>IF('Cable Info'!R140="","",CONCATENATE('Cable Info'!R140," - ",'Cable Info'!S140))</f>
        <v>#N/A</v>
      </c>
      <c r="BB141" s="166" t="e">
        <f t="shared" si="45"/>
        <v>#N/A</v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e">
        <f>IF('Cable Info'!R141="","",CONCATENATE('Cable Info'!R141," - ",'Cable Info'!S141))</f>
        <v>#N/A</v>
      </c>
      <c r="BB142" s="166" t="e">
        <f t="shared" si="45"/>
        <v>#N/A</v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e">
        <f>IF('Cable Info'!R142="","",CONCATENATE('Cable Info'!R142," - ",'Cable Info'!S142))</f>
        <v>#N/A</v>
      </c>
      <c r="BB143" s="166" t="e">
        <f t="shared" si="45"/>
        <v>#N/A</v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e">
        <f>IF('Cable Info'!R143="","",CONCATENATE('Cable Info'!R143," - ",'Cable Info'!S143))</f>
        <v>#N/A</v>
      </c>
      <c r="BB144" s="166" t="e">
        <f t="shared" si="45"/>
        <v>#N/A</v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e">
        <f>IF('Cable Info'!R144="","",CONCATENATE('Cable Info'!R144," - ",'Cable Info'!S144))</f>
        <v>#N/A</v>
      </c>
      <c r="BB145" s="166" t="e">
        <f t="shared" si="45"/>
        <v>#N/A</v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e">
        <f>IF('Cable Info'!R145="","",CONCATENATE('Cable Info'!R145," - ",'Cable Info'!S145))</f>
        <v>#N/A</v>
      </c>
      <c r="BB146" s="166" t="e">
        <f t="shared" si="45"/>
        <v>#N/A</v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e">
        <f>IF('Cable Info'!R84="","",CONCATENATE('Cable Info'!R84," - ",'Cable Info'!S84))</f>
        <v>#N/A</v>
      </c>
      <c r="BB384" s="166" t="e">
        <f t="shared" ref="BB384:BB431" si="93">IF(AZ384="",AY384,CONCATENATE(AY384,"  &lt;=&gt; ",AZ384," ",BA384))</f>
        <v>#N/A</v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e">
        <f>IF('Cable Info'!R85="","",CONCATENATE('Cable Info'!R85," - ",'Cable Info'!S85))</f>
        <v>#N/A</v>
      </c>
      <c r="BB385" s="166" t="e">
        <f t="shared" si="93"/>
        <v>#N/A</v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e">
        <f>IF('Cable Info'!R86="","",CONCATENATE('Cable Info'!R86," - ",'Cable Info'!S86))</f>
        <v>#N/A</v>
      </c>
      <c r="AZ386" s="261"/>
      <c r="BA386" s="261"/>
      <c r="BB386" s="261" t="e">
        <f t="shared" si="93"/>
        <v>#N/A</v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e">
        <f>IF('Cable Info'!R87="","",CONCATENATE('Cable Info'!R87," - ",'Cable Info'!S87))</f>
        <v>#N/A</v>
      </c>
      <c r="AZ387" s="267"/>
      <c r="BA387" s="267"/>
      <c r="BB387" s="267" t="e">
        <f t="shared" si="93"/>
        <v>#N/A</v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e">
        <f>IF('Cable Info'!R88="","",CONCATENATE('Cable Info'!R88," - ",'Cable Info'!S88))</f>
        <v>#N/A</v>
      </c>
      <c r="BB388" s="166" t="e">
        <f t="shared" si="93"/>
        <v>#N/A</v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e">
        <f>IF('Cable Info'!R89="","",CONCATENATE('Cable Info'!R89," - ",'Cable Info'!S89))</f>
        <v>#N/A</v>
      </c>
      <c r="BB389" s="166" t="e">
        <f t="shared" si="93"/>
        <v>#N/A</v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e">
        <f>IF('Cable Info'!R90="","",CONCATENATE('Cable Info'!R90," - ",'Cable Info'!S90))</f>
        <v>#N/A</v>
      </c>
      <c r="BB390" s="166" t="e">
        <f t="shared" si="93"/>
        <v>#N/A</v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e">
        <f>IF('Cable Info'!R91="","",CONCATENATE('Cable Info'!R91," - ",'Cable Info'!S91))</f>
        <v>#N/A</v>
      </c>
      <c r="BB391" s="166" t="e">
        <f t="shared" si="93"/>
        <v>#N/A</v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e">
        <f>IF('Cable Info'!R92="","",CONCATENATE('Cable Info'!R92," - ",'Cable Info'!S92))</f>
        <v>#N/A</v>
      </c>
      <c r="BB392" s="166" t="e">
        <f t="shared" si="93"/>
        <v>#N/A</v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e">
        <f>IF('Cable Info'!R93="","",CONCATENATE('Cable Info'!R93," - ",'Cable Info'!S93))</f>
        <v>#N/A</v>
      </c>
      <c r="BB393" s="166" t="e">
        <f t="shared" si="93"/>
        <v>#N/A</v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e">
        <f>IF('Cable Info'!R94="","",CONCATENATE('Cable Info'!R94," - ",'Cable Info'!S94))</f>
        <v>#N/A</v>
      </c>
      <c r="BB394" s="166" t="e">
        <f t="shared" si="93"/>
        <v>#N/A</v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e">
        <f>IF('Cable Info'!R95="","",CONCATENATE('Cable Info'!R95," - ",'Cable Info'!S95))</f>
        <v>#N/A</v>
      </c>
      <c r="BB395" s="166" t="e">
        <f t="shared" si="93"/>
        <v>#N/A</v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e">
        <f>IF('Cable Info'!R96="","",CONCATENATE('Cable Info'!R96," - ",'Cable Info'!S96))</f>
        <v>#N/A</v>
      </c>
      <c r="BB396" s="166" t="e">
        <f t="shared" si="93"/>
        <v>#N/A</v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e">
        <f>IF('Cable Info'!R97="","",CONCATENATE('Cable Info'!R97," - ",'Cable Info'!S97))</f>
        <v>#N/A</v>
      </c>
      <c r="BB397" s="166" t="e">
        <f t="shared" si="93"/>
        <v>#N/A</v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e">
        <f>IF('Cable Info'!R98="","",CONCATENATE('Cable Info'!R98," - ",'Cable Info'!S98))</f>
        <v>#N/A</v>
      </c>
      <c r="BB398" s="166" t="e">
        <f t="shared" si="93"/>
        <v>#N/A</v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e">
        <f>IF('Cable Info'!R99="","",CONCATENATE('Cable Info'!R99," - ",'Cable Info'!S99))</f>
        <v>#N/A</v>
      </c>
      <c r="BB399" s="166" t="e">
        <f t="shared" si="93"/>
        <v>#N/A</v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e">
        <f>IF('Cable Info'!R100="","",CONCATENATE('Cable Info'!R100," - ",'Cable Info'!S100))</f>
        <v>#N/A</v>
      </c>
      <c r="BB400" s="166" t="e">
        <f t="shared" si="93"/>
        <v>#N/A</v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e">
        <f>IF('Cable Info'!R101="","",CONCATENATE('Cable Info'!R101," - ",'Cable Info'!S101))</f>
        <v>#N/A</v>
      </c>
      <c r="BB401" s="166" t="e">
        <f t="shared" si="93"/>
        <v>#N/A</v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e">
        <f>IF('Cable Info'!R102="","",CONCATENATE('Cable Info'!R102," - ",'Cable Info'!S102))</f>
        <v>#N/A</v>
      </c>
      <c r="BB402" s="166" t="e">
        <f t="shared" si="93"/>
        <v>#N/A</v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e">
        <f>IF('Cable Info'!R103="","",CONCATENATE('Cable Info'!R103," - ",'Cable Info'!S103))</f>
        <v>#N/A</v>
      </c>
      <c r="BB403" s="166" t="e">
        <f t="shared" si="93"/>
        <v>#N/A</v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e">
        <f>IF('Cable Info'!R104="","",CONCATENATE('Cable Info'!R104," - ",'Cable Info'!S104))</f>
        <v>#N/A</v>
      </c>
      <c r="BB404" s="166" t="e">
        <f t="shared" si="93"/>
        <v>#N/A</v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e">
        <f>IF('Cable Info'!R105="","",CONCATENATE('Cable Info'!R105," - ",'Cable Info'!S105))</f>
        <v>#N/A</v>
      </c>
      <c r="BB405" s="166" t="e">
        <f t="shared" si="93"/>
        <v>#N/A</v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e">
        <f>IF('Cable Info'!R106="","",CONCATENATE('Cable Info'!R106," - ",'Cable Info'!S106))</f>
        <v>#N/A</v>
      </c>
      <c r="BB406" s="166" t="e">
        <f t="shared" si="93"/>
        <v>#N/A</v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e">
        <f>IF('Cable Info'!R107="","",CONCATENATE('Cable Info'!R107," - ",'Cable Info'!S107))</f>
        <v>#N/A</v>
      </c>
      <c r="BB407" s="166" t="e">
        <f t="shared" si="93"/>
        <v>#N/A</v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e">
        <f>IF('Cable Info'!R108="","",CONCATENATE('Cable Info'!R108," - ",'Cable Info'!S108))</f>
        <v>#N/A</v>
      </c>
      <c r="BB408" s="166" t="e">
        <f t="shared" si="93"/>
        <v>#N/A</v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e">
        <f>IF('Cable Info'!R109="","",CONCATENATE('Cable Info'!R109," - ",'Cable Info'!S109))</f>
        <v>#N/A</v>
      </c>
      <c r="BB409" s="166" t="e">
        <f t="shared" si="93"/>
        <v>#N/A</v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e">
        <f>IF('Cable Info'!R110="","",CONCATENATE('Cable Info'!R110," - ",'Cable Info'!S110))</f>
        <v>#N/A</v>
      </c>
      <c r="BB410" s="166" t="e">
        <f t="shared" si="93"/>
        <v>#N/A</v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e">
        <f>IF('Cable Info'!R111="","",CONCATENATE('Cable Info'!R111," - ",'Cable Info'!S111))</f>
        <v>#N/A</v>
      </c>
      <c r="BB411" s="166" t="e">
        <f t="shared" si="93"/>
        <v>#N/A</v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e">
        <f>IF('Cable Info'!R112="","",CONCATENATE('Cable Info'!R112," - ",'Cable Info'!S112))</f>
        <v>#N/A</v>
      </c>
      <c r="BB412" s="166" t="e">
        <f t="shared" si="93"/>
        <v>#N/A</v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e">
        <f>IF('Cable Info'!R113="","",CONCATENATE('Cable Info'!R113," - ",'Cable Info'!S113))</f>
        <v>#N/A</v>
      </c>
      <c r="BB413" s="166" t="e">
        <f t="shared" si="93"/>
        <v>#N/A</v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e">
        <f>IF('Cable Info'!R114="","",CONCATENATE('Cable Info'!R114," - ",'Cable Info'!S114))</f>
        <v>#N/A</v>
      </c>
      <c r="BB414" s="166" t="e">
        <f t="shared" si="93"/>
        <v>#N/A</v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e">
        <f>IF('Cable Info'!R115="","",CONCATENATE('Cable Info'!R115," - ",'Cable Info'!S115))</f>
        <v>#N/A</v>
      </c>
      <c r="BB415" s="166" t="e">
        <f t="shared" si="93"/>
        <v>#N/A</v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e">
        <f>IF('Cable Info'!R116="","",CONCATENATE('Cable Info'!R116," - ",'Cable Info'!S116))</f>
        <v>#N/A</v>
      </c>
      <c r="BB416" s="166" t="e">
        <f t="shared" si="93"/>
        <v>#N/A</v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e">
        <f>IF('Cable Info'!R117="","",CONCATENATE('Cable Info'!R117," - ",'Cable Info'!S117))</f>
        <v>#N/A</v>
      </c>
      <c r="BB417" s="166" t="e">
        <f t="shared" si="93"/>
        <v>#N/A</v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e">
        <f>IF('Cable Info'!R118="","",CONCATENATE('Cable Info'!R118," - ",'Cable Info'!S118))</f>
        <v>#N/A</v>
      </c>
      <c r="BB418" s="166" t="e">
        <f t="shared" si="93"/>
        <v>#N/A</v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e">
        <f>IF('Cable Info'!R119="","",CONCATENATE('Cable Info'!R119," - ",'Cable Info'!S119))</f>
        <v>#N/A</v>
      </c>
      <c r="BB419" s="166" t="e">
        <f t="shared" si="93"/>
        <v>#N/A</v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e">
        <f>IF('Cable Info'!R120="","",CONCATENATE('Cable Info'!R120," - ",'Cable Info'!S120))</f>
        <v>#N/A</v>
      </c>
      <c r="BB420" s="166" t="e">
        <f t="shared" si="93"/>
        <v>#N/A</v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e">
        <f>IF('Cable Info'!R121="","",CONCATENATE('Cable Info'!R121," - ",'Cable Info'!S121))</f>
        <v>#N/A</v>
      </c>
      <c r="BB421" s="166" t="e">
        <f t="shared" si="93"/>
        <v>#N/A</v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e">
        <f>IF('Cable Info'!R122="","",CONCATENATE('Cable Info'!R122," - ",'Cable Info'!S122))</f>
        <v>#N/A</v>
      </c>
      <c r="BB422" s="166" t="e">
        <f t="shared" si="93"/>
        <v>#N/A</v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e">
        <f>IF('Cable Info'!R123="","",CONCATENATE('Cable Info'!R123," - ",'Cable Info'!S123))</f>
        <v>#N/A</v>
      </c>
      <c r="BB423" s="166" t="e">
        <f t="shared" si="93"/>
        <v>#N/A</v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e">
        <f>IF('Cable Info'!R124="","",CONCATENATE('Cable Info'!R124," - ",'Cable Info'!S124))</f>
        <v>#N/A</v>
      </c>
      <c r="BB424" s="166" t="e">
        <f t="shared" si="93"/>
        <v>#N/A</v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e">
        <f>IF('Cable Info'!R125="","",CONCATENATE('Cable Info'!R125," - ",'Cable Info'!S125))</f>
        <v>#N/A</v>
      </c>
      <c r="BB425" s="166" t="e">
        <f t="shared" si="93"/>
        <v>#N/A</v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e">
        <f>IF('Cable Info'!R126="","",CONCATENATE('Cable Info'!R126," - ",'Cable Info'!S126))</f>
        <v>#N/A</v>
      </c>
      <c r="BB426" s="166" t="e">
        <f t="shared" si="93"/>
        <v>#N/A</v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e">
        <f>IF('Cable Info'!R127="","",CONCATENATE('Cable Info'!R127," - ",'Cable Info'!S127))</f>
        <v>#N/A</v>
      </c>
      <c r="BB427" s="166" t="e">
        <f t="shared" si="93"/>
        <v>#N/A</v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e">
        <f>IF('Cable Info'!R128="","",CONCATENATE('Cable Info'!R128," - ",'Cable Info'!S128))</f>
        <v>#N/A</v>
      </c>
      <c r="BB428" s="166" t="e">
        <f t="shared" si="93"/>
        <v>#N/A</v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e">
        <f>IF('Cable Info'!R129="","",CONCATENATE('Cable Info'!R129," - ",'Cable Info'!S129))</f>
        <v>#N/A</v>
      </c>
      <c r="BB429" s="166" t="e">
        <f t="shared" si="93"/>
        <v>#N/A</v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e">
        <f>IF('Cable Info'!R130="","",CONCATENATE('Cable Info'!R130," - ",'Cable Info'!S130))</f>
        <v>#N/A</v>
      </c>
      <c r="BB430" s="166" t="e">
        <f t="shared" si="93"/>
        <v>#N/A</v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e">
        <f>IF('Cable Info'!R131="","",CONCATENATE('Cable Info'!R131," - ",'Cable Info'!S131))</f>
        <v>#N/A</v>
      </c>
      <c r="BB431" s="166" t="e">
        <f t="shared" si="93"/>
        <v>#N/A</v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e">
        <f>IF('Cable Info'!R132="","",CONCATENATE('Cable Info'!R132," - ",'Cable Info'!S132))</f>
        <v>#N/A</v>
      </c>
      <c r="BB432" s="166" t="e">
        <f t="shared" ref="BB432:BB495" si="99">IF(AZ432="",AY432,CONCATENATE(AY432,"  &lt;=&gt; ",AZ432," ",BA432))</f>
        <v>#N/A</v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e">
        <f>IF('Cable Info'!R133="","",CONCATENATE('Cable Info'!R133," - ",'Cable Info'!S133))</f>
        <v>#N/A</v>
      </c>
      <c r="BB433" s="166" t="e">
        <f t="shared" si="99"/>
        <v>#N/A</v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e">
        <f>IF('Cable Info'!R134="","",CONCATENATE('Cable Info'!R134," - ",'Cable Info'!S134))</f>
        <v>#N/A</v>
      </c>
      <c r="BB434" s="166" t="e">
        <f t="shared" si="99"/>
        <v>#N/A</v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e">
        <f>IF('Cable Info'!R135="","",CONCATENATE('Cable Info'!R135," - ",'Cable Info'!S135))</f>
        <v>#N/A</v>
      </c>
      <c r="BB435" s="166" t="e">
        <f t="shared" si="99"/>
        <v>#N/A</v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e">
        <f>IF('Cable Info'!R136="","",CONCATENATE('Cable Info'!R136," - ",'Cable Info'!S136))</f>
        <v>#N/A</v>
      </c>
      <c r="BB436" s="166" t="e">
        <f t="shared" si="99"/>
        <v>#N/A</v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e">
        <f>IF('Cable Info'!R137="","",CONCATENATE('Cable Info'!R137," - ",'Cable Info'!S137))</f>
        <v>#N/A</v>
      </c>
      <c r="BB437" s="166" t="e">
        <f t="shared" si="99"/>
        <v>#N/A</v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e">
        <f>IF('Cable Info'!R138="","",CONCATENATE('Cable Info'!R138," - ",'Cable Info'!S138))</f>
        <v>#N/A</v>
      </c>
      <c r="BB438" s="166" t="e">
        <f t="shared" si="99"/>
        <v>#N/A</v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e">
        <f>IF('Cable Info'!R139="","",CONCATENATE('Cable Info'!R139," - ",'Cable Info'!S139))</f>
        <v>#N/A</v>
      </c>
      <c r="BB439" s="166" t="e">
        <f t="shared" si="99"/>
        <v>#N/A</v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e">
        <f>IF('Cable Info'!R140="","",CONCATENATE('Cable Info'!R140," - ",'Cable Info'!S140))</f>
        <v>#N/A</v>
      </c>
      <c r="BB440" s="166" t="e">
        <f t="shared" si="99"/>
        <v>#N/A</v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e">
        <f>IF('Cable Info'!R141="","",CONCATENATE('Cable Info'!R141," - ",'Cable Info'!S141))</f>
        <v>#N/A</v>
      </c>
      <c r="BB441" s="166" t="e">
        <f t="shared" si="99"/>
        <v>#N/A</v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e">
        <f>IF('Cable Info'!R142="","",CONCATENATE('Cable Info'!R142," - ",'Cable Info'!S142))</f>
        <v>#N/A</v>
      </c>
      <c r="BB442" s="166" t="e">
        <f t="shared" si="99"/>
        <v>#N/A</v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e">
        <f>IF('Cable Info'!R143="","",CONCATENATE('Cable Info'!R143," - ",'Cable Info'!S143))</f>
        <v>#N/A</v>
      </c>
      <c r="BB443" s="166" t="e">
        <f t="shared" si="99"/>
        <v>#N/A</v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e">
        <f>IF('Cable Info'!R144="","",CONCATENATE('Cable Info'!R144," - ",'Cable Info'!S144))</f>
        <v>#N/A</v>
      </c>
      <c r="BB444" s="166" t="e">
        <f t="shared" si="99"/>
        <v>#N/A</v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e">
        <f>IF('Cable Info'!R145="","",CONCATENATE('Cable Info'!R145," - ",'Cable Info'!S145))</f>
        <v>#N/A</v>
      </c>
      <c r="BB445" s="166" t="e">
        <f t="shared" si="99"/>
        <v>#N/A</v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40625"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Travis Shelton</cp:lastModifiedBy>
  <dcterms:created xsi:type="dcterms:W3CDTF">2014-08-19T00:06:31Z</dcterms:created>
  <dcterms:modified xsi:type="dcterms:W3CDTF">2018-03-06T00:36:49Z</dcterms:modified>
</cp:coreProperties>
</file>