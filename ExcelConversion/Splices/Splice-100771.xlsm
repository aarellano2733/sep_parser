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-135" yWindow="240" windowWidth="20730" windowHeight="1176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5">Pics!$C$1:$C$8</definedName>
    <definedName name="_xlnm.Print_Area" localSheetId="3">'Scope of Work'!$A$1:$G$54</definedName>
    <definedName name="_xlnm.Print_Area" localSheetId="4">'Splice Table'!$A$10:$X$16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M864" i="7"/>
  <c r="L864" i="7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U861" i="7"/>
  <c r="T861" i="7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M855" i="7"/>
  <c r="L855" i="7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U849" i="7"/>
  <c r="T849" i="7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Q828" i="7"/>
  <c r="P828" i="7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U785" i="7"/>
  <c r="T785" i="7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U775" i="7"/>
  <c r="T775" i="7"/>
  <c r="R775" i="7"/>
  <c r="S775" i="7" s="1"/>
  <c r="P775" i="7"/>
  <c r="Q775" i="7" s="1"/>
  <c r="N775" i="7"/>
  <c r="O775" i="7" s="1"/>
  <c r="M775" i="7"/>
  <c r="L775" i="7"/>
  <c r="V774" i="7"/>
  <c r="W774" i="7" s="1"/>
  <c r="U774" i="7"/>
  <c r="T774" i="7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Q772" i="7"/>
  <c r="P772" i="7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Q768" i="7"/>
  <c r="P768" i="7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P766" i="7"/>
  <c r="Q766" i="7" s="1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P752" i="7"/>
  <c r="Q752" i="7" s="1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T748" i="7"/>
  <c r="U748" i="7" s="1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Q728" i="7"/>
  <c r="P728" i="7"/>
  <c r="N728" i="7"/>
  <c r="O728" i="7" s="1"/>
  <c r="M728" i="7"/>
  <c r="L728" i="7"/>
  <c r="V727" i="7"/>
  <c r="W727" i="7" s="1"/>
  <c r="T727" i="7"/>
  <c r="U727" i="7" s="1"/>
  <c r="R727" i="7"/>
  <c r="S727" i="7" s="1"/>
  <c r="Q727" i="7"/>
  <c r="P727" i="7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Q724" i="7"/>
  <c r="P724" i="7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P715" i="7"/>
  <c r="Q715" i="7" s="1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M704" i="7"/>
  <c r="L704" i="7"/>
  <c r="V703" i="7"/>
  <c r="W703" i="7" s="1"/>
  <c r="T703" i="7"/>
  <c r="U703" i="7" s="1"/>
  <c r="R703" i="7"/>
  <c r="S703" i="7" s="1"/>
  <c r="Q703" i="7"/>
  <c r="P703" i="7"/>
  <c r="N703" i="7"/>
  <c r="O703" i="7" s="1"/>
  <c r="M703" i="7"/>
  <c r="L703" i="7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S683" i="7"/>
  <c r="R683" i="7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O682" i="7"/>
  <c r="N682" i="7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O678" i="7"/>
  <c r="N678" i="7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W676" i="7"/>
  <c r="V676" i="7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O674" i="7"/>
  <c r="N674" i="7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W672" i="7"/>
  <c r="V672" i="7"/>
  <c r="T672" i="7"/>
  <c r="U672" i="7" s="1"/>
  <c r="R672" i="7"/>
  <c r="S672" i="7" s="1"/>
  <c r="P672" i="7"/>
  <c r="Q672" i="7" s="1"/>
  <c r="O672" i="7"/>
  <c r="N672" i="7"/>
  <c r="L672" i="7"/>
  <c r="M672" i="7" s="1"/>
  <c r="V671" i="7"/>
  <c r="W671" i="7" s="1"/>
  <c r="T671" i="7"/>
  <c r="U671" i="7" s="1"/>
  <c r="S671" i="7"/>
  <c r="R671" i="7"/>
  <c r="P671" i="7"/>
  <c r="Q671" i="7" s="1"/>
  <c r="N671" i="7"/>
  <c r="O671" i="7" s="1"/>
  <c r="L671" i="7"/>
  <c r="M671" i="7" s="1"/>
  <c r="W670" i="7"/>
  <c r="V670" i="7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S667" i="7"/>
  <c r="R667" i="7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O666" i="7"/>
  <c r="N666" i="7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S663" i="7"/>
  <c r="R663" i="7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O662" i="7"/>
  <c r="N662" i="7"/>
  <c r="L662" i="7"/>
  <c r="M662" i="7" s="1"/>
  <c r="V661" i="7"/>
  <c r="W661" i="7" s="1"/>
  <c r="T661" i="7"/>
  <c r="U661" i="7" s="1"/>
  <c r="S661" i="7"/>
  <c r="R661" i="7"/>
  <c r="P661" i="7"/>
  <c r="Q661" i="7" s="1"/>
  <c r="N661" i="7"/>
  <c r="O661" i="7" s="1"/>
  <c r="L661" i="7"/>
  <c r="M661" i="7" s="1"/>
  <c r="W660" i="7"/>
  <c r="V660" i="7"/>
  <c r="T660" i="7"/>
  <c r="U660" i="7" s="1"/>
  <c r="R660" i="7"/>
  <c r="S660" i="7" s="1"/>
  <c r="P660" i="7"/>
  <c r="Q660" i="7" s="1"/>
  <c r="O660" i="7"/>
  <c r="N660" i="7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O658" i="7"/>
  <c r="N658" i="7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W656" i="7"/>
  <c r="V656" i="7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S655" i="7"/>
  <c r="R655" i="7"/>
  <c r="P655" i="7"/>
  <c r="Q655" i="7" s="1"/>
  <c r="N655" i="7"/>
  <c r="O655" i="7" s="1"/>
  <c r="L655" i="7"/>
  <c r="M655" i="7" s="1"/>
  <c r="W654" i="7"/>
  <c r="V654" i="7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S651" i="7"/>
  <c r="R651" i="7"/>
  <c r="P651" i="7"/>
  <c r="Q651" i="7" s="1"/>
  <c r="N651" i="7"/>
  <c r="O651" i="7" s="1"/>
  <c r="L651" i="7"/>
  <c r="M651" i="7" s="1"/>
  <c r="W650" i="7"/>
  <c r="V650" i="7"/>
  <c r="T650" i="7"/>
  <c r="U650" i="7" s="1"/>
  <c r="R650" i="7"/>
  <c r="S650" i="7" s="1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V648" i="7"/>
  <c r="W648" i="7" s="1"/>
  <c r="T648" i="7"/>
  <c r="U648" i="7" s="1"/>
  <c r="R648" i="7"/>
  <c r="S648" i="7" s="1"/>
  <c r="P648" i="7"/>
  <c r="Q648" i="7" s="1"/>
  <c r="N648" i="7"/>
  <c r="O648" i="7" s="1"/>
  <c r="L648" i="7"/>
  <c r="M648" i="7" s="1"/>
  <c r="V647" i="7"/>
  <c r="W647" i="7" s="1"/>
  <c r="T647" i="7"/>
  <c r="U647" i="7" s="1"/>
  <c r="R647" i="7"/>
  <c r="S647" i="7" s="1"/>
  <c r="P647" i="7"/>
  <c r="Q647" i="7" s="1"/>
  <c r="N647" i="7"/>
  <c r="O647" i="7" s="1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V645" i="7"/>
  <c r="W645" i="7" s="1"/>
  <c r="T645" i="7"/>
  <c r="U645" i="7" s="1"/>
  <c r="R645" i="7"/>
  <c r="S645" i="7" s="1"/>
  <c r="P645" i="7"/>
  <c r="Q645" i="7" s="1"/>
  <c r="N645" i="7"/>
  <c r="O645" i="7" s="1"/>
  <c r="L645" i="7"/>
  <c r="M645" i="7" s="1"/>
  <c r="W644" i="7"/>
  <c r="V644" i="7"/>
  <c r="T644" i="7"/>
  <c r="U644" i="7" s="1"/>
  <c r="R644" i="7"/>
  <c r="S644" i="7" s="1"/>
  <c r="P644" i="7"/>
  <c r="Q644" i="7" s="1"/>
  <c r="N644" i="7"/>
  <c r="O644" i="7" s="1"/>
  <c r="L644" i="7"/>
  <c r="M644" i="7" s="1"/>
  <c r="V643" i="7"/>
  <c r="W643" i="7" s="1"/>
  <c r="T643" i="7"/>
  <c r="U643" i="7" s="1"/>
  <c r="R643" i="7"/>
  <c r="S643" i="7" s="1"/>
  <c r="P643" i="7"/>
  <c r="Q643" i="7" s="1"/>
  <c r="N643" i="7"/>
  <c r="O643" i="7" s="1"/>
  <c r="L643" i="7"/>
  <c r="M643" i="7" s="1"/>
  <c r="V642" i="7"/>
  <c r="W642" i="7" s="1"/>
  <c r="T642" i="7"/>
  <c r="U642" i="7" s="1"/>
  <c r="R642" i="7"/>
  <c r="S642" i="7" s="1"/>
  <c r="P642" i="7"/>
  <c r="Q642" i="7" s="1"/>
  <c r="N642" i="7"/>
  <c r="O642" i="7" s="1"/>
  <c r="L642" i="7"/>
  <c r="M642" i="7" s="1"/>
  <c r="V641" i="7"/>
  <c r="W641" i="7" s="1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R640" i="7"/>
  <c r="S640" i="7" s="1"/>
  <c r="P640" i="7"/>
  <c r="Q640" i="7" s="1"/>
  <c r="N640" i="7"/>
  <c r="O640" i="7" s="1"/>
  <c r="L640" i="7"/>
  <c r="M640" i="7" s="1"/>
  <c r="V639" i="7"/>
  <c r="W639" i="7" s="1"/>
  <c r="T639" i="7"/>
  <c r="U639" i="7" s="1"/>
  <c r="S639" i="7"/>
  <c r="R639" i="7"/>
  <c r="P639" i="7"/>
  <c r="Q639" i="7" s="1"/>
  <c r="N639" i="7"/>
  <c r="O639" i="7" s="1"/>
  <c r="L639" i="7"/>
  <c r="M639" i="7" s="1"/>
  <c r="V638" i="7"/>
  <c r="W638" i="7" s="1"/>
  <c r="T638" i="7"/>
  <c r="U638" i="7" s="1"/>
  <c r="R638" i="7"/>
  <c r="S638" i="7" s="1"/>
  <c r="P638" i="7"/>
  <c r="Q638" i="7" s="1"/>
  <c r="N638" i="7"/>
  <c r="O638" i="7" s="1"/>
  <c r="L638" i="7"/>
  <c r="M638" i="7" s="1"/>
  <c r="V637" i="7"/>
  <c r="W637" i="7" s="1"/>
  <c r="T637" i="7"/>
  <c r="U637" i="7" s="1"/>
  <c r="R637" i="7"/>
  <c r="S637" i="7" s="1"/>
  <c r="P637" i="7"/>
  <c r="Q637" i="7" s="1"/>
  <c r="N637" i="7"/>
  <c r="O637" i="7" s="1"/>
  <c r="L637" i="7"/>
  <c r="M637" i="7" s="1"/>
  <c r="V636" i="7"/>
  <c r="W636" i="7" s="1"/>
  <c r="T636" i="7"/>
  <c r="U636" i="7" s="1"/>
  <c r="R636" i="7"/>
  <c r="S636" i="7" s="1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N635" i="7"/>
  <c r="O635" i="7" s="1"/>
  <c r="L635" i="7"/>
  <c r="M635" i="7" s="1"/>
  <c r="V634" i="7"/>
  <c r="W634" i="7" s="1"/>
  <c r="T634" i="7"/>
  <c r="U634" i="7" s="1"/>
  <c r="R634" i="7"/>
  <c r="S634" i="7" s="1"/>
  <c r="P634" i="7"/>
  <c r="Q634" i="7" s="1"/>
  <c r="O634" i="7"/>
  <c r="N634" i="7"/>
  <c r="L634" i="7"/>
  <c r="M634" i="7" s="1"/>
  <c r="V633" i="7"/>
  <c r="W633" i="7" s="1"/>
  <c r="T633" i="7"/>
  <c r="U633" i="7" s="1"/>
  <c r="R633" i="7"/>
  <c r="S633" i="7" s="1"/>
  <c r="P633" i="7"/>
  <c r="Q633" i="7" s="1"/>
  <c r="N633" i="7"/>
  <c r="O633" i="7" s="1"/>
  <c r="L633" i="7"/>
  <c r="M633" i="7" s="1"/>
  <c r="V632" i="7"/>
  <c r="W632" i="7" s="1"/>
  <c r="T632" i="7"/>
  <c r="U632" i="7" s="1"/>
  <c r="R632" i="7"/>
  <c r="S632" i="7" s="1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N631" i="7"/>
  <c r="O631" i="7" s="1"/>
  <c r="L631" i="7"/>
  <c r="M631" i="7" s="1"/>
  <c r="V630" i="7"/>
  <c r="W630" i="7" s="1"/>
  <c r="T630" i="7"/>
  <c r="U630" i="7" s="1"/>
  <c r="R630" i="7"/>
  <c r="S630" i="7" s="1"/>
  <c r="P630" i="7"/>
  <c r="Q630" i="7" s="1"/>
  <c r="O630" i="7"/>
  <c r="N630" i="7"/>
  <c r="L630" i="7"/>
  <c r="M630" i="7" s="1"/>
  <c r="V629" i="7"/>
  <c r="W629" i="7" s="1"/>
  <c r="T629" i="7"/>
  <c r="U629" i="7" s="1"/>
  <c r="R629" i="7"/>
  <c r="S629" i="7" s="1"/>
  <c r="P629" i="7"/>
  <c r="Q629" i="7" s="1"/>
  <c r="N629" i="7"/>
  <c r="O629" i="7" s="1"/>
  <c r="L629" i="7"/>
  <c r="M629" i="7" s="1"/>
  <c r="W628" i="7"/>
  <c r="V628" i="7"/>
  <c r="T628" i="7"/>
  <c r="U628" i="7" s="1"/>
  <c r="R628" i="7"/>
  <c r="S628" i="7" s="1"/>
  <c r="P628" i="7"/>
  <c r="Q628" i="7" s="1"/>
  <c r="O628" i="7"/>
  <c r="N628" i="7"/>
  <c r="L628" i="7"/>
  <c r="M628" i="7" s="1"/>
  <c r="V627" i="7"/>
  <c r="W627" i="7" s="1"/>
  <c r="T627" i="7"/>
  <c r="U627" i="7" s="1"/>
  <c r="R627" i="7"/>
  <c r="S627" i="7" s="1"/>
  <c r="P627" i="7"/>
  <c r="Q627" i="7" s="1"/>
  <c r="N627" i="7"/>
  <c r="O627" i="7" s="1"/>
  <c r="L627" i="7"/>
  <c r="M627" i="7" s="1"/>
  <c r="V626" i="7"/>
  <c r="W626" i="7" s="1"/>
  <c r="T626" i="7"/>
  <c r="U626" i="7" s="1"/>
  <c r="R626" i="7"/>
  <c r="S626" i="7" s="1"/>
  <c r="P626" i="7"/>
  <c r="Q626" i="7" s="1"/>
  <c r="N626" i="7"/>
  <c r="O626" i="7" s="1"/>
  <c r="L626" i="7"/>
  <c r="M626" i="7" s="1"/>
  <c r="V625" i="7"/>
  <c r="W625" i="7" s="1"/>
  <c r="T625" i="7"/>
  <c r="U625" i="7" s="1"/>
  <c r="R625" i="7"/>
  <c r="S625" i="7" s="1"/>
  <c r="P625" i="7"/>
  <c r="Q625" i="7" s="1"/>
  <c r="N625" i="7"/>
  <c r="O625" i="7" s="1"/>
  <c r="L625" i="7"/>
  <c r="M625" i="7" s="1"/>
  <c r="W624" i="7"/>
  <c r="V624" i="7"/>
  <c r="T624" i="7"/>
  <c r="U624" i="7" s="1"/>
  <c r="R624" i="7"/>
  <c r="S624" i="7" s="1"/>
  <c r="P624" i="7"/>
  <c r="Q624" i="7" s="1"/>
  <c r="N624" i="7"/>
  <c r="O624" i="7" s="1"/>
  <c r="L624" i="7"/>
  <c r="M624" i="7" s="1"/>
  <c r="V623" i="7"/>
  <c r="W623" i="7" s="1"/>
  <c r="T623" i="7"/>
  <c r="U623" i="7" s="1"/>
  <c r="S623" i="7"/>
  <c r="R623" i="7"/>
  <c r="P623" i="7"/>
  <c r="Q623" i="7" s="1"/>
  <c r="N623" i="7"/>
  <c r="O623" i="7" s="1"/>
  <c r="L623" i="7"/>
  <c r="M623" i="7" s="1"/>
  <c r="V622" i="7"/>
  <c r="W622" i="7" s="1"/>
  <c r="T622" i="7"/>
  <c r="U622" i="7" s="1"/>
  <c r="R622" i="7"/>
  <c r="S622" i="7" s="1"/>
  <c r="P622" i="7"/>
  <c r="Q622" i="7" s="1"/>
  <c r="N622" i="7"/>
  <c r="O622" i="7" s="1"/>
  <c r="L622" i="7"/>
  <c r="M622" i="7" s="1"/>
  <c r="V621" i="7"/>
  <c r="W621" i="7" s="1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R620" i="7"/>
  <c r="S620" i="7" s="1"/>
  <c r="P620" i="7"/>
  <c r="Q620" i="7" s="1"/>
  <c r="N620" i="7"/>
  <c r="O620" i="7" s="1"/>
  <c r="L620" i="7"/>
  <c r="M620" i="7" s="1"/>
  <c r="V619" i="7"/>
  <c r="W619" i="7" s="1"/>
  <c r="T619" i="7"/>
  <c r="U619" i="7" s="1"/>
  <c r="S619" i="7"/>
  <c r="R619" i="7"/>
  <c r="P619" i="7"/>
  <c r="Q619" i="7" s="1"/>
  <c r="N619" i="7"/>
  <c r="O619" i="7" s="1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V617" i="7"/>
  <c r="W617" i="7" s="1"/>
  <c r="T617" i="7"/>
  <c r="U617" i="7" s="1"/>
  <c r="S617" i="7"/>
  <c r="R617" i="7"/>
  <c r="P617" i="7"/>
  <c r="Q617" i="7" s="1"/>
  <c r="N617" i="7"/>
  <c r="O617" i="7" s="1"/>
  <c r="L617" i="7"/>
  <c r="M617" i="7" s="1"/>
  <c r="V616" i="7"/>
  <c r="W616" i="7" s="1"/>
  <c r="T616" i="7"/>
  <c r="U616" i="7" s="1"/>
  <c r="R616" i="7"/>
  <c r="S616" i="7" s="1"/>
  <c r="P616" i="7"/>
  <c r="Q616" i="7" s="1"/>
  <c r="N616" i="7"/>
  <c r="O616" i="7" s="1"/>
  <c r="L616" i="7"/>
  <c r="M616" i="7" s="1"/>
  <c r="V615" i="7"/>
  <c r="W615" i="7" s="1"/>
  <c r="T615" i="7"/>
  <c r="U615" i="7" s="1"/>
  <c r="R615" i="7"/>
  <c r="S615" i="7" s="1"/>
  <c r="P615" i="7"/>
  <c r="Q615" i="7" s="1"/>
  <c r="N615" i="7"/>
  <c r="O615" i="7" s="1"/>
  <c r="L615" i="7"/>
  <c r="M615" i="7" s="1"/>
  <c r="V614" i="7"/>
  <c r="W614" i="7" s="1"/>
  <c r="T614" i="7"/>
  <c r="U614" i="7" s="1"/>
  <c r="R614" i="7"/>
  <c r="S614" i="7" s="1"/>
  <c r="P614" i="7"/>
  <c r="Q614" i="7" s="1"/>
  <c r="O614" i="7"/>
  <c r="N614" i="7"/>
  <c r="L614" i="7"/>
  <c r="M614" i="7" s="1"/>
  <c r="V613" i="7"/>
  <c r="W613" i="7" s="1"/>
  <c r="T613" i="7"/>
  <c r="U613" i="7" s="1"/>
  <c r="R613" i="7"/>
  <c r="S613" i="7" s="1"/>
  <c r="P613" i="7"/>
  <c r="Q613" i="7" s="1"/>
  <c r="N613" i="7"/>
  <c r="O613" i="7" s="1"/>
  <c r="L613" i="7"/>
  <c r="M613" i="7" s="1"/>
  <c r="W612" i="7"/>
  <c r="V612" i="7"/>
  <c r="T612" i="7"/>
  <c r="U612" i="7" s="1"/>
  <c r="R612" i="7"/>
  <c r="S612" i="7" s="1"/>
  <c r="P612" i="7"/>
  <c r="Q612" i="7" s="1"/>
  <c r="N612" i="7"/>
  <c r="O612" i="7" s="1"/>
  <c r="L612" i="7"/>
  <c r="M612" i="7" s="1"/>
  <c r="V611" i="7"/>
  <c r="W611" i="7" s="1"/>
  <c r="T611" i="7"/>
  <c r="U611" i="7" s="1"/>
  <c r="R611" i="7"/>
  <c r="S611" i="7" s="1"/>
  <c r="P611" i="7"/>
  <c r="Q611" i="7" s="1"/>
  <c r="N611" i="7"/>
  <c r="O611" i="7" s="1"/>
  <c r="L611" i="7"/>
  <c r="M611" i="7" s="1"/>
  <c r="V610" i="7"/>
  <c r="W610" i="7" s="1"/>
  <c r="T610" i="7"/>
  <c r="U610" i="7" s="1"/>
  <c r="R610" i="7"/>
  <c r="S610" i="7" s="1"/>
  <c r="P610" i="7"/>
  <c r="Q610" i="7" s="1"/>
  <c r="N610" i="7"/>
  <c r="O610" i="7" s="1"/>
  <c r="L610" i="7"/>
  <c r="M610" i="7" s="1"/>
  <c r="V609" i="7"/>
  <c r="W609" i="7" s="1"/>
  <c r="T609" i="7"/>
  <c r="U609" i="7" s="1"/>
  <c r="R609" i="7"/>
  <c r="S609" i="7" s="1"/>
  <c r="P609" i="7"/>
  <c r="Q609" i="7" s="1"/>
  <c r="N609" i="7"/>
  <c r="O609" i="7" s="1"/>
  <c r="L609" i="7"/>
  <c r="M609" i="7" s="1"/>
  <c r="W608" i="7"/>
  <c r="V608" i="7"/>
  <c r="T608" i="7"/>
  <c r="U608" i="7" s="1"/>
  <c r="R608" i="7"/>
  <c r="S608" i="7" s="1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N607" i="7"/>
  <c r="O607" i="7" s="1"/>
  <c r="L607" i="7"/>
  <c r="M607" i="7" s="1"/>
  <c r="V606" i="7"/>
  <c r="W606" i="7" s="1"/>
  <c r="T606" i="7"/>
  <c r="U606" i="7" s="1"/>
  <c r="R606" i="7"/>
  <c r="S606" i="7" s="1"/>
  <c r="P606" i="7"/>
  <c r="Q606" i="7" s="1"/>
  <c r="N606" i="7"/>
  <c r="O606" i="7" s="1"/>
  <c r="L606" i="7"/>
  <c r="M606" i="7" s="1"/>
  <c r="V605" i="7"/>
  <c r="W605" i="7" s="1"/>
  <c r="T605" i="7"/>
  <c r="U605" i="7" s="1"/>
  <c r="R605" i="7"/>
  <c r="S605" i="7" s="1"/>
  <c r="P605" i="7"/>
  <c r="Q605" i="7" s="1"/>
  <c r="N605" i="7"/>
  <c r="O605" i="7" s="1"/>
  <c r="L605" i="7"/>
  <c r="M605" i="7" s="1"/>
  <c r="V604" i="7"/>
  <c r="W604" i="7" s="1"/>
  <c r="T604" i="7"/>
  <c r="U604" i="7" s="1"/>
  <c r="R604" i="7"/>
  <c r="S604" i="7" s="1"/>
  <c r="P604" i="7"/>
  <c r="Q604" i="7" s="1"/>
  <c r="N604" i="7"/>
  <c r="O604" i="7" s="1"/>
  <c r="L604" i="7"/>
  <c r="M604" i="7" s="1"/>
  <c r="V603" i="7"/>
  <c r="W603" i="7" s="1"/>
  <c r="T603" i="7"/>
  <c r="U603" i="7" s="1"/>
  <c r="S603" i="7"/>
  <c r="R603" i="7"/>
  <c r="P603" i="7"/>
  <c r="Q603" i="7" s="1"/>
  <c r="N603" i="7"/>
  <c r="O603" i="7" s="1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V601" i="7"/>
  <c r="W601" i="7" s="1"/>
  <c r="T601" i="7"/>
  <c r="U601" i="7" s="1"/>
  <c r="R601" i="7"/>
  <c r="S601" i="7" s="1"/>
  <c r="P601" i="7"/>
  <c r="Q601" i="7" s="1"/>
  <c r="N601" i="7"/>
  <c r="O601" i="7" s="1"/>
  <c r="L601" i="7"/>
  <c r="M601" i="7" s="1"/>
  <c r="V600" i="7"/>
  <c r="W600" i="7" s="1"/>
  <c r="T600" i="7"/>
  <c r="U600" i="7" s="1"/>
  <c r="R600" i="7"/>
  <c r="S600" i="7" s="1"/>
  <c r="P600" i="7"/>
  <c r="Q600" i="7" s="1"/>
  <c r="N600" i="7"/>
  <c r="O600" i="7" s="1"/>
  <c r="L600" i="7"/>
  <c r="M600" i="7" s="1"/>
  <c r="V599" i="7"/>
  <c r="W599" i="7" s="1"/>
  <c r="T599" i="7"/>
  <c r="U599" i="7" s="1"/>
  <c r="R599" i="7"/>
  <c r="S599" i="7" s="1"/>
  <c r="P599" i="7"/>
  <c r="Q599" i="7" s="1"/>
  <c r="N599" i="7"/>
  <c r="O599" i="7" s="1"/>
  <c r="L599" i="7"/>
  <c r="M599" i="7" s="1"/>
  <c r="V598" i="7"/>
  <c r="W598" i="7" s="1"/>
  <c r="T598" i="7"/>
  <c r="U598" i="7" s="1"/>
  <c r="R598" i="7"/>
  <c r="S598" i="7" s="1"/>
  <c r="P598" i="7"/>
  <c r="Q598" i="7" s="1"/>
  <c r="O598" i="7"/>
  <c r="N598" i="7"/>
  <c r="L598" i="7"/>
  <c r="M598" i="7" s="1"/>
  <c r="V597" i="7"/>
  <c r="W597" i="7" s="1"/>
  <c r="T597" i="7"/>
  <c r="U597" i="7" s="1"/>
  <c r="R597" i="7"/>
  <c r="S597" i="7" s="1"/>
  <c r="P597" i="7"/>
  <c r="Q597" i="7" s="1"/>
  <c r="N597" i="7"/>
  <c r="O597" i="7" s="1"/>
  <c r="L597" i="7"/>
  <c r="M597" i="7" s="1"/>
  <c r="W596" i="7"/>
  <c r="V596" i="7"/>
  <c r="T596" i="7"/>
  <c r="U596" i="7" s="1"/>
  <c r="R596" i="7"/>
  <c r="S596" i="7" s="1"/>
  <c r="P596" i="7"/>
  <c r="Q596" i="7" s="1"/>
  <c r="N596" i="7"/>
  <c r="O596" i="7" s="1"/>
  <c r="L596" i="7"/>
  <c r="M596" i="7" s="1"/>
  <c r="W595" i="7"/>
  <c r="V595" i="7"/>
  <c r="T595" i="7"/>
  <c r="U595" i="7" s="1"/>
  <c r="R595" i="7"/>
  <c r="S595" i="7" s="1"/>
  <c r="Q595" i="7"/>
  <c r="P595" i="7"/>
  <c r="O595" i="7"/>
  <c r="N595" i="7"/>
  <c r="L595" i="7"/>
  <c r="M595" i="7" s="1"/>
  <c r="V594" i="7"/>
  <c r="W594" i="7" s="1"/>
  <c r="U594" i="7"/>
  <c r="T594" i="7"/>
  <c r="S594" i="7"/>
  <c r="R594" i="7"/>
  <c r="P594" i="7"/>
  <c r="Q594" i="7" s="1"/>
  <c r="O594" i="7"/>
  <c r="N594" i="7"/>
  <c r="M594" i="7"/>
  <c r="L594" i="7"/>
  <c r="W593" i="7"/>
  <c r="V593" i="7"/>
  <c r="T593" i="7"/>
  <c r="U593" i="7" s="1"/>
  <c r="R593" i="7"/>
  <c r="S593" i="7" s="1"/>
  <c r="Q593" i="7"/>
  <c r="P593" i="7"/>
  <c r="O593" i="7"/>
  <c r="N593" i="7"/>
  <c r="L593" i="7"/>
  <c r="M593" i="7" s="1"/>
  <c r="W592" i="7"/>
  <c r="V592" i="7"/>
  <c r="U592" i="7"/>
  <c r="T592" i="7"/>
  <c r="S592" i="7"/>
  <c r="R592" i="7"/>
  <c r="P592" i="7"/>
  <c r="Q592" i="7" s="1"/>
  <c r="N592" i="7"/>
  <c r="O592" i="7" s="1"/>
  <c r="M592" i="7"/>
  <c r="L592" i="7"/>
  <c r="W591" i="7"/>
  <c r="V591" i="7"/>
  <c r="T591" i="7"/>
  <c r="U591" i="7" s="1"/>
  <c r="R591" i="7"/>
  <c r="S591" i="7" s="1"/>
  <c r="Q591" i="7"/>
  <c r="P591" i="7"/>
  <c r="O591" i="7"/>
  <c r="N591" i="7"/>
  <c r="L591" i="7"/>
  <c r="M591" i="7" s="1"/>
  <c r="V590" i="7"/>
  <c r="W590" i="7" s="1"/>
  <c r="U590" i="7"/>
  <c r="T590" i="7"/>
  <c r="S590" i="7"/>
  <c r="R590" i="7"/>
  <c r="P590" i="7"/>
  <c r="Q590" i="7" s="1"/>
  <c r="N590" i="7"/>
  <c r="O590" i="7" s="1"/>
  <c r="M590" i="7"/>
  <c r="L590" i="7"/>
  <c r="W589" i="7"/>
  <c r="V589" i="7"/>
  <c r="T589" i="7"/>
  <c r="U589" i="7" s="1"/>
  <c r="R589" i="7"/>
  <c r="S589" i="7" s="1"/>
  <c r="Q589" i="7"/>
  <c r="P589" i="7"/>
  <c r="O589" i="7"/>
  <c r="N589" i="7"/>
  <c r="L589" i="7"/>
  <c r="M589" i="7" s="1"/>
  <c r="W588" i="7"/>
  <c r="V588" i="7"/>
  <c r="U588" i="7"/>
  <c r="T588" i="7"/>
  <c r="S588" i="7"/>
  <c r="R588" i="7"/>
  <c r="P588" i="7"/>
  <c r="Q588" i="7" s="1"/>
  <c r="N588" i="7"/>
  <c r="O588" i="7" s="1"/>
  <c r="M588" i="7"/>
  <c r="L588" i="7"/>
  <c r="W587" i="7"/>
  <c r="V587" i="7"/>
  <c r="T587" i="7"/>
  <c r="U587" i="7" s="1"/>
  <c r="S587" i="7"/>
  <c r="R587" i="7"/>
  <c r="Q587" i="7"/>
  <c r="P587" i="7"/>
  <c r="O587" i="7"/>
  <c r="N587" i="7"/>
  <c r="L587" i="7"/>
  <c r="M587" i="7" s="1"/>
  <c r="W586" i="7"/>
  <c r="V586" i="7"/>
  <c r="U586" i="7"/>
  <c r="T586" i="7"/>
  <c r="S586" i="7"/>
  <c r="R586" i="7"/>
  <c r="P586" i="7"/>
  <c r="Q586" i="7" s="1"/>
  <c r="N586" i="7"/>
  <c r="O586" i="7" s="1"/>
  <c r="M586" i="7"/>
  <c r="L586" i="7"/>
  <c r="W585" i="7"/>
  <c r="V585" i="7"/>
  <c r="T585" i="7"/>
  <c r="U585" i="7" s="1"/>
  <c r="R585" i="7"/>
  <c r="S585" i="7" s="1"/>
  <c r="Q585" i="7"/>
  <c r="P585" i="7"/>
  <c r="O585" i="7"/>
  <c r="N585" i="7"/>
  <c r="L585" i="7"/>
  <c r="M585" i="7" s="1"/>
  <c r="V584" i="7"/>
  <c r="W584" i="7" s="1"/>
  <c r="U584" i="7"/>
  <c r="T584" i="7"/>
  <c r="S584" i="7"/>
  <c r="R584" i="7"/>
  <c r="P584" i="7"/>
  <c r="Q584" i="7" s="1"/>
  <c r="N584" i="7"/>
  <c r="O584" i="7" s="1"/>
  <c r="M584" i="7"/>
  <c r="L584" i="7"/>
  <c r="W583" i="7"/>
  <c r="V583" i="7"/>
  <c r="T583" i="7"/>
  <c r="U583" i="7" s="1"/>
  <c r="S583" i="7"/>
  <c r="R583" i="7"/>
  <c r="Q583" i="7"/>
  <c r="P583" i="7"/>
  <c r="O583" i="7"/>
  <c r="N583" i="7"/>
  <c r="L583" i="7"/>
  <c r="M583" i="7" s="1"/>
  <c r="V582" i="7"/>
  <c r="W582" i="7" s="1"/>
  <c r="U582" i="7"/>
  <c r="T582" i="7"/>
  <c r="S582" i="7"/>
  <c r="R582" i="7"/>
  <c r="P582" i="7"/>
  <c r="Q582" i="7" s="1"/>
  <c r="O582" i="7"/>
  <c r="N582" i="7"/>
  <c r="M582" i="7"/>
  <c r="L582" i="7"/>
  <c r="W581" i="7"/>
  <c r="V581" i="7"/>
  <c r="T581" i="7"/>
  <c r="U581" i="7" s="1"/>
  <c r="R581" i="7"/>
  <c r="S581" i="7" s="1"/>
  <c r="Q581" i="7"/>
  <c r="P581" i="7"/>
  <c r="O581" i="7"/>
  <c r="N581" i="7"/>
  <c r="L581" i="7"/>
  <c r="M581" i="7" s="1"/>
  <c r="W580" i="7"/>
  <c r="V580" i="7"/>
  <c r="U580" i="7"/>
  <c r="T580" i="7"/>
  <c r="S580" i="7"/>
  <c r="R580" i="7"/>
  <c r="P580" i="7"/>
  <c r="Q580" i="7" s="1"/>
  <c r="N580" i="7"/>
  <c r="O580" i="7" s="1"/>
  <c r="M580" i="7"/>
  <c r="L580" i="7"/>
  <c r="W579" i="7"/>
  <c r="V579" i="7"/>
  <c r="T579" i="7"/>
  <c r="U579" i="7" s="1"/>
  <c r="R579" i="7"/>
  <c r="S579" i="7" s="1"/>
  <c r="Q579" i="7"/>
  <c r="P579" i="7"/>
  <c r="O579" i="7"/>
  <c r="N579" i="7"/>
  <c r="L579" i="7"/>
  <c r="M579" i="7" s="1"/>
  <c r="V578" i="7"/>
  <c r="W578" i="7" s="1"/>
  <c r="U578" i="7"/>
  <c r="T578" i="7"/>
  <c r="S578" i="7"/>
  <c r="R578" i="7"/>
  <c r="P578" i="7"/>
  <c r="Q578" i="7" s="1"/>
  <c r="O578" i="7"/>
  <c r="N578" i="7"/>
  <c r="M578" i="7"/>
  <c r="L578" i="7"/>
  <c r="W577" i="7"/>
  <c r="V577" i="7"/>
  <c r="T577" i="7"/>
  <c r="U577" i="7" s="1"/>
  <c r="R577" i="7"/>
  <c r="S577" i="7" s="1"/>
  <c r="Q577" i="7"/>
  <c r="P577" i="7"/>
  <c r="O577" i="7"/>
  <c r="N577" i="7"/>
  <c r="L577" i="7"/>
  <c r="M577" i="7" s="1"/>
  <c r="W576" i="7"/>
  <c r="V576" i="7"/>
  <c r="U576" i="7"/>
  <c r="T576" i="7"/>
  <c r="S576" i="7"/>
  <c r="R576" i="7"/>
  <c r="P576" i="7"/>
  <c r="Q576" i="7" s="1"/>
  <c r="N576" i="7"/>
  <c r="O576" i="7" s="1"/>
  <c r="M576" i="7"/>
  <c r="L576" i="7"/>
  <c r="V575" i="7"/>
  <c r="W575" i="7" s="1"/>
  <c r="U575" i="7"/>
  <c r="T575" i="7"/>
  <c r="R575" i="7"/>
  <c r="S575" i="7" s="1"/>
  <c r="Q575" i="7"/>
  <c r="P575" i="7"/>
  <c r="N575" i="7"/>
  <c r="O575" i="7" s="1"/>
  <c r="M575" i="7"/>
  <c r="L575" i="7"/>
  <c r="W574" i="7"/>
  <c r="V574" i="7"/>
  <c r="T574" i="7"/>
  <c r="U574" i="7" s="1"/>
  <c r="R574" i="7"/>
  <c r="S574" i="7" s="1"/>
  <c r="Q574" i="7"/>
  <c r="P574" i="7"/>
  <c r="N574" i="7"/>
  <c r="O574" i="7" s="1"/>
  <c r="M574" i="7"/>
  <c r="L574" i="7"/>
  <c r="V573" i="7"/>
  <c r="W573" i="7" s="1"/>
  <c r="U573" i="7"/>
  <c r="T573" i="7"/>
  <c r="R573" i="7"/>
  <c r="S573" i="7" s="1"/>
  <c r="P573" i="7"/>
  <c r="Q573" i="7" s="1"/>
  <c r="N573" i="7"/>
  <c r="O573" i="7" s="1"/>
  <c r="M573" i="7"/>
  <c r="L573" i="7"/>
  <c r="W572" i="7"/>
  <c r="V572" i="7"/>
  <c r="T572" i="7"/>
  <c r="U572" i="7" s="1"/>
  <c r="R572" i="7"/>
  <c r="S572" i="7" s="1"/>
  <c r="Q572" i="7"/>
  <c r="P572" i="7"/>
  <c r="N572" i="7"/>
  <c r="O572" i="7" s="1"/>
  <c r="L572" i="7"/>
  <c r="M572" i="7" s="1"/>
  <c r="V571" i="7"/>
  <c r="W571" i="7" s="1"/>
  <c r="U571" i="7"/>
  <c r="T571" i="7"/>
  <c r="S571" i="7"/>
  <c r="R571" i="7"/>
  <c r="Q571" i="7"/>
  <c r="P571" i="7"/>
  <c r="N571" i="7"/>
  <c r="O571" i="7" s="1"/>
  <c r="M571" i="7"/>
  <c r="L571" i="7"/>
  <c r="V570" i="7"/>
  <c r="W570" i="7" s="1"/>
  <c r="T570" i="7"/>
  <c r="U570" i="7" s="1"/>
  <c r="R570" i="7"/>
  <c r="S570" i="7" s="1"/>
  <c r="Q570" i="7"/>
  <c r="P570" i="7"/>
  <c r="N570" i="7"/>
  <c r="O570" i="7" s="1"/>
  <c r="M570" i="7"/>
  <c r="L570" i="7"/>
  <c r="V569" i="7"/>
  <c r="W569" i="7" s="1"/>
  <c r="U569" i="7"/>
  <c r="T569" i="7"/>
  <c r="R569" i="7"/>
  <c r="S569" i="7" s="1"/>
  <c r="Q569" i="7"/>
  <c r="P569" i="7"/>
  <c r="N569" i="7"/>
  <c r="O569" i="7" s="1"/>
  <c r="M569" i="7"/>
  <c r="L569" i="7"/>
  <c r="V568" i="7"/>
  <c r="W568" i="7" s="1"/>
  <c r="T568" i="7"/>
  <c r="U568" i="7" s="1"/>
  <c r="R568" i="7"/>
  <c r="S568" i="7" s="1"/>
  <c r="Q568" i="7"/>
  <c r="P568" i="7"/>
  <c r="N568" i="7"/>
  <c r="O568" i="7" s="1"/>
  <c r="M568" i="7"/>
  <c r="L568" i="7"/>
  <c r="V567" i="7"/>
  <c r="W567" i="7" s="1"/>
  <c r="U567" i="7"/>
  <c r="T567" i="7"/>
  <c r="S567" i="7"/>
  <c r="R567" i="7"/>
  <c r="P567" i="7"/>
  <c r="Q567" i="7" s="1"/>
  <c r="N567" i="7"/>
  <c r="O567" i="7" s="1"/>
  <c r="M567" i="7"/>
  <c r="L567" i="7"/>
  <c r="V566" i="7"/>
  <c r="W566" i="7" s="1"/>
  <c r="T566" i="7"/>
  <c r="U566" i="7" s="1"/>
  <c r="R566" i="7"/>
  <c r="S566" i="7" s="1"/>
  <c r="Q566" i="7"/>
  <c r="P566" i="7"/>
  <c r="O566" i="7"/>
  <c r="N566" i="7"/>
  <c r="M566" i="7"/>
  <c r="L566" i="7"/>
  <c r="V565" i="7"/>
  <c r="W565" i="7" s="1"/>
  <c r="U565" i="7"/>
  <c r="T565" i="7"/>
  <c r="S565" i="7"/>
  <c r="R565" i="7"/>
  <c r="P565" i="7"/>
  <c r="Q565" i="7" s="1"/>
  <c r="N565" i="7"/>
  <c r="O565" i="7" s="1"/>
  <c r="M565" i="7"/>
  <c r="L565" i="7"/>
  <c r="V564" i="7"/>
  <c r="W564" i="7" s="1"/>
  <c r="U564" i="7"/>
  <c r="T564" i="7"/>
  <c r="R564" i="7"/>
  <c r="S564" i="7" s="1"/>
  <c r="Q564" i="7"/>
  <c r="P564" i="7"/>
  <c r="O564" i="7"/>
  <c r="N564" i="7"/>
  <c r="L564" i="7"/>
  <c r="M564" i="7" s="1"/>
  <c r="V563" i="7"/>
  <c r="W563" i="7" s="1"/>
  <c r="U563" i="7"/>
  <c r="T563" i="7"/>
  <c r="R563" i="7"/>
  <c r="S563" i="7" s="1"/>
  <c r="Q563" i="7"/>
  <c r="P563" i="7"/>
  <c r="N563" i="7"/>
  <c r="O563" i="7" s="1"/>
  <c r="M563" i="7"/>
  <c r="L563" i="7"/>
  <c r="V562" i="7"/>
  <c r="W562" i="7" s="1"/>
  <c r="T562" i="7"/>
  <c r="U562" i="7" s="1"/>
  <c r="R562" i="7"/>
  <c r="S562" i="7" s="1"/>
  <c r="Q562" i="7"/>
  <c r="P562" i="7"/>
  <c r="O562" i="7"/>
  <c r="N562" i="7"/>
  <c r="L562" i="7"/>
  <c r="M562" i="7" s="1"/>
  <c r="V561" i="7"/>
  <c r="W561" i="7" s="1"/>
  <c r="U561" i="7"/>
  <c r="T561" i="7"/>
  <c r="R561" i="7"/>
  <c r="S561" i="7" s="1"/>
  <c r="P561" i="7"/>
  <c r="Q561" i="7" s="1"/>
  <c r="N561" i="7"/>
  <c r="O561" i="7" s="1"/>
  <c r="M561" i="7"/>
  <c r="L561" i="7"/>
  <c r="W560" i="7"/>
  <c r="V560" i="7"/>
  <c r="U560" i="7"/>
  <c r="T560" i="7"/>
  <c r="R560" i="7"/>
  <c r="S560" i="7" s="1"/>
  <c r="Q560" i="7"/>
  <c r="P560" i="7"/>
  <c r="O560" i="7"/>
  <c r="N560" i="7"/>
  <c r="L560" i="7"/>
  <c r="M560" i="7" s="1"/>
  <c r="V559" i="7"/>
  <c r="W559" i="7" s="1"/>
  <c r="U559" i="7"/>
  <c r="T559" i="7"/>
  <c r="R559" i="7"/>
  <c r="S559" i="7" s="1"/>
  <c r="Q559" i="7"/>
  <c r="P559" i="7"/>
  <c r="N559" i="7"/>
  <c r="O559" i="7" s="1"/>
  <c r="M559" i="7"/>
  <c r="L559" i="7"/>
  <c r="V558" i="7"/>
  <c r="W558" i="7" s="1"/>
  <c r="U558" i="7"/>
  <c r="T558" i="7"/>
  <c r="R558" i="7"/>
  <c r="S558" i="7" s="1"/>
  <c r="Q558" i="7"/>
  <c r="P558" i="7"/>
  <c r="N558" i="7"/>
  <c r="O558" i="7" s="1"/>
  <c r="L558" i="7"/>
  <c r="M558" i="7" s="1"/>
  <c r="V557" i="7"/>
  <c r="W557" i="7" s="1"/>
  <c r="U557" i="7"/>
  <c r="T557" i="7"/>
  <c r="R557" i="7"/>
  <c r="S557" i="7" s="1"/>
  <c r="Q557" i="7"/>
  <c r="P557" i="7"/>
  <c r="N557" i="7"/>
  <c r="O557" i="7" s="1"/>
  <c r="M557" i="7"/>
  <c r="L557" i="7"/>
  <c r="W556" i="7"/>
  <c r="V556" i="7"/>
  <c r="T556" i="7"/>
  <c r="U556" i="7" s="1"/>
  <c r="R556" i="7"/>
  <c r="S556" i="7" s="1"/>
  <c r="Q556" i="7"/>
  <c r="P556" i="7"/>
  <c r="N556" i="7"/>
  <c r="O556" i="7" s="1"/>
  <c r="L556" i="7"/>
  <c r="M556" i="7" s="1"/>
  <c r="V555" i="7"/>
  <c r="W555" i="7" s="1"/>
  <c r="U555" i="7"/>
  <c r="T555" i="7"/>
  <c r="S555" i="7"/>
  <c r="R555" i="7"/>
  <c r="Q555" i="7"/>
  <c r="P555" i="7"/>
  <c r="N555" i="7"/>
  <c r="O555" i="7" s="1"/>
  <c r="M555" i="7"/>
  <c r="L555" i="7"/>
  <c r="V554" i="7"/>
  <c r="W554" i="7" s="1"/>
  <c r="T554" i="7"/>
  <c r="U554" i="7" s="1"/>
  <c r="R554" i="7"/>
  <c r="S554" i="7" s="1"/>
  <c r="Q554" i="7"/>
  <c r="P554" i="7"/>
  <c r="O554" i="7"/>
  <c r="N554" i="7"/>
  <c r="M554" i="7"/>
  <c r="L554" i="7"/>
  <c r="V553" i="7"/>
  <c r="W553" i="7" s="1"/>
  <c r="U553" i="7"/>
  <c r="T553" i="7"/>
  <c r="S553" i="7"/>
  <c r="R553" i="7"/>
  <c r="P553" i="7"/>
  <c r="Q553" i="7" s="1"/>
  <c r="N553" i="7"/>
  <c r="O553" i="7" s="1"/>
  <c r="M553" i="7"/>
  <c r="L553" i="7"/>
  <c r="V552" i="7"/>
  <c r="W552" i="7" s="1"/>
  <c r="U552" i="7"/>
  <c r="T552" i="7"/>
  <c r="R552" i="7"/>
  <c r="S552" i="7" s="1"/>
  <c r="Q552" i="7"/>
  <c r="P552" i="7"/>
  <c r="N552" i="7"/>
  <c r="O552" i="7" s="1"/>
  <c r="L552" i="7"/>
  <c r="M552" i="7" s="1"/>
  <c r="V551" i="7"/>
  <c r="W551" i="7" s="1"/>
  <c r="U551" i="7"/>
  <c r="T551" i="7"/>
  <c r="S551" i="7"/>
  <c r="R551" i="7"/>
  <c r="P551" i="7"/>
  <c r="Q551" i="7" s="1"/>
  <c r="N551" i="7"/>
  <c r="O551" i="7" s="1"/>
  <c r="M551" i="7"/>
  <c r="L551" i="7"/>
  <c r="V550" i="7"/>
  <c r="W550" i="7" s="1"/>
  <c r="T550" i="7"/>
  <c r="U550" i="7" s="1"/>
  <c r="R550" i="7"/>
  <c r="S550" i="7" s="1"/>
  <c r="Q550" i="7"/>
  <c r="P550" i="7"/>
  <c r="O550" i="7"/>
  <c r="N550" i="7"/>
  <c r="M550" i="7"/>
  <c r="L550" i="7"/>
  <c r="V549" i="7"/>
  <c r="W549" i="7" s="1"/>
  <c r="U549" i="7"/>
  <c r="T549" i="7"/>
  <c r="R549" i="7"/>
  <c r="S549" i="7" s="1"/>
  <c r="P549" i="7"/>
  <c r="Q549" i="7" s="1"/>
  <c r="N549" i="7"/>
  <c r="O549" i="7" s="1"/>
  <c r="M549" i="7"/>
  <c r="L549" i="7"/>
  <c r="V548" i="7"/>
  <c r="W548" i="7" s="1"/>
  <c r="U548" i="7"/>
  <c r="T548" i="7"/>
  <c r="R548" i="7"/>
  <c r="S548" i="7" s="1"/>
  <c r="Q548" i="7"/>
  <c r="P548" i="7"/>
  <c r="N548" i="7"/>
  <c r="O548" i="7" s="1"/>
  <c r="M548" i="7"/>
  <c r="L548" i="7"/>
  <c r="V547" i="7"/>
  <c r="W547" i="7" s="1"/>
  <c r="U547" i="7"/>
  <c r="T547" i="7"/>
  <c r="R547" i="7"/>
  <c r="S547" i="7" s="1"/>
  <c r="P547" i="7"/>
  <c r="Q547" i="7" s="1"/>
  <c r="N547" i="7"/>
  <c r="O547" i="7" s="1"/>
  <c r="M547" i="7"/>
  <c r="L547" i="7"/>
  <c r="V546" i="7"/>
  <c r="W546" i="7" s="1"/>
  <c r="U546" i="7"/>
  <c r="T546" i="7"/>
  <c r="R546" i="7"/>
  <c r="S546" i="7" s="1"/>
  <c r="Q546" i="7"/>
  <c r="P546" i="7"/>
  <c r="O546" i="7"/>
  <c r="N546" i="7"/>
  <c r="L546" i="7"/>
  <c r="M546" i="7" s="1"/>
  <c r="V545" i="7"/>
  <c r="W545" i="7" s="1"/>
  <c r="U545" i="7"/>
  <c r="T545" i="7"/>
  <c r="R545" i="7"/>
  <c r="S545" i="7" s="1"/>
  <c r="P545" i="7"/>
  <c r="Q545" i="7" s="1"/>
  <c r="N545" i="7"/>
  <c r="O545" i="7" s="1"/>
  <c r="M545" i="7"/>
  <c r="L545" i="7"/>
  <c r="W544" i="7"/>
  <c r="V544" i="7"/>
  <c r="U544" i="7"/>
  <c r="T544" i="7"/>
  <c r="R544" i="7"/>
  <c r="S544" i="7" s="1"/>
  <c r="Q544" i="7"/>
  <c r="P544" i="7"/>
  <c r="O544" i="7"/>
  <c r="N544" i="7"/>
  <c r="L544" i="7"/>
  <c r="M544" i="7" s="1"/>
  <c r="V543" i="7"/>
  <c r="W543" i="7" s="1"/>
  <c r="U543" i="7"/>
  <c r="T543" i="7"/>
  <c r="R543" i="7"/>
  <c r="S543" i="7" s="1"/>
  <c r="Q543" i="7"/>
  <c r="P543" i="7"/>
  <c r="N543" i="7"/>
  <c r="O543" i="7" s="1"/>
  <c r="M543" i="7"/>
  <c r="L543" i="7"/>
  <c r="W542" i="7"/>
  <c r="V542" i="7"/>
  <c r="T542" i="7"/>
  <c r="U542" i="7" s="1"/>
  <c r="R542" i="7"/>
  <c r="S542" i="7" s="1"/>
  <c r="Q542" i="7"/>
  <c r="P542" i="7"/>
  <c r="N542" i="7"/>
  <c r="O542" i="7" s="1"/>
  <c r="M542" i="7"/>
  <c r="L542" i="7"/>
  <c r="V541" i="7"/>
  <c r="W541" i="7" s="1"/>
  <c r="U541" i="7"/>
  <c r="T541" i="7"/>
  <c r="R541" i="7"/>
  <c r="S541" i="7" s="1"/>
  <c r="P541" i="7"/>
  <c r="Q541" i="7" s="1"/>
  <c r="N541" i="7"/>
  <c r="O541" i="7" s="1"/>
  <c r="M541" i="7"/>
  <c r="L541" i="7"/>
  <c r="W540" i="7"/>
  <c r="V540" i="7"/>
  <c r="T540" i="7"/>
  <c r="U540" i="7" s="1"/>
  <c r="R540" i="7"/>
  <c r="S540" i="7" s="1"/>
  <c r="Q540" i="7"/>
  <c r="P540" i="7"/>
  <c r="N540" i="7"/>
  <c r="O540" i="7" s="1"/>
  <c r="L540" i="7"/>
  <c r="M540" i="7" s="1"/>
  <c r="V539" i="7"/>
  <c r="W539" i="7" s="1"/>
  <c r="U539" i="7"/>
  <c r="T539" i="7"/>
  <c r="S539" i="7"/>
  <c r="R539" i="7"/>
  <c r="Q539" i="7"/>
  <c r="P539" i="7"/>
  <c r="N539" i="7"/>
  <c r="O539" i="7" s="1"/>
  <c r="M539" i="7"/>
  <c r="L539" i="7"/>
  <c r="W538" i="7"/>
  <c r="V538" i="7"/>
  <c r="T538" i="7"/>
  <c r="U538" i="7" s="1"/>
  <c r="R538" i="7"/>
  <c r="S538" i="7" s="1"/>
  <c r="Q538" i="7"/>
  <c r="P538" i="7"/>
  <c r="O538" i="7"/>
  <c r="N538" i="7"/>
  <c r="M538" i="7"/>
  <c r="L538" i="7"/>
  <c r="V537" i="7"/>
  <c r="W537" i="7" s="1"/>
  <c r="U537" i="7"/>
  <c r="T537" i="7"/>
  <c r="R537" i="7"/>
  <c r="S537" i="7" s="1"/>
  <c r="Q537" i="7"/>
  <c r="P537" i="7"/>
  <c r="N537" i="7"/>
  <c r="O537" i="7" s="1"/>
  <c r="M537" i="7"/>
  <c r="L537" i="7"/>
  <c r="V536" i="7"/>
  <c r="W536" i="7" s="1"/>
  <c r="T536" i="7"/>
  <c r="U536" i="7" s="1"/>
  <c r="R536" i="7"/>
  <c r="S536" i="7" s="1"/>
  <c r="Q536" i="7"/>
  <c r="P536" i="7"/>
  <c r="N536" i="7"/>
  <c r="O536" i="7" s="1"/>
  <c r="M536" i="7"/>
  <c r="L536" i="7"/>
  <c r="V535" i="7"/>
  <c r="W535" i="7" s="1"/>
  <c r="U535" i="7"/>
  <c r="T535" i="7"/>
  <c r="S535" i="7"/>
  <c r="R535" i="7"/>
  <c r="P535" i="7"/>
  <c r="Q535" i="7" s="1"/>
  <c r="N535" i="7"/>
  <c r="O535" i="7" s="1"/>
  <c r="M535" i="7"/>
  <c r="L535" i="7"/>
  <c r="V534" i="7"/>
  <c r="W534" i="7" s="1"/>
  <c r="T534" i="7"/>
  <c r="U534" i="7" s="1"/>
  <c r="R534" i="7"/>
  <c r="S534" i="7" s="1"/>
  <c r="Q534" i="7"/>
  <c r="P534" i="7"/>
  <c r="O534" i="7"/>
  <c r="N534" i="7"/>
  <c r="M534" i="7"/>
  <c r="L534" i="7"/>
  <c r="V533" i="7"/>
  <c r="W533" i="7" s="1"/>
  <c r="U533" i="7"/>
  <c r="T533" i="7"/>
  <c r="R533" i="7"/>
  <c r="S533" i="7" s="1"/>
  <c r="P533" i="7"/>
  <c r="Q533" i="7" s="1"/>
  <c r="N533" i="7"/>
  <c r="O533" i="7" s="1"/>
  <c r="M533" i="7"/>
  <c r="L533" i="7"/>
  <c r="W532" i="7"/>
  <c r="V532" i="7"/>
  <c r="U532" i="7"/>
  <c r="T532" i="7"/>
  <c r="R532" i="7"/>
  <c r="S532" i="7" s="1"/>
  <c r="Q532" i="7"/>
  <c r="P532" i="7"/>
  <c r="O532" i="7"/>
  <c r="N532" i="7"/>
  <c r="L532" i="7"/>
  <c r="M532" i="7" s="1"/>
  <c r="V531" i="7"/>
  <c r="W531" i="7" s="1"/>
  <c r="U531" i="7"/>
  <c r="T531" i="7"/>
  <c r="R531" i="7"/>
  <c r="S531" i="7" s="1"/>
  <c r="Q531" i="7"/>
  <c r="P531" i="7"/>
  <c r="N531" i="7"/>
  <c r="O531" i="7" s="1"/>
  <c r="M531" i="7"/>
  <c r="L531" i="7"/>
  <c r="V530" i="7"/>
  <c r="W530" i="7" s="1"/>
  <c r="T530" i="7"/>
  <c r="U530" i="7" s="1"/>
  <c r="R530" i="7"/>
  <c r="S530" i="7" s="1"/>
  <c r="Q530" i="7"/>
  <c r="P530" i="7"/>
  <c r="O530" i="7"/>
  <c r="N530" i="7"/>
  <c r="L530" i="7"/>
  <c r="M530" i="7" s="1"/>
  <c r="V529" i="7"/>
  <c r="W529" i="7" s="1"/>
  <c r="U529" i="7"/>
  <c r="T529" i="7"/>
  <c r="R529" i="7"/>
  <c r="S529" i="7" s="1"/>
  <c r="P529" i="7"/>
  <c r="Q529" i="7" s="1"/>
  <c r="N529" i="7"/>
  <c r="O529" i="7" s="1"/>
  <c r="M529" i="7"/>
  <c r="L529" i="7"/>
  <c r="W528" i="7"/>
  <c r="V528" i="7"/>
  <c r="U528" i="7"/>
  <c r="T528" i="7"/>
  <c r="R528" i="7"/>
  <c r="S528" i="7" s="1"/>
  <c r="P528" i="7"/>
  <c r="Q528" i="7" s="1"/>
  <c r="N528" i="7"/>
  <c r="O528" i="7" s="1"/>
  <c r="L528" i="7"/>
  <c r="M528" i="7" s="1"/>
  <c r="V527" i="7"/>
  <c r="W527" i="7" s="1"/>
  <c r="T527" i="7"/>
  <c r="U527" i="7" s="1"/>
  <c r="R527" i="7"/>
  <c r="S527" i="7" s="1"/>
  <c r="Q527" i="7"/>
  <c r="P527" i="7"/>
  <c r="N527" i="7"/>
  <c r="O527" i="7" s="1"/>
  <c r="L527" i="7"/>
  <c r="M527" i="7" s="1"/>
  <c r="W526" i="7"/>
  <c r="V526" i="7"/>
  <c r="T526" i="7"/>
  <c r="U526" i="7" s="1"/>
  <c r="R526" i="7"/>
  <c r="S526" i="7" s="1"/>
  <c r="Q526" i="7"/>
  <c r="P526" i="7"/>
  <c r="N526" i="7"/>
  <c r="O526" i="7" s="1"/>
  <c r="M526" i="7"/>
  <c r="L526" i="7"/>
  <c r="V525" i="7"/>
  <c r="W525" i="7" s="1"/>
  <c r="T525" i="7"/>
  <c r="U525" i="7" s="1"/>
  <c r="R525" i="7"/>
  <c r="S525" i="7" s="1"/>
  <c r="P525" i="7"/>
  <c r="Q525" i="7" s="1"/>
  <c r="N525" i="7"/>
  <c r="O525" i="7" s="1"/>
  <c r="M525" i="7"/>
  <c r="L525" i="7"/>
  <c r="W524" i="7"/>
  <c r="V524" i="7"/>
  <c r="T524" i="7"/>
  <c r="U524" i="7" s="1"/>
  <c r="R524" i="7"/>
  <c r="S524" i="7" s="1"/>
  <c r="P524" i="7"/>
  <c r="Q524" i="7" s="1"/>
  <c r="N524" i="7"/>
  <c r="O524" i="7" s="1"/>
  <c r="L524" i="7"/>
  <c r="M524" i="7" s="1"/>
  <c r="V523" i="7"/>
  <c r="W523" i="7" s="1"/>
  <c r="T523" i="7"/>
  <c r="U523" i="7" s="1"/>
  <c r="S523" i="7"/>
  <c r="R523" i="7"/>
  <c r="Q523" i="7"/>
  <c r="P523" i="7"/>
  <c r="N523" i="7"/>
  <c r="O523" i="7" s="1"/>
  <c r="L523" i="7"/>
  <c r="M523" i="7" s="1"/>
  <c r="W522" i="7"/>
  <c r="V522" i="7"/>
  <c r="T522" i="7"/>
  <c r="U522" i="7" s="1"/>
  <c r="R522" i="7"/>
  <c r="S522" i="7" s="1"/>
  <c r="P522" i="7"/>
  <c r="Q522" i="7" s="1"/>
  <c r="O522" i="7"/>
  <c r="N522" i="7"/>
  <c r="M522" i="7"/>
  <c r="L522" i="7"/>
  <c r="V521" i="7"/>
  <c r="W521" i="7" s="1"/>
  <c r="T521" i="7"/>
  <c r="U521" i="7" s="1"/>
  <c r="S521" i="7"/>
  <c r="R521" i="7"/>
  <c r="Q521" i="7"/>
  <c r="P521" i="7"/>
  <c r="N521" i="7"/>
  <c r="O521" i="7" s="1"/>
  <c r="M521" i="7"/>
  <c r="L521" i="7"/>
  <c r="V520" i="7"/>
  <c r="W520" i="7" s="1"/>
  <c r="U520" i="7"/>
  <c r="T520" i="7"/>
  <c r="R520" i="7"/>
  <c r="S520" i="7" s="1"/>
  <c r="P520" i="7"/>
  <c r="Q520" i="7" s="1"/>
  <c r="N520" i="7"/>
  <c r="O520" i="7" s="1"/>
  <c r="M520" i="7"/>
  <c r="L520" i="7"/>
  <c r="V519" i="7"/>
  <c r="W519" i="7" s="1"/>
  <c r="U519" i="7"/>
  <c r="T519" i="7"/>
  <c r="S519" i="7"/>
  <c r="R519" i="7"/>
  <c r="P519" i="7"/>
  <c r="Q519" i="7" s="1"/>
  <c r="N519" i="7"/>
  <c r="O519" i="7" s="1"/>
  <c r="L519" i="7"/>
  <c r="M519" i="7" s="1"/>
  <c r="V518" i="7"/>
  <c r="W518" i="7" s="1"/>
  <c r="T518" i="7"/>
  <c r="U518" i="7" s="1"/>
  <c r="R518" i="7"/>
  <c r="S518" i="7" s="1"/>
  <c r="P518" i="7"/>
  <c r="Q518" i="7" s="1"/>
  <c r="O518" i="7"/>
  <c r="N518" i="7"/>
  <c r="M518" i="7"/>
  <c r="L518" i="7"/>
  <c r="V517" i="7"/>
  <c r="W517" i="7" s="1"/>
  <c r="U517" i="7"/>
  <c r="T517" i="7"/>
  <c r="R517" i="7"/>
  <c r="S517" i="7" s="1"/>
  <c r="P517" i="7"/>
  <c r="Q517" i="7" s="1"/>
  <c r="N517" i="7"/>
  <c r="O517" i="7" s="1"/>
  <c r="L517" i="7"/>
  <c r="M517" i="7" s="1"/>
  <c r="W516" i="7"/>
  <c r="V516" i="7"/>
  <c r="U516" i="7"/>
  <c r="T516" i="7"/>
  <c r="R516" i="7"/>
  <c r="S516" i="7" s="1"/>
  <c r="P516" i="7"/>
  <c r="Q516" i="7" s="1"/>
  <c r="N516" i="7"/>
  <c r="O516" i="7" s="1"/>
  <c r="M516" i="7"/>
  <c r="L516" i="7"/>
  <c r="V515" i="7"/>
  <c r="W515" i="7" s="1"/>
  <c r="U515" i="7"/>
  <c r="T515" i="7"/>
  <c r="R515" i="7"/>
  <c r="S515" i="7" s="1"/>
  <c r="P515" i="7"/>
  <c r="Q515" i="7" s="1"/>
  <c r="N515" i="7"/>
  <c r="O515" i="7" s="1"/>
  <c r="L515" i="7"/>
  <c r="M515" i="7" s="1"/>
  <c r="V514" i="7"/>
  <c r="W514" i="7" s="1"/>
  <c r="T514" i="7"/>
  <c r="U514" i="7" s="1"/>
  <c r="R514" i="7"/>
  <c r="S514" i="7" s="1"/>
  <c r="Q514" i="7"/>
  <c r="P514" i="7"/>
  <c r="O514" i="7"/>
  <c r="N514" i="7"/>
  <c r="L514" i="7"/>
  <c r="M514" i="7" s="1"/>
  <c r="V513" i="7"/>
  <c r="W513" i="7" s="1"/>
  <c r="U513" i="7"/>
  <c r="T513" i="7"/>
  <c r="R513" i="7"/>
  <c r="S513" i="7" s="1"/>
  <c r="P513" i="7"/>
  <c r="Q513" i="7" s="1"/>
  <c r="N513" i="7"/>
  <c r="O513" i="7" s="1"/>
  <c r="M513" i="7"/>
  <c r="L513" i="7"/>
  <c r="W512" i="7"/>
  <c r="V512" i="7"/>
  <c r="U512" i="7"/>
  <c r="T512" i="7"/>
  <c r="R512" i="7"/>
  <c r="S512" i="7" s="1"/>
  <c r="Q512" i="7"/>
  <c r="P512" i="7"/>
  <c r="N512" i="7"/>
  <c r="O512" i="7" s="1"/>
  <c r="L512" i="7"/>
  <c r="M512" i="7" s="1"/>
  <c r="V511" i="7"/>
  <c r="W511" i="7" s="1"/>
  <c r="T511" i="7"/>
  <c r="U511" i="7" s="1"/>
  <c r="R511" i="7"/>
  <c r="S511" i="7" s="1"/>
  <c r="Q511" i="7"/>
  <c r="P511" i="7"/>
  <c r="N511" i="7"/>
  <c r="O511" i="7" s="1"/>
  <c r="L511" i="7"/>
  <c r="M511" i="7" s="1"/>
  <c r="V510" i="7"/>
  <c r="W510" i="7" s="1"/>
  <c r="U510" i="7"/>
  <c r="T510" i="7"/>
  <c r="R510" i="7"/>
  <c r="S510" i="7" s="1"/>
  <c r="Q510" i="7"/>
  <c r="P510" i="7"/>
  <c r="N510" i="7"/>
  <c r="O510" i="7" s="1"/>
  <c r="L510" i="7"/>
  <c r="M510" i="7" s="1"/>
  <c r="V509" i="7"/>
  <c r="W509" i="7" s="1"/>
  <c r="T509" i="7"/>
  <c r="U509" i="7" s="1"/>
  <c r="R509" i="7"/>
  <c r="S509" i="7" s="1"/>
  <c r="P509" i="7"/>
  <c r="Q509" i="7" s="1"/>
  <c r="N509" i="7"/>
  <c r="O509" i="7" s="1"/>
  <c r="M509" i="7"/>
  <c r="L509" i="7"/>
  <c r="W508" i="7"/>
  <c r="V508" i="7"/>
  <c r="T508" i="7"/>
  <c r="U508" i="7" s="1"/>
  <c r="R508" i="7"/>
  <c r="S508" i="7" s="1"/>
  <c r="P508" i="7"/>
  <c r="Q508" i="7" s="1"/>
  <c r="N508" i="7"/>
  <c r="O508" i="7" s="1"/>
  <c r="L508" i="7"/>
  <c r="M508" i="7" s="1"/>
  <c r="V507" i="7"/>
  <c r="W507" i="7" s="1"/>
  <c r="U507" i="7"/>
  <c r="T507" i="7"/>
  <c r="S507" i="7"/>
  <c r="R507" i="7"/>
  <c r="Q507" i="7"/>
  <c r="P507" i="7"/>
  <c r="N507" i="7"/>
  <c r="O507" i="7" s="1"/>
  <c r="M507" i="7"/>
  <c r="L507" i="7"/>
  <c r="W506" i="7"/>
  <c r="V506" i="7"/>
  <c r="T506" i="7"/>
  <c r="U506" i="7" s="1"/>
  <c r="R506" i="7"/>
  <c r="S506" i="7" s="1"/>
  <c r="P506" i="7"/>
  <c r="Q506" i="7" s="1"/>
  <c r="N506" i="7"/>
  <c r="O506" i="7" s="1"/>
  <c r="M506" i="7"/>
  <c r="L506" i="7"/>
  <c r="V505" i="7"/>
  <c r="W505" i="7" s="1"/>
  <c r="T505" i="7"/>
  <c r="U505" i="7" s="1"/>
  <c r="S505" i="7"/>
  <c r="R505" i="7"/>
  <c r="P505" i="7"/>
  <c r="Q505" i="7" s="1"/>
  <c r="N505" i="7"/>
  <c r="O505" i="7" s="1"/>
  <c r="M505" i="7"/>
  <c r="L505" i="7"/>
  <c r="V504" i="7"/>
  <c r="W504" i="7" s="1"/>
  <c r="U504" i="7"/>
  <c r="T504" i="7"/>
  <c r="R504" i="7"/>
  <c r="S504" i="7" s="1"/>
  <c r="P504" i="7"/>
  <c r="Q504" i="7" s="1"/>
  <c r="N504" i="7"/>
  <c r="O504" i="7" s="1"/>
  <c r="M504" i="7"/>
  <c r="L504" i="7"/>
  <c r="V503" i="7"/>
  <c r="W503" i="7" s="1"/>
  <c r="U503" i="7"/>
  <c r="T503" i="7"/>
  <c r="S503" i="7"/>
  <c r="R503" i="7"/>
  <c r="P503" i="7"/>
  <c r="Q503" i="7" s="1"/>
  <c r="N503" i="7"/>
  <c r="O503" i="7" s="1"/>
  <c r="L503" i="7"/>
  <c r="M503" i="7" s="1"/>
  <c r="V502" i="7"/>
  <c r="W502" i="7" s="1"/>
  <c r="T502" i="7"/>
  <c r="U502" i="7" s="1"/>
  <c r="R502" i="7"/>
  <c r="S502" i="7" s="1"/>
  <c r="P502" i="7"/>
  <c r="Q502" i="7" s="1"/>
  <c r="O502" i="7"/>
  <c r="N502" i="7"/>
  <c r="M502" i="7"/>
  <c r="L502" i="7"/>
  <c r="V501" i="7"/>
  <c r="W501" i="7" s="1"/>
  <c r="T501" i="7"/>
  <c r="U501" i="7" s="1"/>
  <c r="S501" i="7"/>
  <c r="R501" i="7"/>
  <c r="P501" i="7"/>
  <c r="Q501" i="7" s="1"/>
  <c r="N501" i="7"/>
  <c r="O501" i="7" s="1"/>
  <c r="L501" i="7"/>
  <c r="M501" i="7" s="1"/>
  <c r="V500" i="7"/>
  <c r="W500" i="7" s="1"/>
  <c r="U500" i="7"/>
  <c r="T500" i="7"/>
  <c r="R500" i="7"/>
  <c r="S500" i="7" s="1"/>
  <c r="P500" i="7"/>
  <c r="Q500" i="7" s="1"/>
  <c r="N500" i="7"/>
  <c r="O500" i="7" s="1"/>
  <c r="L500" i="7"/>
  <c r="M500" i="7" s="1"/>
  <c r="V499" i="7"/>
  <c r="W499" i="7" s="1"/>
  <c r="U499" i="7"/>
  <c r="T499" i="7"/>
  <c r="R499" i="7"/>
  <c r="S499" i="7" s="1"/>
  <c r="P499" i="7"/>
  <c r="Q499" i="7" s="1"/>
  <c r="N499" i="7"/>
  <c r="O499" i="7" s="1"/>
  <c r="L499" i="7"/>
  <c r="M499" i="7" s="1"/>
  <c r="V498" i="7"/>
  <c r="W498" i="7" s="1"/>
  <c r="U498" i="7"/>
  <c r="T498" i="7"/>
  <c r="R498" i="7"/>
  <c r="S498" i="7" s="1"/>
  <c r="Q498" i="7"/>
  <c r="P498" i="7"/>
  <c r="O498" i="7"/>
  <c r="N498" i="7"/>
  <c r="L498" i="7"/>
  <c r="M498" i="7" s="1"/>
  <c r="V497" i="7"/>
  <c r="W497" i="7" s="1"/>
  <c r="U497" i="7"/>
  <c r="T497" i="7"/>
  <c r="R497" i="7"/>
  <c r="S497" i="7" s="1"/>
  <c r="P497" i="7"/>
  <c r="Q497" i="7" s="1"/>
  <c r="N497" i="7"/>
  <c r="O497" i="7" s="1"/>
  <c r="L497" i="7"/>
  <c r="M497" i="7" s="1"/>
  <c r="W496" i="7"/>
  <c r="V496" i="7"/>
  <c r="U496" i="7"/>
  <c r="T496" i="7"/>
  <c r="R496" i="7"/>
  <c r="S496" i="7" s="1"/>
  <c r="P496" i="7"/>
  <c r="Q496" i="7" s="1"/>
  <c r="N496" i="7"/>
  <c r="O496" i="7" s="1"/>
  <c r="L496" i="7"/>
  <c r="M496" i="7" s="1"/>
  <c r="V495" i="7"/>
  <c r="W495" i="7" s="1"/>
  <c r="T495" i="7"/>
  <c r="U495" i="7" s="1"/>
  <c r="S495" i="7"/>
  <c r="R495" i="7"/>
  <c r="Q495" i="7"/>
  <c r="P495" i="7"/>
  <c r="N495" i="7"/>
  <c r="O495" i="7" s="1"/>
  <c r="L495" i="7"/>
  <c r="M495" i="7" s="1"/>
  <c r="V494" i="7"/>
  <c r="W494" i="7" s="1"/>
  <c r="U494" i="7"/>
  <c r="T494" i="7"/>
  <c r="R494" i="7"/>
  <c r="S494" i="7" s="1"/>
  <c r="Q494" i="7"/>
  <c r="P494" i="7"/>
  <c r="N494" i="7"/>
  <c r="O494" i="7" s="1"/>
  <c r="L494" i="7"/>
  <c r="M494" i="7" s="1"/>
  <c r="V493" i="7"/>
  <c r="W493" i="7" s="1"/>
  <c r="T493" i="7"/>
  <c r="U493" i="7" s="1"/>
  <c r="R493" i="7"/>
  <c r="S493" i="7" s="1"/>
  <c r="P493" i="7"/>
  <c r="Q493" i="7" s="1"/>
  <c r="N493" i="7"/>
  <c r="O493" i="7" s="1"/>
  <c r="M493" i="7"/>
  <c r="L493" i="7"/>
  <c r="W492" i="7"/>
  <c r="V492" i="7"/>
  <c r="T492" i="7"/>
  <c r="U492" i="7" s="1"/>
  <c r="R492" i="7"/>
  <c r="S492" i="7" s="1"/>
  <c r="Q492" i="7"/>
  <c r="P492" i="7"/>
  <c r="N492" i="7"/>
  <c r="O492" i="7" s="1"/>
  <c r="L492" i="7"/>
  <c r="M492" i="7" s="1"/>
  <c r="V491" i="7"/>
  <c r="W491" i="7" s="1"/>
  <c r="T491" i="7"/>
  <c r="U491" i="7" s="1"/>
  <c r="S491" i="7"/>
  <c r="R491" i="7"/>
  <c r="Q491" i="7"/>
  <c r="P491" i="7"/>
  <c r="N491" i="7"/>
  <c r="O491" i="7" s="1"/>
  <c r="M491" i="7"/>
  <c r="L491" i="7"/>
  <c r="V490" i="7"/>
  <c r="W490" i="7" s="1"/>
  <c r="T490" i="7"/>
  <c r="U490" i="7" s="1"/>
  <c r="R490" i="7"/>
  <c r="S490" i="7" s="1"/>
  <c r="P490" i="7"/>
  <c r="Q490" i="7" s="1"/>
  <c r="N490" i="7"/>
  <c r="O490" i="7" s="1"/>
  <c r="M490" i="7"/>
  <c r="L490" i="7"/>
  <c r="V489" i="7"/>
  <c r="W489" i="7" s="1"/>
  <c r="T489" i="7"/>
  <c r="U489" i="7" s="1"/>
  <c r="S489" i="7"/>
  <c r="R489" i="7"/>
  <c r="P489" i="7"/>
  <c r="Q489" i="7" s="1"/>
  <c r="N489" i="7"/>
  <c r="O489" i="7" s="1"/>
  <c r="M489" i="7"/>
  <c r="L489" i="7"/>
  <c r="V488" i="7"/>
  <c r="W488" i="7" s="1"/>
  <c r="U488" i="7"/>
  <c r="T488" i="7"/>
  <c r="R488" i="7"/>
  <c r="S488" i="7" s="1"/>
  <c r="P488" i="7"/>
  <c r="Q488" i="7" s="1"/>
  <c r="N488" i="7"/>
  <c r="O488" i="7" s="1"/>
  <c r="L488" i="7"/>
  <c r="M488" i="7" s="1"/>
  <c r="V487" i="7"/>
  <c r="W487" i="7" s="1"/>
  <c r="U487" i="7"/>
  <c r="T487" i="7"/>
  <c r="S487" i="7"/>
  <c r="R487" i="7"/>
  <c r="P487" i="7"/>
  <c r="Q487" i="7" s="1"/>
  <c r="N487" i="7"/>
  <c r="O487" i="7" s="1"/>
  <c r="M487" i="7"/>
  <c r="L487" i="7"/>
  <c r="V486" i="7"/>
  <c r="W486" i="7" s="1"/>
  <c r="T486" i="7"/>
  <c r="U486" i="7" s="1"/>
  <c r="R486" i="7"/>
  <c r="S486" i="7" s="1"/>
  <c r="Q486" i="7"/>
  <c r="P486" i="7"/>
  <c r="O486" i="7"/>
  <c r="N486" i="7"/>
  <c r="M486" i="7"/>
  <c r="L486" i="7"/>
  <c r="V485" i="7"/>
  <c r="W485" i="7" s="1"/>
  <c r="T485" i="7"/>
  <c r="U485" i="7" s="1"/>
  <c r="R485" i="7"/>
  <c r="S485" i="7" s="1"/>
  <c r="P485" i="7"/>
  <c r="Q485" i="7" s="1"/>
  <c r="N485" i="7"/>
  <c r="O485" i="7" s="1"/>
  <c r="L485" i="7"/>
  <c r="M485" i="7" s="1"/>
  <c r="V484" i="7"/>
  <c r="W484" i="7" s="1"/>
  <c r="U484" i="7"/>
  <c r="T484" i="7"/>
  <c r="R484" i="7"/>
  <c r="S484" i="7" s="1"/>
  <c r="P484" i="7"/>
  <c r="Q484" i="7" s="1"/>
  <c r="O484" i="7"/>
  <c r="N484" i="7"/>
  <c r="L484" i="7"/>
  <c r="M484" i="7" s="1"/>
  <c r="V483" i="7"/>
  <c r="W483" i="7" s="1"/>
  <c r="U483" i="7"/>
  <c r="T483" i="7"/>
  <c r="R483" i="7"/>
  <c r="S483" i="7" s="1"/>
  <c r="Q483" i="7"/>
  <c r="P483" i="7"/>
  <c r="N483" i="7"/>
  <c r="O483" i="7" s="1"/>
  <c r="L483" i="7"/>
  <c r="M483" i="7" s="1"/>
  <c r="V482" i="7"/>
  <c r="W482" i="7" s="1"/>
  <c r="T482" i="7"/>
  <c r="U482" i="7" s="1"/>
  <c r="R482" i="7"/>
  <c r="S482" i="7" s="1"/>
  <c r="Q482" i="7"/>
  <c r="P482" i="7"/>
  <c r="O482" i="7"/>
  <c r="N482" i="7"/>
  <c r="L482" i="7"/>
  <c r="M482" i="7" s="1"/>
  <c r="V481" i="7"/>
  <c r="W481" i="7" s="1"/>
  <c r="T481" i="7"/>
  <c r="U481" i="7" s="1"/>
  <c r="R481" i="7"/>
  <c r="S481" i="7" s="1"/>
  <c r="P481" i="7"/>
  <c r="Q481" i="7" s="1"/>
  <c r="N481" i="7"/>
  <c r="O481" i="7" s="1"/>
  <c r="L481" i="7"/>
  <c r="M481" i="7" s="1"/>
  <c r="W480" i="7"/>
  <c r="V480" i="7"/>
  <c r="U480" i="7"/>
  <c r="T480" i="7"/>
  <c r="R480" i="7"/>
  <c r="S480" i="7" s="1"/>
  <c r="P480" i="7"/>
  <c r="Q480" i="7" s="1"/>
  <c r="O480" i="7"/>
  <c r="N480" i="7"/>
  <c r="L480" i="7"/>
  <c r="M480" i="7" s="1"/>
  <c r="V479" i="7"/>
  <c r="W479" i="7" s="1"/>
  <c r="U479" i="7"/>
  <c r="T479" i="7"/>
  <c r="R479" i="7"/>
  <c r="S479" i="7" s="1"/>
  <c r="P479" i="7"/>
  <c r="Q479" i="7" s="1"/>
  <c r="N479" i="7"/>
  <c r="O479" i="7" s="1"/>
  <c r="L479" i="7"/>
  <c r="M479" i="7" s="1"/>
  <c r="W478" i="7"/>
  <c r="V478" i="7"/>
  <c r="T478" i="7"/>
  <c r="U478" i="7" s="1"/>
  <c r="R478" i="7"/>
  <c r="S478" i="7" s="1"/>
  <c r="Q478" i="7"/>
  <c r="P478" i="7"/>
  <c r="N478" i="7"/>
  <c r="O478" i="7" s="1"/>
  <c r="L478" i="7"/>
  <c r="M478" i="7" s="1"/>
  <c r="V477" i="7"/>
  <c r="W477" i="7" s="1"/>
  <c r="T477" i="7"/>
  <c r="U477" i="7" s="1"/>
  <c r="S477" i="7"/>
  <c r="R477" i="7"/>
  <c r="P477" i="7"/>
  <c r="Q477" i="7" s="1"/>
  <c r="N477" i="7"/>
  <c r="O477" i="7" s="1"/>
  <c r="M477" i="7"/>
  <c r="L477" i="7"/>
  <c r="V476" i="7"/>
  <c r="W476" i="7" s="1"/>
  <c r="T476" i="7"/>
  <c r="U476" i="7" s="1"/>
  <c r="R476" i="7"/>
  <c r="S476" i="7" s="1"/>
  <c r="P476" i="7"/>
  <c r="Q476" i="7" s="1"/>
  <c r="O476" i="7"/>
  <c r="N476" i="7"/>
  <c r="L476" i="7"/>
  <c r="M476" i="7" s="1"/>
  <c r="V475" i="7"/>
  <c r="W475" i="7" s="1"/>
  <c r="U475" i="7"/>
  <c r="T475" i="7"/>
  <c r="R475" i="7"/>
  <c r="S475" i="7" s="1"/>
  <c r="P475" i="7"/>
  <c r="Q475" i="7" s="1"/>
  <c r="N475" i="7"/>
  <c r="O475" i="7" s="1"/>
  <c r="L475" i="7"/>
  <c r="M475" i="7" s="1"/>
  <c r="W474" i="7"/>
  <c r="V474" i="7"/>
  <c r="T474" i="7"/>
  <c r="U474" i="7" s="1"/>
  <c r="R474" i="7"/>
  <c r="S474" i="7" s="1"/>
  <c r="Q474" i="7"/>
  <c r="P474" i="7"/>
  <c r="N474" i="7"/>
  <c r="O474" i="7" s="1"/>
  <c r="L474" i="7"/>
  <c r="M474" i="7" s="1"/>
  <c r="V473" i="7"/>
  <c r="W473" i="7" s="1"/>
  <c r="T473" i="7"/>
  <c r="U473" i="7" s="1"/>
  <c r="S473" i="7"/>
  <c r="R473" i="7"/>
  <c r="P473" i="7"/>
  <c r="Q473" i="7" s="1"/>
  <c r="N473" i="7"/>
  <c r="O473" i="7" s="1"/>
  <c r="M473" i="7"/>
  <c r="L473" i="7"/>
  <c r="V472" i="7"/>
  <c r="W472" i="7" s="1"/>
  <c r="T472" i="7"/>
  <c r="U472" i="7" s="1"/>
  <c r="R472" i="7"/>
  <c r="S472" i="7" s="1"/>
  <c r="P472" i="7"/>
  <c r="Q472" i="7" s="1"/>
  <c r="O472" i="7"/>
  <c r="N472" i="7"/>
  <c r="L472" i="7"/>
  <c r="M472" i="7" s="1"/>
  <c r="V471" i="7"/>
  <c r="W471" i="7" s="1"/>
  <c r="U471" i="7"/>
  <c r="T471" i="7"/>
  <c r="R471" i="7"/>
  <c r="S471" i="7" s="1"/>
  <c r="P471" i="7"/>
  <c r="Q471" i="7" s="1"/>
  <c r="N471" i="7"/>
  <c r="O471" i="7" s="1"/>
  <c r="L471" i="7"/>
  <c r="M471" i="7" s="1"/>
  <c r="W470" i="7"/>
  <c r="V470" i="7"/>
  <c r="T470" i="7"/>
  <c r="U470" i="7" s="1"/>
  <c r="R470" i="7"/>
  <c r="S470" i="7" s="1"/>
  <c r="Q470" i="7"/>
  <c r="P470" i="7"/>
  <c r="N470" i="7"/>
  <c r="O470" i="7" s="1"/>
  <c r="L470" i="7"/>
  <c r="M470" i="7" s="1"/>
  <c r="V469" i="7"/>
  <c r="W469" i="7" s="1"/>
  <c r="T469" i="7"/>
  <c r="U469" i="7" s="1"/>
  <c r="S469" i="7"/>
  <c r="R469" i="7"/>
  <c r="P469" i="7"/>
  <c r="Q469" i="7" s="1"/>
  <c r="N469" i="7"/>
  <c r="O469" i="7" s="1"/>
  <c r="M469" i="7"/>
  <c r="L469" i="7"/>
  <c r="V468" i="7"/>
  <c r="W468" i="7" s="1"/>
  <c r="T468" i="7"/>
  <c r="U468" i="7" s="1"/>
  <c r="R468" i="7"/>
  <c r="S468" i="7" s="1"/>
  <c r="P468" i="7"/>
  <c r="Q468" i="7" s="1"/>
  <c r="O468" i="7"/>
  <c r="N468" i="7"/>
  <c r="L468" i="7"/>
  <c r="M468" i="7" s="1"/>
  <c r="V467" i="7"/>
  <c r="W467" i="7" s="1"/>
  <c r="U467" i="7"/>
  <c r="T467" i="7"/>
  <c r="R467" i="7"/>
  <c r="S467" i="7" s="1"/>
  <c r="P467" i="7"/>
  <c r="Q467" i="7" s="1"/>
  <c r="N467" i="7"/>
  <c r="O467" i="7" s="1"/>
  <c r="L467" i="7"/>
  <c r="M467" i="7" s="1"/>
  <c r="W466" i="7"/>
  <c r="V466" i="7"/>
  <c r="T466" i="7"/>
  <c r="U466" i="7" s="1"/>
  <c r="R466" i="7"/>
  <c r="S466" i="7" s="1"/>
  <c r="Q466" i="7"/>
  <c r="P466" i="7"/>
  <c r="N466" i="7"/>
  <c r="O466" i="7" s="1"/>
  <c r="L466" i="7"/>
  <c r="M466" i="7" s="1"/>
  <c r="V465" i="7"/>
  <c r="W465" i="7" s="1"/>
  <c r="T465" i="7"/>
  <c r="U465" i="7" s="1"/>
  <c r="S465" i="7"/>
  <c r="R465" i="7"/>
  <c r="P465" i="7"/>
  <c r="Q465" i="7" s="1"/>
  <c r="N465" i="7"/>
  <c r="O465" i="7" s="1"/>
  <c r="M465" i="7"/>
  <c r="L465" i="7"/>
  <c r="V464" i="7"/>
  <c r="W464" i="7" s="1"/>
  <c r="T464" i="7"/>
  <c r="U464" i="7" s="1"/>
  <c r="R464" i="7"/>
  <c r="S464" i="7" s="1"/>
  <c r="P464" i="7"/>
  <c r="Q464" i="7" s="1"/>
  <c r="O464" i="7"/>
  <c r="N464" i="7"/>
  <c r="L464" i="7"/>
  <c r="M464" i="7" s="1"/>
  <c r="V463" i="7"/>
  <c r="W463" i="7" s="1"/>
  <c r="U463" i="7"/>
  <c r="T463" i="7"/>
  <c r="R463" i="7"/>
  <c r="S463" i="7" s="1"/>
  <c r="P463" i="7"/>
  <c r="Q463" i="7" s="1"/>
  <c r="N463" i="7"/>
  <c r="O463" i="7" s="1"/>
  <c r="L463" i="7"/>
  <c r="M463" i="7" s="1"/>
  <c r="W462" i="7"/>
  <c r="V462" i="7"/>
  <c r="T462" i="7"/>
  <c r="U462" i="7" s="1"/>
  <c r="R462" i="7"/>
  <c r="S462" i="7" s="1"/>
  <c r="Q462" i="7"/>
  <c r="P462" i="7"/>
  <c r="N462" i="7"/>
  <c r="O462" i="7" s="1"/>
  <c r="L462" i="7"/>
  <c r="M462" i="7" s="1"/>
  <c r="V461" i="7"/>
  <c r="W461" i="7" s="1"/>
  <c r="T461" i="7"/>
  <c r="U461" i="7" s="1"/>
  <c r="S461" i="7"/>
  <c r="R461" i="7"/>
  <c r="P461" i="7"/>
  <c r="Q461" i="7" s="1"/>
  <c r="N461" i="7"/>
  <c r="O461" i="7" s="1"/>
  <c r="M461" i="7"/>
  <c r="L461" i="7"/>
  <c r="V460" i="7"/>
  <c r="W460" i="7" s="1"/>
  <c r="T460" i="7"/>
  <c r="U460" i="7" s="1"/>
  <c r="R460" i="7"/>
  <c r="S460" i="7" s="1"/>
  <c r="P460" i="7"/>
  <c r="Q460" i="7" s="1"/>
  <c r="O460" i="7"/>
  <c r="N460" i="7"/>
  <c r="L460" i="7"/>
  <c r="M460" i="7" s="1"/>
  <c r="V459" i="7"/>
  <c r="W459" i="7" s="1"/>
  <c r="U459" i="7"/>
  <c r="T459" i="7"/>
  <c r="R459" i="7"/>
  <c r="S459" i="7" s="1"/>
  <c r="P459" i="7"/>
  <c r="Q459" i="7" s="1"/>
  <c r="N459" i="7"/>
  <c r="O459" i="7" s="1"/>
  <c r="L459" i="7"/>
  <c r="M459" i="7" s="1"/>
  <c r="W458" i="7"/>
  <c r="V458" i="7"/>
  <c r="T458" i="7"/>
  <c r="U458" i="7" s="1"/>
  <c r="R458" i="7"/>
  <c r="S458" i="7" s="1"/>
  <c r="Q458" i="7"/>
  <c r="P458" i="7"/>
  <c r="N458" i="7"/>
  <c r="O458" i="7" s="1"/>
  <c r="L458" i="7"/>
  <c r="M458" i="7" s="1"/>
  <c r="V457" i="7"/>
  <c r="W457" i="7" s="1"/>
  <c r="T457" i="7"/>
  <c r="U457" i="7" s="1"/>
  <c r="S457" i="7"/>
  <c r="R457" i="7"/>
  <c r="P457" i="7"/>
  <c r="Q457" i="7" s="1"/>
  <c r="N457" i="7"/>
  <c r="O457" i="7" s="1"/>
  <c r="M457" i="7"/>
  <c r="L457" i="7"/>
  <c r="V456" i="7"/>
  <c r="W456" i="7" s="1"/>
  <c r="T456" i="7"/>
  <c r="U456" i="7" s="1"/>
  <c r="R456" i="7"/>
  <c r="S456" i="7" s="1"/>
  <c r="P456" i="7"/>
  <c r="Q456" i="7" s="1"/>
  <c r="O456" i="7"/>
  <c r="N456" i="7"/>
  <c r="L456" i="7"/>
  <c r="M456" i="7" s="1"/>
  <c r="V455" i="7"/>
  <c r="W455" i="7" s="1"/>
  <c r="U455" i="7"/>
  <c r="T455" i="7"/>
  <c r="R455" i="7"/>
  <c r="S455" i="7" s="1"/>
  <c r="P455" i="7"/>
  <c r="Q455" i="7" s="1"/>
  <c r="N455" i="7"/>
  <c r="O455" i="7" s="1"/>
  <c r="L455" i="7"/>
  <c r="M455" i="7" s="1"/>
  <c r="W454" i="7"/>
  <c r="V454" i="7"/>
  <c r="T454" i="7"/>
  <c r="U454" i="7" s="1"/>
  <c r="R454" i="7"/>
  <c r="S454" i="7" s="1"/>
  <c r="Q454" i="7"/>
  <c r="P454" i="7"/>
  <c r="N454" i="7"/>
  <c r="O454" i="7" s="1"/>
  <c r="L454" i="7"/>
  <c r="M454" i="7" s="1"/>
  <c r="V453" i="7"/>
  <c r="W453" i="7" s="1"/>
  <c r="T453" i="7"/>
  <c r="U453" i="7" s="1"/>
  <c r="S453" i="7"/>
  <c r="R453" i="7"/>
  <c r="P453" i="7"/>
  <c r="Q453" i="7" s="1"/>
  <c r="N453" i="7"/>
  <c r="O453" i="7" s="1"/>
  <c r="M453" i="7"/>
  <c r="L453" i="7"/>
  <c r="V452" i="7"/>
  <c r="W452" i="7" s="1"/>
  <c r="T452" i="7"/>
  <c r="U452" i="7" s="1"/>
  <c r="R452" i="7"/>
  <c r="S452" i="7" s="1"/>
  <c r="P452" i="7"/>
  <c r="Q452" i="7" s="1"/>
  <c r="O452" i="7"/>
  <c r="N452" i="7"/>
  <c r="L452" i="7"/>
  <c r="M452" i="7" s="1"/>
  <c r="V451" i="7"/>
  <c r="W451" i="7" s="1"/>
  <c r="U451" i="7"/>
  <c r="T451" i="7"/>
  <c r="R451" i="7"/>
  <c r="S451" i="7" s="1"/>
  <c r="P451" i="7"/>
  <c r="Q451" i="7" s="1"/>
  <c r="N451" i="7"/>
  <c r="O451" i="7" s="1"/>
  <c r="L451" i="7"/>
  <c r="M451" i="7" s="1"/>
  <c r="W450" i="7"/>
  <c r="V450" i="7"/>
  <c r="T450" i="7"/>
  <c r="U450" i="7" s="1"/>
  <c r="R450" i="7"/>
  <c r="S450" i="7" s="1"/>
  <c r="Q450" i="7"/>
  <c r="P450" i="7"/>
  <c r="N450" i="7"/>
  <c r="O450" i="7" s="1"/>
  <c r="L450" i="7"/>
  <c r="M450" i="7" s="1"/>
  <c r="V449" i="7"/>
  <c r="W449" i="7" s="1"/>
  <c r="T449" i="7"/>
  <c r="U449" i="7" s="1"/>
  <c r="S449" i="7"/>
  <c r="R449" i="7"/>
  <c r="P449" i="7"/>
  <c r="Q449" i="7" s="1"/>
  <c r="N449" i="7"/>
  <c r="O449" i="7" s="1"/>
  <c r="M449" i="7"/>
  <c r="L449" i="7"/>
  <c r="V448" i="7"/>
  <c r="W448" i="7" s="1"/>
  <c r="T448" i="7"/>
  <c r="U448" i="7" s="1"/>
  <c r="R448" i="7"/>
  <c r="S448" i="7" s="1"/>
  <c r="P448" i="7"/>
  <c r="Q448" i="7" s="1"/>
  <c r="O448" i="7"/>
  <c r="N448" i="7"/>
  <c r="L448" i="7"/>
  <c r="M448" i="7" s="1"/>
  <c r="V447" i="7"/>
  <c r="W447" i="7" s="1"/>
  <c r="U447" i="7"/>
  <c r="T447" i="7"/>
  <c r="R447" i="7"/>
  <c r="S447" i="7" s="1"/>
  <c r="P447" i="7"/>
  <c r="Q447" i="7" s="1"/>
  <c r="N447" i="7"/>
  <c r="O447" i="7" s="1"/>
  <c r="L447" i="7"/>
  <c r="M447" i="7" s="1"/>
  <c r="W446" i="7"/>
  <c r="V446" i="7"/>
  <c r="T446" i="7"/>
  <c r="U446" i="7" s="1"/>
  <c r="R446" i="7"/>
  <c r="S446" i="7" s="1"/>
  <c r="Q446" i="7"/>
  <c r="P446" i="7"/>
  <c r="N446" i="7"/>
  <c r="O446" i="7" s="1"/>
  <c r="L446" i="7"/>
  <c r="M446" i="7" s="1"/>
  <c r="V445" i="7"/>
  <c r="W445" i="7" s="1"/>
  <c r="T445" i="7"/>
  <c r="U445" i="7" s="1"/>
  <c r="S445" i="7"/>
  <c r="R445" i="7"/>
  <c r="P445" i="7"/>
  <c r="Q445" i="7" s="1"/>
  <c r="N445" i="7"/>
  <c r="O445" i="7" s="1"/>
  <c r="M445" i="7"/>
  <c r="L445" i="7"/>
  <c r="V444" i="7"/>
  <c r="W444" i="7" s="1"/>
  <c r="T444" i="7"/>
  <c r="U444" i="7" s="1"/>
  <c r="R444" i="7"/>
  <c r="S444" i="7" s="1"/>
  <c r="P444" i="7"/>
  <c r="Q444" i="7" s="1"/>
  <c r="O444" i="7"/>
  <c r="N444" i="7"/>
  <c r="L444" i="7"/>
  <c r="M444" i="7" s="1"/>
  <c r="V443" i="7"/>
  <c r="W443" i="7" s="1"/>
  <c r="U443" i="7"/>
  <c r="T443" i="7"/>
  <c r="R443" i="7"/>
  <c r="S443" i="7" s="1"/>
  <c r="P443" i="7"/>
  <c r="Q443" i="7" s="1"/>
  <c r="N443" i="7"/>
  <c r="O443" i="7" s="1"/>
  <c r="L443" i="7"/>
  <c r="M443" i="7" s="1"/>
  <c r="W442" i="7"/>
  <c r="V442" i="7"/>
  <c r="T442" i="7"/>
  <c r="U442" i="7" s="1"/>
  <c r="R442" i="7"/>
  <c r="S442" i="7" s="1"/>
  <c r="Q442" i="7"/>
  <c r="P442" i="7"/>
  <c r="N442" i="7"/>
  <c r="O442" i="7" s="1"/>
  <c r="L442" i="7"/>
  <c r="M442" i="7" s="1"/>
  <c r="V441" i="7"/>
  <c r="W441" i="7" s="1"/>
  <c r="T441" i="7"/>
  <c r="U441" i="7" s="1"/>
  <c r="S441" i="7"/>
  <c r="R441" i="7"/>
  <c r="P441" i="7"/>
  <c r="Q441" i="7" s="1"/>
  <c r="N441" i="7"/>
  <c r="O441" i="7" s="1"/>
  <c r="M441" i="7"/>
  <c r="L441" i="7"/>
  <c r="V440" i="7"/>
  <c r="W440" i="7" s="1"/>
  <c r="T440" i="7"/>
  <c r="U440" i="7" s="1"/>
  <c r="R440" i="7"/>
  <c r="S440" i="7" s="1"/>
  <c r="P440" i="7"/>
  <c r="Q440" i="7" s="1"/>
  <c r="O440" i="7"/>
  <c r="N440" i="7"/>
  <c r="L440" i="7"/>
  <c r="M440" i="7" s="1"/>
  <c r="V439" i="7"/>
  <c r="W439" i="7" s="1"/>
  <c r="U439" i="7"/>
  <c r="T439" i="7"/>
  <c r="R439" i="7"/>
  <c r="S439" i="7" s="1"/>
  <c r="P439" i="7"/>
  <c r="Q439" i="7" s="1"/>
  <c r="N439" i="7"/>
  <c r="O439" i="7" s="1"/>
  <c r="L439" i="7"/>
  <c r="M439" i="7" s="1"/>
  <c r="W438" i="7"/>
  <c r="V438" i="7"/>
  <c r="T438" i="7"/>
  <c r="U438" i="7" s="1"/>
  <c r="R438" i="7"/>
  <c r="S438" i="7" s="1"/>
  <c r="Q438" i="7"/>
  <c r="P438" i="7"/>
  <c r="N438" i="7"/>
  <c r="O438" i="7" s="1"/>
  <c r="L438" i="7"/>
  <c r="M438" i="7" s="1"/>
  <c r="V437" i="7"/>
  <c r="W437" i="7" s="1"/>
  <c r="T437" i="7"/>
  <c r="U437" i="7" s="1"/>
  <c r="S437" i="7"/>
  <c r="R437" i="7"/>
  <c r="P437" i="7"/>
  <c r="Q437" i="7" s="1"/>
  <c r="N437" i="7"/>
  <c r="O437" i="7" s="1"/>
  <c r="M437" i="7"/>
  <c r="L437" i="7"/>
  <c r="V436" i="7"/>
  <c r="W436" i="7" s="1"/>
  <c r="T436" i="7"/>
  <c r="U436" i="7" s="1"/>
  <c r="R436" i="7"/>
  <c r="S436" i="7" s="1"/>
  <c r="P436" i="7"/>
  <c r="Q436" i="7" s="1"/>
  <c r="O436" i="7"/>
  <c r="N436" i="7"/>
  <c r="L436" i="7"/>
  <c r="M436" i="7" s="1"/>
  <c r="V435" i="7"/>
  <c r="W435" i="7" s="1"/>
  <c r="U435" i="7"/>
  <c r="T435" i="7"/>
  <c r="R435" i="7"/>
  <c r="S435" i="7" s="1"/>
  <c r="P435" i="7"/>
  <c r="Q435" i="7" s="1"/>
  <c r="N435" i="7"/>
  <c r="O435" i="7" s="1"/>
  <c r="L435" i="7"/>
  <c r="M435" i="7" s="1"/>
  <c r="W434" i="7"/>
  <c r="V434" i="7"/>
  <c r="T434" i="7"/>
  <c r="U434" i="7" s="1"/>
  <c r="R434" i="7"/>
  <c r="S434" i="7" s="1"/>
  <c r="Q434" i="7"/>
  <c r="P434" i="7"/>
  <c r="N434" i="7"/>
  <c r="O434" i="7" s="1"/>
  <c r="L434" i="7"/>
  <c r="M434" i="7" s="1"/>
  <c r="V433" i="7"/>
  <c r="W433" i="7" s="1"/>
  <c r="T433" i="7"/>
  <c r="U433" i="7" s="1"/>
  <c r="S433" i="7"/>
  <c r="R433" i="7"/>
  <c r="P433" i="7"/>
  <c r="Q433" i="7" s="1"/>
  <c r="N433" i="7"/>
  <c r="O433" i="7" s="1"/>
  <c r="M433" i="7"/>
  <c r="L433" i="7"/>
  <c r="V432" i="7"/>
  <c r="W432" i="7" s="1"/>
  <c r="T432" i="7"/>
  <c r="U432" i="7" s="1"/>
  <c r="R432" i="7"/>
  <c r="S432" i="7" s="1"/>
  <c r="P432" i="7"/>
  <c r="Q432" i="7" s="1"/>
  <c r="O432" i="7"/>
  <c r="N432" i="7"/>
  <c r="L432" i="7"/>
  <c r="M432" i="7" s="1"/>
  <c r="V431" i="7"/>
  <c r="W431" i="7" s="1"/>
  <c r="U431" i="7"/>
  <c r="T431" i="7"/>
  <c r="R431" i="7"/>
  <c r="S431" i="7" s="1"/>
  <c r="P431" i="7"/>
  <c r="Q431" i="7" s="1"/>
  <c r="N431" i="7"/>
  <c r="O431" i="7" s="1"/>
  <c r="L431" i="7"/>
  <c r="M431" i="7" s="1"/>
  <c r="W430" i="7"/>
  <c r="V430" i="7"/>
  <c r="T430" i="7"/>
  <c r="U430" i="7" s="1"/>
  <c r="R430" i="7"/>
  <c r="S430" i="7" s="1"/>
  <c r="Q430" i="7"/>
  <c r="P430" i="7"/>
  <c r="N430" i="7"/>
  <c r="O430" i="7" s="1"/>
  <c r="L430" i="7"/>
  <c r="M430" i="7" s="1"/>
  <c r="V429" i="7"/>
  <c r="W429" i="7" s="1"/>
  <c r="T429" i="7"/>
  <c r="U429" i="7" s="1"/>
  <c r="S429" i="7"/>
  <c r="R429" i="7"/>
  <c r="P429" i="7"/>
  <c r="Q429" i="7" s="1"/>
  <c r="N429" i="7"/>
  <c r="O429" i="7" s="1"/>
  <c r="M429" i="7"/>
  <c r="L429" i="7"/>
  <c r="V428" i="7"/>
  <c r="W428" i="7" s="1"/>
  <c r="T428" i="7"/>
  <c r="U428" i="7" s="1"/>
  <c r="R428" i="7"/>
  <c r="S428" i="7" s="1"/>
  <c r="P428" i="7"/>
  <c r="Q428" i="7" s="1"/>
  <c r="O428" i="7"/>
  <c r="N428" i="7"/>
  <c r="L428" i="7"/>
  <c r="M428" i="7" s="1"/>
  <c r="V427" i="7"/>
  <c r="W427" i="7" s="1"/>
  <c r="U427" i="7"/>
  <c r="T427" i="7"/>
  <c r="R427" i="7"/>
  <c r="S427" i="7" s="1"/>
  <c r="P427" i="7"/>
  <c r="Q427" i="7" s="1"/>
  <c r="N427" i="7"/>
  <c r="O427" i="7" s="1"/>
  <c r="L427" i="7"/>
  <c r="M427" i="7" s="1"/>
  <c r="W426" i="7"/>
  <c r="V426" i="7"/>
  <c r="T426" i="7"/>
  <c r="U426" i="7" s="1"/>
  <c r="R426" i="7"/>
  <c r="S426" i="7" s="1"/>
  <c r="Q426" i="7"/>
  <c r="P426" i="7"/>
  <c r="N426" i="7"/>
  <c r="O426" i="7" s="1"/>
  <c r="L426" i="7"/>
  <c r="M426" i="7" s="1"/>
  <c r="V425" i="7"/>
  <c r="W425" i="7" s="1"/>
  <c r="T425" i="7"/>
  <c r="U425" i="7" s="1"/>
  <c r="S425" i="7"/>
  <c r="R425" i="7"/>
  <c r="P425" i="7"/>
  <c r="Q425" i="7" s="1"/>
  <c r="N425" i="7"/>
  <c r="O425" i="7" s="1"/>
  <c r="M425" i="7"/>
  <c r="L425" i="7"/>
  <c r="V424" i="7"/>
  <c r="W424" i="7" s="1"/>
  <c r="T424" i="7"/>
  <c r="U424" i="7" s="1"/>
  <c r="R424" i="7"/>
  <c r="S424" i="7" s="1"/>
  <c r="P424" i="7"/>
  <c r="Q424" i="7" s="1"/>
  <c r="O424" i="7"/>
  <c r="N424" i="7"/>
  <c r="L424" i="7"/>
  <c r="M424" i="7" s="1"/>
  <c r="V423" i="7"/>
  <c r="W423" i="7" s="1"/>
  <c r="U423" i="7"/>
  <c r="T423" i="7"/>
  <c r="R423" i="7"/>
  <c r="S423" i="7" s="1"/>
  <c r="P423" i="7"/>
  <c r="Q423" i="7" s="1"/>
  <c r="N423" i="7"/>
  <c r="O423" i="7" s="1"/>
  <c r="L423" i="7"/>
  <c r="M423" i="7" s="1"/>
  <c r="W422" i="7"/>
  <c r="V422" i="7"/>
  <c r="T422" i="7"/>
  <c r="U422" i="7" s="1"/>
  <c r="R422" i="7"/>
  <c r="S422" i="7" s="1"/>
  <c r="Q422" i="7"/>
  <c r="P422" i="7"/>
  <c r="N422" i="7"/>
  <c r="O422" i="7" s="1"/>
  <c r="L422" i="7"/>
  <c r="M422" i="7" s="1"/>
  <c r="V421" i="7"/>
  <c r="W421" i="7" s="1"/>
  <c r="T421" i="7"/>
  <c r="U421" i="7" s="1"/>
  <c r="S421" i="7"/>
  <c r="R421" i="7"/>
  <c r="P421" i="7"/>
  <c r="Q421" i="7" s="1"/>
  <c r="N421" i="7"/>
  <c r="O421" i="7" s="1"/>
  <c r="M421" i="7"/>
  <c r="L421" i="7"/>
  <c r="V420" i="7"/>
  <c r="W420" i="7" s="1"/>
  <c r="T420" i="7"/>
  <c r="U420" i="7" s="1"/>
  <c r="R420" i="7"/>
  <c r="S420" i="7" s="1"/>
  <c r="P420" i="7"/>
  <c r="Q420" i="7" s="1"/>
  <c r="O420" i="7"/>
  <c r="N420" i="7"/>
  <c r="L420" i="7"/>
  <c r="M420" i="7" s="1"/>
  <c r="V419" i="7"/>
  <c r="W419" i="7" s="1"/>
  <c r="U419" i="7"/>
  <c r="T419" i="7"/>
  <c r="R419" i="7"/>
  <c r="S419" i="7" s="1"/>
  <c r="P419" i="7"/>
  <c r="Q419" i="7" s="1"/>
  <c r="N419" i="7"/>
  <c r="O419" i="7" s="1"/>
  <c r="L419" i="7"/>
  <c r="M419" i="7" s="1"/>
  <c r="W418" i="7"/>
  <c r="V418" i="7"/>
  <c r="T418" i="7"/>
  <c r="U418" i="7" s="1"/>
  <c r="R418" i="7"/>
  <c r="S418" i="7" s="1"/>
  <c r="Q418" i="7"/>
  <c r="P418" i="7"/>
  <c r="N418" i="7"/>
  <c r="O418" i="7" s="1"/>
  <c r="L418" i="7"/>
  <c r="M418" i="7" s="1"/>
  <c r="V417" i="7"/>
  <c r="W417" i="7" s="1"/>
  <c r="T417" i="7"/>
  <c r="U417" i="7" s="1"/>
  <c r="S417" i="7"/>
  <c r="R417" i="7"/>
  <c r="P417" i="7"/>
  <c r="Q417" i="7" s="1"/>
  <c r="N417" i="7"/>
  <c r="O417" i="7" s="1"/>
  <c r="M417" i="7"/>
  <c r="L417" i="7"/>
  <c r="V416" i="7"/>
  <c r="W416" i="7" s="1"/>
  <c r="T416" i="7"/>
  <c r="U416" i="7" s="1"/>
  <c r="R416" i="7"/>
  <c r="S416" i="7" s="1"/>
  <c r="P416" i="7"/>
  <c r="Q416" i="7" s="1"/>
  <c r="O416" i="7"/>
  <c r="N416" i="7"/>
  <c r="L416" i="7"/>
  <c r="M416" i="7" s="1"/>
  <c r="V415" i="7"/>
  <c r="W415" i="7" s="1"/>
  <c r="U415" i="7"/>
  <c r="T415" i="7"/>
  <c r="R415" i="7"/>
  <c r="S415" i="7" s="1"/>
  <c r="P415" i="7"/>
  <c r="Q415" i="7" s="1"/>
  <c r="N415" i="7"/>
  <c r="O415" i="7" s="1"/>
  <c r="L415" i="7"/>
  <c r="M415" i="7" s="1"/>
  <c r="W414" i="7"/>
  <c r="V414" i="7"/>
  <c r="T414" i="7"/>
  <c r="U414" i="7" s="1"/>
  <c r="R414" i="7"/>
  <c r="S414" i="7" s="1"/>
  <c r="Q414" i="7"/>
  <c r="P414" i="7"/>
  <c r="N414" i="7"/>
  <c r="O414" i="7" s="1"/>
  <c r="L414" i="7"/>
  <c r="M414" i="7" s="1"/>
  <c r="V413" i="7"/>
  <c r="W413" i="7" s="1"/>
  <c r="T413" i="7"/>
  <c r="U413" i="7" s="1"/>
  <c r="S413" i="7"/>
  <c r="R413" i="7"/>
  <c r="P413" i="7"/>
  <c r="Q413" i="7" s="1"/>
  <c r="N413" i="7"/>
  <c r="O413" i="7" s="1"/>
  <c r="M413" i="7"/>
  <c r="L413" i="7"/>
  <c r="V412" i="7"/>
  <c r="W412" i="7" s="1"/>
  <c r="T412" i="7"/>
  <c r="U412" i="7" s="1"/>
  <c r="R412" i="7"/>
  <c r="S412" i="7" s="1"/>
  <c r="P412" i="7"/>
  <c r="Q412" i="7" s="1"/>
  <c r="O412" i="7"/>
  <c r="N412" i="7"/>
  <c r="L412" i="7"/>
  <c r="M412" i="7" s="1"/>
  <c r="V411" i="7"/>
  <c r="W411" i="7" s="1"/>
  <c r="U411" i="7"/>
  <c r="T411" i="7"/>
  <c r="R411" i="7"/>
  <c r="S411" i="7" s="1"/>
  <c r="P411" i="7"/>
  <c r="Q411" i="7" s="1"/>
  <c r="N411" i="7"/>
  <c r="O411" i="7" s="1"/>
  <c r="L411" i="7"/>
  <c r="M411" i="7" s="1"/>
  <c r="W410" i="7"/>
  <c r="V410" i="7"/>
  <c r="T410" i="7"/>
  <c r="U410" i="7" s="1"/>
  <c r="R410" i="7"/>
  <c r="S410" i="7" s="1"/>
  <c r="Q410" i="7"/>
  <c r="P410" i="7"/>
  <c r="N410" i="7"/>
  <c r="O410" i="7" s="1"/>
  <c r="L410" i="7"/>
  <c r="M410" i="7" s="1"/>
  <c r="V409" i="7"/>
  <c r="W409" i="7" s="1"/>
  <c r="T409" i="7"/>
  <c r="U409" i="7" s="1"/>
  <c r="S409" i="7"/>
  <c r="R409" i="7"/>
  <c r="P409" i="7"/>
  <c r="Q409" i="7" s="1"/>
  <c r="N409" i="7"/>
  <c r="O409" i="7" s="1"/>
  <c r="M409" i="7"/>
  <c r="L409" i="7"/>
  <c r="V408" i="7"/>
  <c r="W408" i="7" s="1"/>
  <c r="T408" i="7"/>
  <c r="U408" i="7" s="1"/>
  <c r="R408" i="7"/>
  <c r="S408" i="7" s="1"/>
  <c r="P408" i="7"/>
  <c r="Q408" i="7" s="1"/>
  <c r="O408" i="7"/>
  <c r="N408" i="7"/>
  <c r="L408" i="7"/>
  <c r="M408" i="7" s="1"/>
  <c r="V407" i="7"/>
  <c r="W407" i="7" s="1"/>
  <c r="U407" i="7"/>
  <c r="T407" i="7"/>
  <c r="R407" i="7"/>
  <c r="S407" i="7" s="1"/>
  <c r="P407" i="7"/>
  <c r="Q407" i="7" s="1"/>
  <c r="N407" i="7"/>
  <c r="O407" i="7" s="1"/>
  <c r="L407" i="7"/>
  <c r="M407" i="7" s="1"/>
  <c r="W406" i="7"/>
  <c r="V406" i="7"/>
  <c r="T406" i="7"/>
  <c r="U406" i="7" s="1"/>
  <c r="R406" i="7"/>
  <c r="S406" i="7" s="1"/>
  <c r="Q406" i="7"/>
  <c r="P406" i="7"/>
  <c r="N406" i="7"/>
  <c r="O406" i="7" s="1"/>
  <c r="L406" i="7"/>
  <c r="M406" i="7" s="1"/>
  <c r="V405" i="7"/>
  <c r="W405" i="7" s="1"/>
  <c r="T405" i="7"/>
  <c r="U405" i="7" s="1"/>
  <c r="S405" i="7"/>
  <c r="R405" i="7"/>
  <c r="P405" i="7"/>
  <c r="Q405" i="7" s="1"/>
  <c r="N405" i="7"/>
  <c r="O405" i="7" s="1"/>
  <c r="M405" i="7"/>
  <c r="L405" i="7"/>
  <c r="V404" i="7"/>
  <c r="W404" i="7" s="1"/>
  <c r="T404" i="7"/>
  <c r="U404" i="7" s="1"/>
  <c r="R404" i="7"/>
  <c r="S404" i="7" s="1"/>
  <c r="P404" i="7"/>
  <c r="Q404" i="7" s="1"/>
  <c r="O404" i="7"/>
  <c r="N404" i="7"/>
  <c r="L404" i="7"/>
  <c r="M404" i="7" s="1"/>
  <c r="V403" i="7"/>
  <c r="W403" i="7" s="1"/>
  <c r="U403" i="7"/>
  <c r="T403" i="7"/>
  <c r="R403" i="7"/>
  <c r="S403" i="7" s="1"/>
  <c r="P403" i="7"/>
  <c r="Q403" i="7" s="1"/>
  <c r="N403" i="7"/>
  <c r="O403" i="7" s="1"/>
  <c r="L403" i="7"/>
  <c r="M403" i="7" s="1"/>
  <c r="W402" i="7"/>
  <c r="V402" i="7"/>
  <c r="T402" i="7"/>
  <c r="U402" i="7" s="1"/>
  <c r="R402" i="7"/>
  <c r="S402" i="7" s="1"/>
  <c r="Q402" i="7"/>
  <c r="P402" i="7"/>
  <c r="N402" i="7"/>
  <c r="O402" i="7" s="1"/>
  <c r="L402" i="7"/>
  <c r="M402" i="7" s="1"/>
  <c r="V401" i="7"/>
  <c r="W401" i="7" s="1"/>
  <c r="T401" i="7"/>
  <c r="U401" i="7" s="1"/>
  <c r="S401" i="7"/>
  <c r="R401" i="7"/>
  <c r="P401" i="7"/>
  <c r="Q401" i="7" s="1"/>
  <c r="N401" i="7"/>
  <c r="O401" i="7" s="1"/>
  <c r="M401" i="7"/>
  <c r="L401" i="7"/>
  <c r="V400" i="7"/>
  <c r="W400" i="7" s="1"/>
  <c r="T400" i="7"/>
  <c r="U400" i="7" s="1"/>
  <c r="R400" i="7"/>
  <c r="S400" i="7" s="1"/>
  <c r="P400" i="7"/>
  <c r="Q400" i="7" s="1"/>
  <c r="O400" i="7"/>
  <c r="N400" i="7"/>
  <c r="L400" i="7"/>
  <c r="M400" i="7" s="1"/>
  <c r="V399" i="7"/>
  <c r="W399" i="7" s="1"/>
  <c r="U399" i="7"/>
  <c r="T399" i="7"/>
  <c r="R399" i="7"/>
  <c r="S399" i="7" s="1"/>
  <c r="P399" i="7"/>
  <c r="Q399" i="7" s="1"/>
  <c r="N399" i="7"/>
  <c r="O399" i="7" s="1"/>
  <c r="L399" i="7"/>
  <c r="M399" i="7" s="1"/>
  <c r="W398" i="7"/>
  <c r="V398" i="7"/>
  <c r="T398" i="7"/>
  <c r="U398" i="7" s="1"/>
  <c r="R398" i="7"/>
  <c r="S398" i="7" s="1"/>
  <c r="Q398" i="7"/>
  <c r="P398" i="7"/>
  <c r="N398" i="7"/>
  <c r="O398" i="7" s="1"/>
  <c r="L398" i="7"/>
  <c r="M398" i="7" s="1"/>
  <c r="V397" i="7"/>
  <c r="W397" i="7" s="1"/>
  <c r="T397" i="7"/>
  <c r="U397" i="7" s="1"/>
  <c r="S397" i="7"/>
  <c r="R397" i="7"/>
  <c r="P397" i="7"/>
  <c r="Q397" i="7" s="1"/>
  <c r="N397" i="7"/>
  <c r="O397" i="7" s="1"/>
  <c r="M397" i="7"/>
  <c r="L397" i="7"/>
  <c r="V396" i="7"/>
  <c r="W396" i="7" s="1"/>
  <c r="T396" i="7"/>
  <c r="U396" i="7" s="1"/>
  <c r="R396" i="7"/>
  <c r="S396" i="7" s="1"/>
  <c r="P396" i="7"/>
  <c r="Q396" i="7" s="1"/>
  <c r="O396" i="7"/>
  <c r="N396" i="7"/>
  <c r="L396" i="7"/>
  <c r="M396" i="7" s="1"/>
  <c r="V395" i="7"/>
  <c r="W395" i="7" s="1"/>
  <c r="U395" i="7"/>
  <c r="T395" i="7"/>
  <c r="R395" i="7"/>
  <c r="S395" i="7" s="1"/>
  <c r="P395" i="7"/>
  <c r="Q395" i="7" s="1"/>
  <c r="N395" i="7"/>
  <c r="O395" i="7" s="1"/>
  <c r="L395" i="7"/>
  <c r="M395" i="7" s="1"/>
  <c r="W394" i="7"/>
  <c r="V394" i="7"/>
  <c r="T394" i="7"/>
  <c r="U394" i="7" s="1"/>
  <c r="R394" i="7"/>
  <c r="S394" i="7" s="1"/>
  <c r="Q394" i="7"/>
  <c r="P394" i="7"/>
  <c r="N394" i="7"/>
  <c r="O394" i="7" s="1"/>
  <c r="L394" i="7"/>
  <c r="M394" i="7" s="1"/>
  <c r="V393" i="7"/>
  <c r="W393" i="7" s="1"/>
  <c r="T393" i="7"/>
  <c r="U393" i="7" s="1"/>
  <c r="S393" i="7"/>
  <c r="R393" i="7"/>
  <c r="P393" i="7"/>
  <c r="Q393" i="7" s="1"/>
  <c r="N393" i="7"/>
  <c r="O393" i="7" s="1"/>
  <c r="M393" i="7"/>
  <c r="L393" i="7"/>
  <c r="V392" i="7"/>
  <c r="W392" i="7" s="1"/>
  <c r="T392" i="7"/>
  <c r="U392" i="7" s="1"/>
  <c r="R392" i="7"/>
  <c r="S392" i="7" s="1"/>
  <c r="P392" i="7"/>
  <c r="Q392" i="7" s="1"/>
  <c r="O392" i="7"/>
  <c r="N392" i="7"/>
  <c r="L392" i="7"/>
  <c r="M392" i="7" s="1"/>
  <c r="V391" i="7"/>
  <c r="W391" i="7" s="1"/>
  <c r="U391" i="7"/>
  <c r="T391" i="7"/>
  <c r="R391" i="7"/>
  <c r="S391" i="7" s="1"/>
  <c r="P391" i="7"/>
  <c r="Q391" i="7" s="1"/>
  <c r="N391" i="7"/>
  <c r="O391" i="7" s="1"/>
  <c r="L391" i="7"/>
  <c r="M391" i="7" s="1"/>
  <c r="W390" i="7"/>
  <c r="V390" i="7"/>
  <c r="T390" i="7"/>
  <c r="U390" i="7" s="1"/>
  <c r="R390" i="7"/>
  <c r="S390" i="7" s="1"/>
  <c r="Q390" i="7"/>
  <c r="P390" i="7"/>
  <c r="N390" i="7"/>
  <c r="O390" i="7" s="1"/>
  <c r="L390" i="7"/>
  <c r="M390" i="7" s="1"/>
  <c r="V389" i="7"/>
  <c r="W389" i="7" s="1"/>
  <c r="T389" i="7"/>
  <c r="U389" i="7" s="1"/>
  <c r="S389" i="7"/>
  <c r="R389" i="7"/>
  <c r="P389" i="7"/>
  <c r="Q389" i="7" s="1"/>
  <c r="N389" i="7"/>
  <c r="O389" i="7" s="1"/>
  <c r="M389" i="7"/>
  <c r="L389" i="7"/>
  <c r="V388" i="7"/>
  <c r="W388" i="7" s="1"/>
  <c r="T388" i="7"/>
  <c r="U388" i="7" s="1"/>
  <c r="R388" i="7"/>
  <c r="S388" i="7" s="1"/>
  <c r="P388" i="7"/>
  <c r="Q388" i="7" s="1"/>
  <c r="O388" i="7"/>
  <c r="N388" i="7"/>
  <c r="L388" i="7"/>
  <c r="M388" i="7" s="1"/>
  <c r="V387" i="7"/>
  <c r="W387" i="7" s="1"/>
  <c r="U387" i="7"/>
  <c r="T387" i="7"/>
  <c r="R387" i="7"/>
  <c r="S387" i="7" s="1"/>
  <c r="P387" i="7"/>
  <c r="Q387" i="7" s="1"/>
  <c r="N387" i="7"/>
  <c r="O387" i="7" s="1"/>
  <c r="L387" i="7"/>
  <c r="M387" i="7" s="1"/>
  <c r="W386" i="7"/>
  <c r="V386" i="7"/>
  <c r="T386" i="7"/>
  <c r="U386" i="7" s="1"/>
  <c r="R386" i="7"/>
  <c r="S386" i="7" s="1"/>
  <c r="Q386" i="7"/>
  <c r="P386" i="7"/>
  <c r="N386" i="7"/>
  <c r="O386" i="7" s="1"/>
  <c r="L386" i="7"/>
  <c r="M386" i="7" s="1"/>
  <c r="V385" i="7"/>
  <c r="W385" i="7" s="1"/>
  <c r="T385" i="7"/>
  <c r="U385" i="7" s="1"/>
  <c r="S385" i="7"/>
  <c r="R385" i="7"/>
  <c r="P385" i="7"/>
  <c r="Q385" i="7" s="1"/>
  <c r="N385" i="7"/>
  <c r="O385" i="7" s="1"/>
  <c r="M385" i="7"/>
  <c r="L385" i="7"/>
  <c r="V384" i="7"/>
  <c r="W384" i="7" s="1"/>
  <c r="T384" i="7"/>
  <c r="U384" i="7" s="1"/>
  <c r="R384" i="7"/>
  <c r="S384" i="7" s="1"/>
  <c r="P384" i="7"/>
  <c r="Q384" i="7" s="1"/>
  <c r="O384" i="7"/>
  <c r="N384" i="7"/>
  <c r="L384" i="7"/>
  <c r="M384" i="7" s="1"/>
  <c r="V383" i="7"/>
  <c r="W383" i="7" s="1"/>
  <c r="U383" i="7"/>
  <c r="T383" i="7"/>
  <c r="R383" i="7"/>
  <c r="S383" i="7" s="1"/>
  <c r="P383" i="7"/>
  <c r="Q383" i="7" s="1"/>
  <c r="N383" i="7"/>
  <c r="O383" i="7" s="1"/>
  <c r="L383" i="7"/>
  <c r="M383" i="7" s="1"/>
  <c r="W382" i="7"/>
  <c r="V382" i="7"/>
  <c r="T382" i="7"/>
  <c r="U382" i="7" s="1"/>
  <c r="R382" i="7"/>
  <c r="S382" i="7" s="1"/>
  <c r="Q382" i="7"/>
  <c r="P382" i="7"/>
  <c r="N382" i="7"/>
  <c r="O382" i="7" s="1"/>
  <c r="L382" i="7"/>
  <c r="M382" i="7" s="1"/>
  <c r="V381" i="7"/>
  <c r="W381" i="7" s="1"/>
  <c r="T381" i="7"/>
  <c r="U381" i="7" s="1"/>
  <c r="S381" i="7"/>
  <c r="R381" i="7"/>
  <c r="P381" i="7"/>
  <c r="Q381" i="7" s="1"/>
  <c r="N381" i="7"/>
  <c r="O381" i="7" s="1"/>
  <c r="M381" i="7"/>
  <c r="L381" i="7"/>
  <c r="V380" i="7"/>
  <c r="W380" i="7" s="1"/>
  <c r="T380" i="7"/>
  <c r="U380" i="7" s="1"/>
  <c r="R380" i="7"/>
  <c r="S380" i="7" s="1"/>
  <c r="P380" i="7"/>
  <c r="Q380" i="7" s="1"/>
  <c r="O380" i="7"/>
  <c r="N380" i="7"/>
  <c r="L380" i="7"/>
  <c r="M380" i="7" s="1"/>
  <c r="V379" i="7"/>
  <c r="W379" i="7" s="1"/>
  <c r="U379" i="7"/>
  <c r="T379" i="7"/>
  <c r="S379" i="7"/>
  <c r="R379" i="7"/>
  <c r="P379" i="7"/>
  <c r="Q379" i="7" s="1"/>
  <c r="N379" i="7"/>
  <c r="O379" i="7" s="1"/>
  <c r="L379" i="7"/>
  <c r="M379" i="7" s="1"/>
  <c r="W378" i="7"/>
  <c r="V378" i="7"/>
  <c r="T378" i="7"/>
  <c r="U378" i="7" s="1"/>
  <c r="R378" i="7"/>
  <c r="S378" i="7" s="1"/>
  <c r="Q378" i="7"/>
  <c r="P378" i="7"/>
  <c r="N378" i="7"/>
  <c r="O378" i="7" s="1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U375" i="7"/>
  <c r="T375" i="7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Q370" i="7"/>
  <c r="P370" i="7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M365" i="7"/>
  <c r="L365" i="7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Q362" i="7"/>
  <c r="P362" i="7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U359" i="7"/>
  <c r="T359" i="7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P358" i="7"/>
  <c r="Q358" i="7" s="1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Q354" i="7"/>
  <c r="P354" i="7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L353" i="7"/>
  <c r="M353" i="7" s="1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M349" i="7"/>
  <c r="L349" i="7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Q346" i="7"/>
  <c r="P346" i="7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U343" i="7"/>
  <c r="T343" i="7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M341" i="7"/>
  <c r="L341" i="7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Q338" i="7"/>
  <c r="P338" i="7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T336" i="7"/>
  <c r="U336" i="7" s="1"/>
  <c r="R336" i="7"/>
  <c r="S336" i="7" s="1"/>
  <c r="Q336" i="7"/>
  <c r="P336" i="7"/>
  <c r="N336" i="7"/>
  <c r="O336" i="7" s="1"/>
  <c r="L336" i="7"/>
  <c r="M336" i="7" s="1"/>
  <c r="V335" i="7"/>
  <c r="W335" i="7" s="1"/>
  <c r="T335" i="7"/>
  <c r="U335" i="7" s="1"/>
  <c r="R335" i="7"/>
  <c r="S335" i="7" s="1"/>
  <c r="Q335" i="7"/>
  <c r="P335" i="7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M330" i="7"/>
  <c r="L330" i="7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T328" i="7"/>
  <c r="U328" i="7" s="1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U324" i="7"/>
  <c r="T324" i="7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M322" i="7"/>
  <c r="L322" i="7"/>
  <c r="V321" i="7"/>
  <c r="W321" i="7" s="1"/>
  <c r="T321" i="7"/>
  <c r="U321" i="7" s="1"/>
  <c r="S321" i="7"/>
  <c r="R321" i="7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W318" i="7"/>
  <c r="V318" i="7"/>
  <c r="T318" i="7"/>
  <c r="U318" i="7" s="1"/>
  <c r="S318" i="7"/>
  <c r="R318" i="7"/>
  <c r="P318" i="7"/>
  <c r="Q318" i="7" s="1"/>
  <c r="O318" i="7"/>
  <c r="N318" i="7"/>
  <c r="L318" i="7"/>
  <c r="M318" i="7" s="1"/>
  <c r="V317" i="7"/>
  <c r="W317" i="7" s="1"/>
  <c r="T317" i="7"/>
  <c r="U317" i="7" s="1"/>
  <c r="S317" i="7"/>
  <c r="R317" i="7"/>
  <c r="P317" i="7"/>
  <c r="Q317" i="7" s="1"/>
  <c r="N317" i="7"/>
  <c r="O317" i="7" s="1"/>
  <c r="L317" i="7"/>
  <c r="M317" i="7" s="1"/>
  <c r="V316" i="7"/>
  <c r="W316" i="7" s="1"/>
  <c r="T316" i="7"/>
  <c r="U316" i="7" s="1"/>
  <c r="R316" i="7"/>
  <c r="S316" i="7" s="1"/>
  <c r="P316" i="7"/>
  <c r="Q316" i="7" s="1"/>
  <c r="O316" i="7"/>
  <c r="N316" i="7"/>
  <c r="L316" i="7"/>
  <c r="M316" i="7" s="1"/>
  <c r="W315" i="7"/>
  <c r="V315" i="7"/>
  <c r="T315" i="7"/>
  <c r="U315" i="7" s="1"/>
  <c r="S315" i="7"/>
  <c r="R315" i="7"/>
  <c r="P315" i="7"/>
  <c r="Q315" i="7" s="1"/>
  <c r="N315" i="7"/>
  <c r="O315" i="7" s="1"/>
  <c r="L315" i="7"/>
  <c r="M315" i="7" s="1"/>
  <c r="W314" i="7"/>
  <c r="V314" i="7"/>
  <c r="T314" i="7"/>
  <c r="U314" i="7" s="1"/>
  <c r="R314" i="7"/>
  <c r="S314" i="7" s="1"/>
  <c r="P314" i="7"/>
  <c r="Q314" i="7" s="1"/>
  <c r="N314" i="7"/>
  <c r="O314" i="7" s="1"/>
  <c r="L314" i="7"/>
  <c r="M314" i="7" s="1"/>
  <c r="W313" i="7"/>
  <c r="V313" i="7"/>
  <c r="T313" i="7"/>
  <c r="U313" i="7" s="1"/>
  <c r="S313" i="7"/>
  <c r="R313" i="7"/>
  <c r="P313" i="7"/>
  <c r="Q313" i="7" s="1"/>
  <c r="O313" i="7"/>
  <c r="N313" i="7"/>
  <c r="L313" i="7"/>
  <c r="M313" i="7" s="1"/>
  <c r="W312" i="7"/>
  <c r="V312" i="7"/>
  <c r="T312" i="7"/>
  <c r="U312" i="7" s="1"/>
  <c r="R312" i="7"/>
  <c r="S312" i="7" s="1"/>
  <c r="P312" i="7"/>
  <c r="Q312" i="7" s="1"/>
  <c r="O312" i="7"/>
  <c r="N312" i="7"/>
  <c r="L312" i="7"/>
  <c r="M312" i="7" s="1"/>
  <c r="V311" i="7"/>
  <c r="W311" i="7" s="1"/>
  <c r="T311" i="7"/>
  <c r="U311" i="7" s="1"/>
  <c r="R311" i="7"/>
  <c r="S311" i="7" s="1"/>
  <c r="P311" i="7"/>
  <c r="Q311" i="7" s="1"/>
  <c r="N311" i="7"/>
  <c r="O311" i="7" s="1"/>
  <c r="L311" i="7"/>
  <c r="M311" i="7" s="1"/>
  <c r="W310" i="7"/>
  <c r="V310" i="7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V308" i="7"/>
  <c r="W308" i="7" s="1"/>
  <c r="T308" i="7"/>
  <c r="U308" i="7" s="1"/>
  <c r="R308" i="7"/>
  <c r="S308" i="7" s="1"/>
  <c r="P308" i="7"/>
  <c r="Q308" i="7" s="1"/>
  <c r="O308" i="7"/>
  <c r="N308" i="7"/>
  <c r="L308" i="7"/>
  <c r="M308" i="7" s="1"/>
  <c r="W307" i="7"/>
  <c r="V307" i="7"/>
  <c r="T307" i="7"/>
  <c r="U307" i="7" s="1"/>
  <c r="S307" i="7"/>
  <c r="R307" i="7"/>
  <c r="P307" i="7"/>
  <c r="Q307" i="7" s="1"/>
  <c r="N307" i="7"/>
  <c r="O307" i="7" s="1"/>
  <c r="L307" i="7"/>
  <c r="M307" i="7" s="1"/>
  <c r="W306" i="7"/>
  <c r="V306" i="7"/>
  <c r="T306" i="7"/>
  <c r="U306" i="7" s="1"/>
  <c r="R306" i="7"/>
  <c r="S306" i="7" s="1"/>
  <c r="P306" i="7"/>
  <c r="Q306" i="7" s="1"/>
  <c r="N306" i="7"/>
  <c r="O306" i="7" s="1"/>
  <c r="L306" i="7"/>
  <c r="M306" i="7" s="1"/>
  <c r="V305" i="7"/>
  <c r="W305" i="7" s="1"/>
  <c r="T305" i="7"/>
  <c r="U305" i="7" s="1"/>
  <c r="S305" i="7"/>
  <c r="R305" i="7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R303" i="7"/>
  <c r="S303" i="7" s="1"/>
  <c r="P303" i="7"/>
  <c r="Q303" i="7" s="1"/>
  <c r="O303" i="7"/>
  <c r="N303" i="7"/>
  <c r="L303" i="7"/>
  <c r="M303" i="7" s="1"/>
  <c r="W302" i="7"/>
  <c r="V302" i="7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V300" i="7"/>
  <c r="W300" i="7" s="1"/>
  <c r="T300" i="7"/>
  <c r="U300" i="7" s="1"/>
  <c r="S300" i="7"/>
  <c r="R300" i="7"/>
  <c r="P300" i="7"/>
  <c r="Q300" i="7" s="1"/>
  <c r="O300" i="7"/>
  <c r="N300" i="7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N298" i="7"/>
  <c r="O298" i="7" s="1"/>
  <c r="L298" i="7"/>
  <c r="M298" i="7" s="1"/>
  <c r="W297" i="7"/>
  <c r="V297" i="7"/>
  <c r="T297" i="7"/>
  <c r="U297" i="7" s="1"/>
  <c r="S297" i="7"/>
  <c r="R297" i="7"/>
  <c r="P297" i="7"/>
  <c r="Q297" i="7" s="1"/>
  <c r="O297" i="7"/>
  <c r="N297" i="7"/>
  <c r="L297" i="7"/>
  <c r="M297" i="7" s="1"/>
  <c r="W296" i="7"/>
  <c r="V296" i="7"/>
  <c r="T296" i="7"/>
  <c r="U296" i="7" s="1"/>
  <c r="R296" i="7"/>
  <c r="S296" i="7" s="1"/>
  <c r="P296" i="7"/>
  <c r="Q296" i="7" s="1"/>
  <c r="O296" i="7"/>
  <c r="N296" i="7"/>
  <c r="L296" i="7"/>
  <c r="M296" i="7" s="1"/>
  <c r="V295" i="7"/>
  <c r="W295" i="7" s="1"/>
  <c r="T295" i="7"/>
  <c r="U295" i="7" s="1"/>
  <c r="R295" i="7"/>
  <c r="S295" i="7" s="1"/>
  <c r="P295" i="7"/>
  <c r="Q295" i="7" s="1"/>
  <c r="N295" i="7"/>
  <c r="O295" i="7" s="1"/>
  <c r="L295" i="7"/>
  <c r="M295" i="7" s="1"/>
  <c r="W294" i="7"/>
  <c r="V294" i="7"/>
  <c r="T294" i="7"/>
  <c r="U294" i="7" s="1"/>
  <c r="S294" i="7"/>
  <c r="R294" i="7"/>
  <c r="P294" i="7"/>
  <c r="Q294" i="7" s="1"/>
  <c r="O294" i="7"/>
  <c r="N294" i="7"/>
  <c r="L294" i="7"/>
  <c r="M294" i="7" s="1"/>
  <c r="V293" i="7"/>
  <c r="W293" i="7" s="1"/>
  <c r="T293" i="7"/>
  <c r="U293" i="7" s="1"/>
  <c r="S293" i="7"/>
  <c r="R293" i="7"/>
  <c r="P293" i="7"/>
  <c r="Q293" i="7" s="1"/>
  <c r="N293" i="7"/>
  <c r="O293" i="7" s="1"/>
  <c r="L293" i="7"/>
  <c r="M293" i="7" s="1"/>
  <c r="V292" i="7"/>
  <c r="W292" i="7" s="1"/>
  <c r="T292" i="7"/>
  <c r="U292" i="7" s="1"/>
  <c r="S292" i="7"/>
  <c r="R292" i="7"/>
  <c r="P292" i="7"/>
  <c r="Q292" i="7" s="1"/>
  <c r="O292" i="7"/>
  <c r="N292" i="7"/>
  <c r="L292" i="7"/>
  <c r="M292" i="7" s="1"/>
  <c r="W291" i="7"/>
  <c r="V291" i="7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N290" i="7"/>
  <c r="O290" i="7" s="1"/>
  <c r="L290" i="7"/>
  <c r="M290" i="7" s="1"/>
  <c r="V289" i="7"/>
  <c r="W289" i="7" s="1"/>
  <c r="T289" i="7"/>
  <c r="U289" i="7" s="1"/>
  <c r="S289" i="7"/>
  <c r="R289" i="7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R287" i="7"/>
  <c r="S287" i="7" s="1"/>
  <c r="P287" i="7"/>
  <c r="Q287" i="7" s="1"/>
  <c r="N287" i="7"/>
  <c r="O287" i="7" s="1"/>
  <c r="L287" i="7"/>
  <c r="M287" i="7" s="1"/>
  <c r="W286" i="7"/>
  <c r="V286" i="7"/>
  <c r="T286" i="7"/>
  <c r="U286" i="7" s="1"/>
  <c r="S286" i="7"/>
  <c r="R286" i="7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V284" i="7"/>
  <c r="W284" i="7" s="1"/>
  <c r="T284" i="7"/>
  <c r="U284" i="7" s="1"/>
  <c r="R284" i="7"/>
  <c r="S284" i="7" s="1"/>
  <c r="P284" i="7"/>
  <c r="Q284" i="7" s="1"/>
  <c r="O284" i="7"/>
  <c r="N284" i="7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N282" i="7"/>
  <c r="O282" i="7" s="1"/>
  <c r="L282" i="7"/>
  <c r="M282" i="7" s="1"/>
  <c r="W281" i="7"/>
  <c r="V281" i="7"/>
  <c r="T281" i="7"/>
  <c r="U281" i="7" s="1"/>
  <c r="S281" i="7"/>
  <c r="R281" i="7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N280" i="7"/>
  <c r="O280" i="7" s="1"/>
  <c r="L280" i="7"/>
  <c r="M280" i="7" s="1"/>
  <c r="V279" i="7"/>
  <c r="W279" i="7" s="1"/>
  <c r="T279" i="7"/>
  <c r="U279" i="7" s="1"/>
  <c r="R279" i="7"/>
  <c r="S279" i="7" s="1"/>
  <c r="P279" i="7"/>
  <c r="Q279" i="7" s="1"/>
  <c r="O279" i="7"/>
  <c r="N279" i="7"/>
  <c r="L279" i="7"/>
  <c r="M279" i="7" s="1"/>
  <c r="W278" i="7"/>
  <c r="V278" i="7"/>
  <c r="T278" i="7"/>
  <c r="U278" i="7" s="1"/>
  <c r="S278" i="7"/>
  <c r="R278" i="7"/>
  <c r="P278" i="7"/>
  <c r="Q278" i="7" s="1"/>
  <c r="O278" i="7"/>
  <c r="N278" i="7"/>
  <c r="L278" i="7"/>
  <c r="M278" i="7" s="1"/>
  <c r="V277" i="7"/>
  <c r="W277" i="7" s="1"/>
  <c r="T277" i="7"/>
  <c r="U277" i="7" s="1"/>
  <c r="S277" i="7"/>
  <c r="R277" i="7"/>
  <c r="P277" i="7"/>
  <c r="Q277" i="7" s="1"/>
  <c r="N277" i="7"/>
  <c r="O277" i="7" s="1"/>
  <c r="L277" i="7"/>
  <c r="M277" i="7" s="1"/>
  <c r="V276" i="7"/>
  <c r="W276" i="7" s="1"/>
  <c r="T276" i="7"/>
  <c r="U276" i="7" s="1"/>
  <c r="S276" i="7"/>
  <c r="R276" i="7"/>
  <c r="P276" i="7"/>
  <c r="Q276" i="7" s="1"/>
  <c r="O276" i="7"/>
  <c r="N276" i="7"/>
  <c r="L276" i="7"/>
  <c r="M276" i="7" s="1"/>
  <c r="W275" i="7"/>
  <c r="V275" i="7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N274" i="7"/>
  <c r="O274" i="7" s="1"/>
  <c r="L274" i="7"/>
  <c r="M274" i="7" s="1"/>
  <c r="V273" i="7"/>
  <c r="W273" i="7" s="1"/>
  <c r="T273" i="7"/>
  <c r="U273" i="7" s="1"/>
  <c r="S273" i="7"/>
  <c r="R273" i="7"/>
  <c r="P273" i="7"/>
  <c r="Q273" i="7" s="1"/>
  <c r="O273" i="7"/>
  <c r="N273" i="7"/>
  <c r="L273" i="7"/>
  <c r="M273" i="7" s="1"/>
  <c r="W272" i="7"/>
  <c r="V272" i="7"/>
  <c r="T272" i="7"/>
  <c r="U272" i="7" s="1"/>
  <c r="R272" i="7"/>
  <c r="S272" i="7" s="1"/>
  <c r="P272" i="7"/>
  <c r="Q272" i="7" s="1"/>
  <c r="O272" i="7"/>
  <c r="N272" i="7"/>
  <c r="L272" i="7"/>
  <c r="M272" i="7" s="1"/>
  <c r="V271" i="7"/>
  <c r="W271" i="7" s="1"/>
  <c r="T271" i="7"/>
  <c r="U271" i="7" s="1"/>
  <c r="R271" i="7"/>
  <c r="S271" i="7" s="1"/>
  <c r="P271" i="7"/>
  <c r="Q271" i="7" s="1"/>
  <c r="O271" i="7"/>
  <c r="N271" i="7"/>
  <c r="L271" i="7"/>
  <c r="M271" i="7" s="1"/>
  <c r="W270" i="7"/>
  <c r="V270" i="7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R269" i="7"/>
  <c r="S269" i="7" s="1"/>
  <c r="P269" i="7"/>
  <c r="Q269" i="7" s="1"/>
  <c r="N269" i="7"/>
  <c r="O269" i="7" s="1"/>
  <c r="L269" i="7"/>
  <c r="M269" i="7" s="1"/>
  <c r="V268" i="7"/>
  <c r="W268" i="7" s="1"/>
  <c r="T268" i="7"/>
  <c r="U268" i="7" s="1"/>
  <c r="R268" i="7"/>
  <c r="S268" i="7" s="1"/>
  <c r="P268" i="7"/>
  <c r="Q268" i="7" s="1"/>
  <c r="O268" i="7"/>
  <c r="N268" i="7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N266" i="7"/>
  <c r="O266" i="7" s="1"/>
  <c r="L266" i="7"/>
  <c r="M266" i="7" s="1"/>
  <c r="V265" i="7"/>
  <c r="W265" i="7" s="1"/>
  <c r="T265" i="7"/>
  <c r="U265" i="7" s="1"/>
  <c r="S265" i="7"/>
  <c r="R265" i="7"/>
  <c r="P265" i="7"/>
  <c r="Q265" i="7" s="1"/>
  <c r="O265" i="7"/>
  <c r="N265" i="7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R263" i="7"/>
  <c r="S263" i="7" s="1"/>
  <c r="P263" i="7"/>
  <c r="Q263" i="7" s="1"/>
  <c r="O263" i="7"/>
  <c r="N263" i="7"/>
  <c r="L263" i="7"/>
  <c r="M263" i="7" s="1"/>
  <c r="W262" i="7"/>
  <c r="V262" i="7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V260" i="7"/>
  <c r="W260" i="7" s="1"/>
  <c r="T260" i="7"/>
  <c r="U260" i="7" s="1"/>
  <c r="S260" i="7"/>
  <c r="R260" i="7"/>
  <c r="P260" i="7"/>
  <c r="Q260" i="7" s="1"/>
  <c r="O260" i="7"/>
  <c r="N260" i="7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V258" i="7"/>
  <c r="W258" i="7" s="1"/>
  <c r="T258" i="7"/>
  <c r="U258" i="7" s="1"/>
  <c r="R258" i="7"/>
  <c r="S258" i="7" s="1"/>
  <c r="P258" i="7"/>
  <c r="Q258" i="7" s="1"/>
  <c r="N258" i="7"/>
  <c r="O258" i="7" s="1"/>
  <c r="L258" i="7"/>
  <c r="M258" i="7" s="1"/>
  <c r="W257" i="7"/>
  <c r="V257" i="7"/>
  <c r="T257" i="7"/>
  <c r="U257" i="7" s="1"/>
  <c r="S257" i="7"/>
  <c r="R257" i="7"/>
  <c r="P257" i="7"/>
  <c r="Q257" i="7" s="1"/>
  <c r="O257" i="7"/>
  <c r="N257" i="7"/>
  <c r="L257" i="7"/>
  <c r="M257" i="7" s="1"/>
  <c r="W256" i="7"/>
  <c r="V256" i="7"/>
  <c r="T256" i="7"/>
  <c r="U256" i="7" s="1"/>
  <c r="R256" i="7"/>
  <c r="S256" i="7" s="1"/>
  <c r="P256" i="7"/>
  <c r="Q256" i="7" s="1"/>
  <c r="O256" i="7"/>
  <c r="N256" i="7"/>
  <c r="L256" i="7"/>
  <c r="M256" i="7" s="1"/>
  <c r="V255" i="7"/>
  <c r="W255" i="7" s="1"/>
  <c r="T255" i="7"/>
  <c r="U255" i="7" s="1"/>
  <c r="R255" i="7"/>
  <c r="S255" i="7" s="1"/>
  <c r="P255" i="7"/>
  <c r="Q255" i="7" s="1"/>
  <c r="N255" i="7"/>
  <c r="O255" i="7" s="1"/>
  <c r="L255" i="7"/>
  <c r="M255" i="7" s="1"/>
  <c r="W254" i="7"/>
  <c r="V254" i="7"/>
  <c r="T254" i="7"/>
  <c r="U254" i="7" s="1"/>
  <c r="S254" i="7"/>
  <c r="R254" i="7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V252" i="7"/>
  <c r="W252" i="7" s="1"/>
  <c r="T252" i="7"/>
  <c r="U252" i="7" s="1"/>
  <c r="R252" i="7"/>
  <c r="S252" i="7" s="1"/>
  <c r="P252" i="7"/>
  <c r="Q252" i="7" s="1"/>
  <c r="O252" i="7"/>
  <c r="N252" i="7"/>
  <c r="L252" i="7"/>
  <c r="M252" i="7" s="1"/>
  <c r="W251" i="7"/>
  <c r="V251" i="7"/>
  <c r="T251" i="7"/>
  <c r="U251" i="7" s="1"/>
  <c r="S251" i="7"/>
  <c r="R251" i="7"/>
  <c r="P251" i="7"/>
  <c r="Q251" i="7" s="1"/>
  <c r="N251" i="7"/>
  <c r="O251" i="7" s="1"/>
  <c r="L251" i="7"/>
  <c r="M251" i="7" s="1"/>
  <c r="W250" i="7"/>
  <c r="V250" i="7"/>
  <c r="T250" i="7"/>
  <c r="U250" i="7" s="1"/>
  <c r="R250" i="7"/>
  <c r="S250" i="7" s="1"/>
  <c r="P250" i="7"/>
  <c r="Q250" i="7" s="1"/>
  <c r="N250" i="7"/>
  <c r="O250" i="7" s="1"/>
  <c r="L250" i="7"/>
  <c r="M250" i="7" s="1"/>
  <c r="W249" i="7"/>
  <c r="V249" i="7"/>
  <c r="T249" i="7"/>
  <c r="U249" i="7" s="1"/>
  <c r="S249" i="7"/>
  <c r="R249" i="7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N248" i="7"/>
  <c r="O248" i="7" s="1"/>
  <c r="L248" i="7"/>
  <c r="M248" i="7" s="1"/>
  <c r="V247" i="7"/>
  <c r="W247" i="7" s="1"/>
  <c r="T247" i="7"/>
  <c r="U247" i="7" s="1"/>
  <c r="R247" i="7"/>
  <c r="S247" i="7" s="1"/>
  <c r="P247" i="7"/>
  <c r="Q247" i="7" s="1"/>
  <c r="N247" i="7"/>
  <c r="O247" i="7" s="1"/>
  <c r="L247" i="7"/>
  <c r="M247" i="7" s="1"/>
  <c r="W246" i="7"/>
  <c r="V246" i="7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V244" i="7"/>
  <c r="W244" i="7" s="1"/>
  <c r="T244" i="7"/>
  <c r="U244" i="7" s="1"/>
  <c r="R244" i="7"/>
  <c r="S244" i="7" s="1"/>
  <c r="P244" i="7"/>
  <c r="Q244" i="7" s="1"/>
  <c r="O244" i="7"/>
  <c r="N244" i="7"/>
  <c r="L244" i="7"/>
  <c r="M244" i="7" s="1"/>
  <c r="W243" i="7"/>
  <c r="V243" i="7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N242" i="7"/>
  <c r="O242" i="7" s="1"/>
  <c r="L242" i="7"/>
  <c r="M242" i="7" s="1"/>
  <c r="V241" i="7"/>
  <c r="W241" i="7" s="1"/>
  <c r="T241" i="7"/>
  <c r="U241" i="7" s="1"/>
  <c r="S241" i="7"/>
  <c r="R241" i="7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R239" i="7"/>
  <c r="S239" i="7" s="1"/>
  <c r="P239" i="7"/>
  <c r="Q239" i="7" s="1"/>
  <c r="O239" i="7"/>
  <c r="N239" i="7"/>
  <c r="L239" i="7"/>
  <c r="M239" i="7" s="1"/>
  <c r="W238" i="7"/>
  <c r="V238" i="7"/>
  <c r="T238" i="7"/>
  <c r="U238" i="7" s="1"/>
  <c r="R238" i="7"/>
  <c r="S238" i="7" s="1"/>
  <c r="P238" i="7"/>
  <c r="Q238" i="7" s="1"/>
  <c r="O238" i="7"/>
  <c r="N238" i="7"/>
  <c r="L238" i="7"/>
  <c r="M238" i="7" s="1"/>
  <c r="V237" i="7"/>
  <c r="W237" i="7" s="1"/>
  <c r="T237" i="7"/>
  <c r="U237" i="7" s="1"/>
  <c r="R237" i="7"/>
  <c r="S237" i="7" s="1"/>
  <c r="P237" i="7"/>
  <c r="Q237" i="7" s="1"/>
  <c r="N237" i="7"/>
  <c r="O237" i="7" s="1"/>
  <c r="L237" i="7"/>
  <c r="M237" i="7" s="1"/>
  <c r="V236" i="7"/>
  <c r="W236" i="7" s="1"/>
  <c r="T236" i="7"/>
  <c r="U236" i="7" s="1"/>
  <c r="S236" i="7"/>
  <c r="R236" i="7"/>
  <c r="P236" i="7"/>
  <c r="Q236" i="7" s="1"/>
  <c r="O236" i="7"/>
  <c r="N236" i="7"/>
  <c r="L236" i="7"/>
  <c r="M236" i="7" s="1"/>
  <c r="V235" i="7"/>
  <c r="W235" i="7" s="1"/>
  <c r="T235" i="7"/>
  <c r="U235" i="7" s="1"/>
  <c r="S235" i="7"/>
  <c r="R235" i="7"/>
  <c r="P235" i="7"/>
  <c r="Q235" i="7" s="1"/>
  <c r="N235" i="7"/>
  <c r="O235" i="7" s="1"/>
  <c r="L235" i="7"/>
  <c r="M235" i="7" s="1"/>
  <c r="V234" i="7"/>
  <c r="W234" i="7" s="1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O233" i="7"/>
  <c r="N233" i="7"/>
  <c r="L233" i="7"/>
  <c r="M233" i="7" s="1"/>
  <c r="W232" i="7"/>
  <c r="V232" i="7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S230" i="7"/>
  <c r="R230" i="7"/>
  <c r="P230" i="7"/>
  <c r="Q230" i="7" s="1"/>
  <c r="O230" i="7"/>
  <c r="N230" i="7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S228" i="7"/>
  <c r="R228" i="7"/>
  <c r="P228" i="7"/>
  <c r="Q228" i="7" s="1"/>
  <c r="O228" i="7"/>
  <c r="N228" i="7"/>
  <c r="L228" i="7"/>
  <c r="M228" i="7" s="1"/>
  <c r="V227" i="7"/>
  <c r="W227" i="7" s="1"/>
  <c r="T227" i="7"/>
  <c r="U227" i="7" s="1"/>
  <c r="S227" i="7"/>
  <c r="R227" i="7"/>
  <c r="P227" i="7"/>
  <c r="Q227" i="7" s="1"/>
  <c r="N227" i="7"/>
  <c r="O227" i="7" s="1"/>
  <c r="L227" i="7"/>
  <c r="M227" i="7" s="1"/>
  <c r="V226" i="7"/>
  <c r="W226" i="7" s="1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W224" i="7"/>
  <c r="V224" i="7"/>
  <c r="T224" i="7"/>
  <c r="U224" i="7" s="1"/>
  <c r="R224" i="7"/>
  <c r="S224" i="7" s="1"/>
  <c r="P224" i="7"/>
  <c r="Q224" i="7" s="1"/>
  <c r="N224" i="7"/>
  <c r="O224" i="7" s="1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S222" i="7"/>
  <c r="R222" i="7"/>
  <c r="P222" i="7"/>
  <c r="Q222" i="7" s="1"/>
  <c r="O222" i="7"/>
  <c r="N222" i="7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S219" i="7"/>
  <c r="R219" i="7"/>
  <c r="P219" i="7"/>
  <c r="Q219" i="7" s="1"/>
  <c r="N219" i="7"/>
  <c r="O219" i="7" s="1"/>
  <c r="L219" i="7"/>
  <c r="M219" i="7" s="1"/>
  <c r="V218" i="7"/>
  <c r="W218" i="7" s="1"/>
  <c r="T218" i="7"/>
  <c r="U218" i="7" s="1"/>
  <c r="R218" i="7"/>
  <c r="S218" i="7" s="1"/>
  <c r="P218" i="7"/>
  <c r="Q218" i="7" s="1"/>
  <c r="N218" i="7"/>
  <c r="O218" i="7" s="1"/>
  <c r="L218" i="7"/>
  <c r="M218" i="7" s="1"/>
  <c r="W217" i="7"/>
  <c r="V217" i="7"/>
  <c r="T217" i="7"/>
  <c r="U217" i="7" s="1"/>
  <c r="S217" i="7"/>
  <c r="R217" i="7"/>
  <c r="P217" i="7"/>
  <c r="Q217" i="7" s="1"/>
  <c r="N217" i="7"/>
  <c r="O217" i="7" s="1"/>
  <c r="L217" i="7"/>
  <c r="M217" i="7" s="1"/>
  <c r="W216" i="7"/>
  <c r="V216" i="7"/>
  <c r="T216" i="7"/>
  <c r="U216" i="7" s="1"/>
  <c r="R216" i="7"/>
  <c r="S216" i="7" s="1"/>
  <c r="P216" i="7"/>
  <c r="Q216" i="7" s="1"/>
  <c r="N216" i="7"/>
  <c r="O216" i="7" s="1"/>
  <c r="L216" i="7"/>
  <c r="M216" i="7" s="1"/>
  <c r="V215" i="7"/>
  <c r="W215" i="7" s="1"/>
  <c r="T215" i="7"/>
  <c r="U215" i="7" s="1"/>
  <c r="R215" i="7"/>
  <c r="S215" i="7" s="1"/>
  <c r="P215" i="7"/>
  <c r="Q215" i="7" s="1"/>
  <c r="O215" i="7"/>
  <c r="N215" i="7"/>
  <c r="L215" i="7"/>
  <c r="M215" i="7" s="1"/>
  <c r="W214" i="7"/>
  <c r="V214" i="7"/>
  <c r="T214" i="7"/>
  <c r="U214" i="7" s="1"/>
  <c r="R214" i="7"/>
  <c r="S214" i="7" s="1"/>
  <c r="P214" i="7"/>
  <c r="Q214" i="7" s="1"/>
  <c r="O214" i="7"/>
  <c r="N214" i="7"/>
  <c r="L214" i="7"/>
  <c r="M214" i="7" s="1"/>
  <c r="V213" i="7"/>
  <c r="W213" i="7" s="1"/>
  <c r="T213" i="7"/>
  <c r="U213" i="7" s="1"/>
  <c r="R213" i="7"/>
  <c r="S213" i="7" s="1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W211" i="7"/>
  <c r="V211" i="7"/>
  <c r="T211" i="7"/>
  <c r="U211" i="7" s="1"/>
  <c r="S211" i="7"/>
  <c r="R211" i="7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O210" i="7"/>
  <c r="N210" i="7"/>
  <c r="L210" i="7"/>
  <c r="M210" i="7" s="1"/>
  <c r="W209" i="7"/>
  <c r="V209" i="7"/>
  <c r="T209" i="7"/>
  <c r="U209" i="7" s="1"/>
  <c r="S209" i="7"/>
  <c r="R209" i="7"/>
  <c r="P209" i="7"/>
  <c r="Q209" i="7" s="1"/>
  <c r="N209" i="7"/>
  <c r="O209" i="7" s="1"/>
  <c r="L209" i="7"/>
  <c r="M209" i="7" s="1"/>
  <c r="W208" i="7"/>
  <c r="V208" i="7"/>
  <c r="T208" i="7"/>
  <c r="U208" i="7" s="1"/>
  <c r="R208" i="7"/>
  <c r="S208" i="7" s="1"/>
  <c r="P208" i="7"/>
  <c r="Q208" i="7" s="1"/>
  <c r="N208" i="7"/>
  <c r="O208" i="7" s="1"/>
  <c r="L208" i="7"/>
  <c r="M208" i="7" s="1"/>
  <c r="V207" i="7"/>
  <c r="W207" i="7" s="1"/>
  <c r="T207" i="7"/>
  <c r="U207" i="7" s="1"/>
  <c r="S207" i="7"/>
  <c r="R207" i="7"/>
  <c r="P207" i="7"/>
  <c r="Q207" i="7" s="1"/>
  <c r="N207" i="7"/>
  <c r="O207" i="7" s="1"/>
  <c r="L207" i="7"/>
  <c r="M207" i="7" s="1"/>
  <c r="W206" i="7"/>
  <c r="V206" i="7"/>
  <c r="T206" i="7"/>
  <c r="U206" i="7" s="1"/>
  <c r="S206" i="7"/>
  <c r="R206" i="7"/>
  <c r="P206" i="7"/>
  <c r="Q206" i="7" s="1"/>
  <c r="O206" i="7"/>
  <c r="N206" i="7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S204" i="7"/>
  <c r="R204" i="7"/>
  <c r="P204" i="7"/>
  <c r="Q204" i="7" s="1"/>
  <c r="O204" i="7"/>
  <c r="N204" i="7"/>
  <c r="L204" i="7"/>
  <c r="M204" i="7" s="1"/>
  <c r="W203" i="7"/>
  <c r="V203" i="7"/>
  <c r="U203" i="7"/>
  <c r="T203" i="7"/>
  <c r="R203" i="7"/>
  <c r="S203" i="7" s="1"/>
  <c r="P203" i="7"/>
  <c r="Q203" i="7" s="1"/>
  <c r="O203" i="7"/>
  <c r="N203" i="7"/>
  <c r="M203" i="7"/>
  <c r="L203" i="7"/>
  <c r="V202" i="7"/>
  <c r="W202" i="7" s="1"/>
  <c r="T202" i="7"/>
  <c r="U202" i="7" s="1"/>
  <c r="R202" i="7"/>
  <c r="S202" i="7" s="1"/>
  <c r="Q202" i="7"/>
  <c r="P202" i="7"/>
  <c r="N202" i="7"/>
  <c r="O202" i="7" s="1"/>
  <c r="L202" i="7"/>
  <c r="M202" i="7" s="1"/>
  <c r="W201" i="7"/>
  <c r="V201" i="7"/>
  <c r="T201" i="7"/>
  <c r="U201" i="7" s="1"/>
  <c r="R201" i="7"/>
  <c r="S201" i="7" s="1"/>
  <c r="P201" i="7"/>
  <c r="Q201" i="7" s="1"/>
  <c r="N201" i="7"/>
  <c r="O201" i="7" s="1"/>
  <c r="M201" i="7"/>
  <c r="L201" i="7"/>
  <c r="V200" i="7"/>
  <c r="W200" i="7" s="1"/>
  <c r="T200" i="7"/>
  <c r="U200" i="7" s="1"/>
  <c r="S200" i="7"/>
  <c r="R200" i="7"/>
  <c r="P200" i="7"/>
  <c r="Q200" i="7" s="1"/>
  <c r="N200" i="7"/>
  <c r="O200" i="7" s="1"/>
  <c r="L200" i="7"/>
  <c r="M200" i="7" s="1"/>
  <c r="V199" i="7"/>
  <c r="W199" i="7" s="1"/>
  <c r="U199" i="7"/>
  <c r="T199" i="7"/>
  <c r="R199" i="7"/>
  <c r="S199" i="7" s="1"/>
  <c r="P199" i="7"/>
  <c r="Q199" i="7" s="1"/>
  <c r="O199" i="7"/>
  <c r="N199" i="7"/>
  <c r="L199" i="7"/>
  <c r="M199" i="7" s="1"/>
  <c r="V198" i="7"/>
  <c r="W198" i="7" s="1"/>
  <c r="T198" i="7"/>
  <c r="U198" i="7" s="1"/>
  <c r="R198" i="7"/>
  <c r="S198" i="7" s="1"/>
  <c r="Q198" i="7"/>
  <c r="P198" i="7"/>
  <c r="N198" i="7"/>
  <c r="O198" i="7" s="1"/>
  <c r="L198" i="7"/>
  <c r="M198" i="7" s="1"/>
  <c r="W197" i="7"/>
  <c r="V197" i="7"/>
  <c r="T197" i="7"/>
  <c r="U197" i="7" s="1"/>
  <c r="R197" i="7"/>
  <c r="S197" i="7" s="1"/>
  <c r="P197" i="7"/>
  <c r="Q197" i="7" s="1"/>
  <c r="N197" i="7"/>
  <c r="O197" i="7" s="1"/>
  <c r="M197" i="7"/>
  <c r="L197" i="7"/>
  <c r="V196" i="7"/>
  <c r="W196" i="7" s="1"/>
  <c r="T196" i="7"/>
  <c r="U196" i="7" s="1"/>
  <c r="S196" i="7"/>
  <c r="R196" i="7"/>
  <c r="P196" i="7"/>
  <c r="Q196" i="7" s="1"/>
  <c r="N196" i="7"/>
  <c r="O196" i="7" s="1"/>
  <c r="L196" i="7"/>
  <c r="M196" i="7" s="1"/>
  <c r="V195" i="7"/>
  <c r="W195" i="7" s="1"/>
  <c r="U195" i="7"/>
  <c r="T195" i="7"/>
  <c r="R195" i="7"/>
  <c r="S195" i="7" s="1"/>
  <c r="P195" i="7"/>
  <c r="Q195" i="7" s="1"/>
  <c r="O195" i="7"/>
  <c r="N195" i="7"/>
  <c r="L195" i="7"/>
  <c r="M195" i="7" s="1"/>
  <c r="V194" i="7"/>
  <c r="W194" i="7" s="1"/>
  <c r="T194" i="7"/>
  <c r="U194" i="7" s="1"/>
  <c r="R194" i="7"/>
  <c r="S194" i="7" s="1"/>
  <c r="Q194" i="7"/>
  <c r="P194" i="7"/>
  <c r="N194" i="7"/>
  <c r="O194" i="7" s="1"/>
  <c r="L194" i="7"/>
  <c r="M194" i="7" s="1"/>
  <c r="W193" i="7"/>
  <c r="V193" i="7"/>
  <c r="T193" i="7"/>
  <c r="U193" i="7" s="1"/>
  <c r="R193" i="7"/>
  <c r="S193" i="7" s="1"/>
  <c r="P193" i="7"/>
  <c r="Q193" i="7" s="1"/>
  <c r="O193" i="7"/>
  <c r="N193" i="7"/>
  <c r="M193" i="7"/>
  <c r="L193" i="7"/>
  <c r="V192" i="7"/>
  <c r="W192" i="7" s="1"/>
  <c r="T192" i="7"/>
  <c r="U192" i="7" s="1"/>
  <c r="S192" i="7"/>
  <c r="R192" i="7"/>
  <c r="Q192" i="7"/>
  <c r="P192" i="7"/>
  <c r="N192" i="7"/>
  <c r="O192" i="7" s="1"/>
  <c r="L192" i="7"/>
  <c r="M192" i="7" s="1"/>
  <c r="V191" i="7"/>
  <c r="W191" i="7" s="1"/>
  <c r="U191" i="7"/>
  <c r="T191" i="7"/>
  <c r="R191" i="7"/>
  <c r="S191" i="7" s="1"/>
  <c r="P191" i="7"/>
  <c r="Q191" i="7" s="1"/>
  <c r="O191" i="7"/>
  <c r="N191" i="7"/>
  <c r="L191" i="7"/>
  <c r="M191" i="7" s="1"/>
  <c r="V190" i="7"/>
  <c r="W190" i="7" s="1"/>
  <c r="T190" i="7"/>
  <c r="U190" i="7" s="1"/>
  <c r="R190" i="7"/>
  <c r="S190" i="7" s="1"/>
  <c r="Q190" i="7"/>
  <c r="P190" i="7"/>
  <c r="N190" i="7"/>
  <c r="O190" i="7" s="1"/>
  <c r="L190" i="7"/>
  <c r="M190" i="7" s="1"/>
  <c r="W189" i="7"/>
  <c r="V189" i="7"/>
  <c r="T189" i="7"/>
  <c r="U189" i="7" s="1"/>
  <c r="R189" i="7"/>
  <c r="S189" i="7" s="1"/>
  <c r="P189" i="7"/>
  <c r="Q189" i="7" s="1"/>
  <c r="N189" i="7"/>
  <c r="O189" i="7" s="1"/>
  <c r="M189" i="7"/>
  <c r="L189" i="7"/>
  <c r="V188" i="7"/>
  <c r="W188" i="7" s="1"/>
  <c r="T188" i="7"/>
  <c r="U188" i="7" s="1"/>
  <c r="S188" i="7"/>
  <c r="R188" i="7"/>
  <c r="P188" i="7"/>
  <c r="Q188" i="7" s="1"/>
  <c r="N188" i="7"/>
  <c r="O188" i="7" s="1"/>
  <c r="L188" i="7"/>
  <c r="M188" i="7" s="1"/>
  <c r="V187" i="7"/>
  <c r="W187" i="7" s="1"/>
  <c r="U187" i="7"/>
  <c r="T187" i="7"/>
  <c r="R187" i="7"/>
  <c r="S187" i="7" s="1"/>
  <c r="P187" i="7"/>
  <c r="Q187" i="7" s="1"/>
  <c r="O187" i="7"/>
  <c r="N187" i="7"/>
  <c r="L187" i="7"/>
  <c r="M187" i="7" s="1"/>
  <c r="V186" i="7"/>
  <c r="W186" i="7" s="1"/>
  <c r="T186" i="7"/>
  <c r="U186" i="7" s="1"/>
  <c r="R186" i="7"/>
  <c r="S186" i="7" s="1"/>
  <c r="Q186" i="7"/>
  <c r="P186" i="7"/>
  <c r="N186" i="7"/>
  <c r="O186" i="7" s="1"/>
  <c r="L186" i="7"/>
  <c r="M186" i="7" s="1"/>
  <c r="W185" i="7"/>
  <c r="V185" i="7"/>
  <c r="T185" i="7"/>
  <c r="U185" i="7" s="1"/>
  <c r="R185" i="7"/>
  <c r="S185" i="7" s="1"/>
  <c r="P185" i="7"/>
  <c r="Q185" i="7" s="1"/>
  <c r="N185" i="7"/>
  <c r="O185" i="7" s="1"/>
  <c r="M185" i="7"/>
  <c r="L185" i="7"/>
  <c r="V184" i="7"/>
  <c r="W184" i="7" s="1"/>
  <c r="T184" i="7"/>
  <c r="U184" i="7" s="1"/>
  <c r="S184" i="7"/>
  <c r="R184" i="7"/>
  <c r="P184" i="7"/>
  <c r="Q184" i="7" s="1"/>
  <c r="N184" i="7"/>
  <c r="O184" i="7" s="1"/>
  <c r="L184" i="7"/>
  <c r="M184" i="7" s="1"/>
  <c r="V183" i="7"/>
  <c r="W183" i="7" s="1"/>
  <c r="U183" i="7"/>
  <c r="T183" i="7"/>
  <c r="R183" i="7"/>
  <c r="S183" i="7" s="1"/>
  <c r="P183" i="7"/>
  <c r="Q183" i="7" s="1"/>
  <c r="O183" i="7"/>
  <c r="N183" i="7"/>
  <c r="L183" i="7"/>
  <c r="M183" i="7" s="1"/>
  <c r="V182" i="7"/>
  <c r="W182" i="7" s="1"/>
  <c r="T182" i="7"/>
  <c r="U182" i="7" s="1"/>
  <c r="S182" i="7"/>
  <c r="R182" i="7"/>
  <c r="Q182" i="7"/>
  <c r="P182" i="7"/>
  <c r="N182" i="7"/>
  <c r="O182" i="7" s="1"/>
  <c r="L182" i="7"/>
  <c r="M182" i="7" s="1"/>
  <c r="W181" i="7"/>
  <c r="V181" i="7"/>
  <c r="U181" i="7"/>
  <c r="T181" i="7"/>
  <c r="R181" i="7"/>
  <c r="S181" i="7" s="1"/>
  <c r="P181" i="7"/>
  <c r="Q181" i="7" s="1"/>
  <c r="N181" i="7"/>
  <c r="O181" i="7" s="1"/>
  <c r="M181" i="7"/>
  <c r="L181" i="7"/>
  <c r="V180" i="7"/>
  <c r="W180" i="7" s="1"/>
  <c r="T180" i="7"/>
  <c r="U180" i="7" s="1"/>
  <c r="S180" i="7"/>
  <c r="R180" i="7"/>
  <c r="P180" i="7"/>
  <c r="Q180" i="7" s="1"/>
  <c r="N180" i="7"/>
  <c r="O180" i="7" s="1"/>
  <c r="L180" i="7"/>
  <c r="M180" i="7" s="1"/>
  <c r="V179" i="7"/>
  <c r="W179" i="7" s="1"/>
  <c r="U179" i="7"/>
  <c r="T179" i="7"/>
  <c r="R179" i="7"/>
  <c r="S179" i="7" s="1"/>
  <c r="P179" i="7"/>
  <c r="Q179" i="7" s="1"/>
  <c r="O179" i="7"/>
  <c r="N179" i="7"/>
  <c r="L179" i="7"/>
  <c r="M179" i="7" s="1"/>
  <c r="V178" i="7"/>
  <c r="W178" i="7" s="1"/>
  <c r="T178" i="7"/>
  <c r="U178" i="7" s="1"/>
  <c r="R178" i="7"/>
  <c r="S178" i="7" s="1"/>
  <c r="Q178" i="7"/>
  <c r="P178" i="7"/>
  <c r="N178" i="7"/>
  <c r="O178" i="7" s="1"/>
  <c r="L178" i="7"/>
  <c r="M178" i="7" s="1"/>
  <c r="W177" i="7"/>
  <c r="V177" i="7"/>
  <c r="T177" i="7"/>
  <c r="U177" i="7" s="1"/>
  <c r="R177" i="7"/>
  <c r="S177" i="7" s="1"/>
  <c r="P177" i="7"/>
  <c r="Q177" i="7" s="1"/>
  <c r="N177" i="7"/>
  <c r="O177" i="7" s="1"/>
  <c r="M177" i="7"/>
  <c r="L177" i="7"/>
  <c r="V176" i="7"/>
  <c r="W176" i="7" s="1"/>
  <c r="T176" i="7"/>
  <c r="U176" i="7" s="1"/>
  <c r="S176" i="7"/>
  <c r="R176" i="7"/>
  <c r="P176" i="7"/>
  <c r="Q176" i="7" s="1"/>
  <c r="N176" i="7"/>
  <c r="O176" i="7" s="1"/>
  <c r="L176" i="7"/>
  <c r="M176" i="7" s="1"/>
  <c r="V175" i="7"/>
  <c r="W175" i="7" s="1"/>
  <c r="U175" i="7"/>
  <c r="T175" i="7"/>
  <c r="R175" i="7"/>
  <c r="S175" i="7" s="1"/>
  <c r="P175" i="7"/>
  <c r="Q175" i="7" s="1"/>
  <c r="O175" i="7"/>
  <c r="N175" i="7"/>
  <c r="L175" i="7"/>
  <c r="M175" i="7" s="1"/>
  <c r="V174" i="7"/>
  <c r="W174" i="7" s="1"/>
  <c r="T174" i="7"/>
  <c r="U174" i="7" s="1"/>
  <c r="R174" i="7"/>
  <c r="S174" i="7" s="1"/>
  <c r="Q174" i="7"/>
  <c r="P174" i="7"/>
  <c r="N174" i="7"/>
  <c r="O174" i="7" s="1"/>
  <c r="L174" i="7"/>
  <c r="M174" i="7" s="1"/>
  <c r="W173" i="7"/>
  <c r="V173" i="7"/>
  <c r="T173" i="7"/>
  <c r="U173" i="7" s="1"/>
  <c r="R173" i="7"/>
  <c r="S173" i="7" s="1"/>
  <c r="P173" i="7"/>
  <c r="Q173" i="7" s="1"/>
  <c r="N173" i="7"/>
  <c r="O173" i="7" s="1"/>
  <c r="M173" i="7"/>
  <c r="L173" i="7"/>
  <c r="V172" i="7"/>
  <c r="W172" i="7" s="1"/>
  <c r="T172" i="7"/>
  <c r="U172" i="7" s="1"/>
  <c r="S172" i="7"/>
  <c r="R172" i="7"/>
  <c r="P172" i="7"/>
  <c r="Q172" i="7" s="1"/>
  <c r="N172" i="7"/>
  <c r="O172" i="7" s="1"/>
  <c r="L172" i="7"/>
  <c r="M172" i="7" s="1"/>
  <c r="W171" i="7"/>
  <c r="V171" i="7"/>
  <c r="U171" i="7"/>
  <c r="T171" i="7"/>
  <c r="R171" i="7"/>
  <c r="S171" i="7" s="1"/>
  <c r="P171" i="7"/>
  <c r="Q171" i="7" s="1"/>
  <c r="O171" i="7"/>
  <c r="N171" i="7"/>
  <c r="M171" i="7"/>
  <c r="L171" i="7"/>
  <c r="V170" i="7"/>
  <c r="W170" i="7" s="1"/>
  <c r="T170" i="7"/>
  <c r="U170" i="7" s="1"/>
  <c r="R170" i="7"/>
  <c r="S170" i="7" s="1"/>
  <c r="Q170" i="7"/>
  <c r="P170" i="7"/>
  <c r="N170" i="7"/>
  <c r="O170" i="7" s="1"/>
  <c r="L170" i="7"/>
  <c r="M170" i="7" s="1"/>
  <c r="W169" i="7"/>
  <c r="V169" i="7"/>
  <c r="T169" i="7"/>
  <c r="U169" i="7" s="1"/>
  <c r="R169" i="7"/>
  <c r="S169" i="7" s="1"/>
  <c r="P169" i="7"/>
  <c r="Q169" i="7" s="1"/>
  <c r="N169" i="7"/>
  <c r="O169" i="7" s="1"/>
  <c r="M169" i="7"/>
  <c r="L169" i="7"/>
  <c r="V168" i="7"/>
  <c r="W168" i="7" s="1"/>
  <c r="T168" i="7"/>
  <c r="U168" i="7" s="1"/>
  <c r="S168" i="7"/>
  <c r="R168" i="7"/>
  <c r="P168" i="7"/>
  <c r="Q168" i="7" s="1"/>
  <c r="N168" i="7"/>
  <c r="O168" i="7" s="1"/>
  <c r="L168" i="7"/>
  <c r="M168" i="7" s="1"/>
  <c r="V167" i="7"/>
  <c r="W167" i="7" s="1"/>
  <c r="U167" i="7"/>
  <c r="T167" i="7"/>
  <c r="R167" i="7"/>
  <c r="S167" i="7" s="1"/>
  <c r="P167" i="7"/>
  <c r="Q167" i="7" s="1"/>
  <c r="O167" i="7"/>
  <c r="N167" i="7"/>
  <c r="L167" i="7"/>
  <c r="M167" i="7" s="1"/>
  <c r="V166" i="7"/>
  <c r="W166" i="7" s="1"/>
  <c r="T166" i="7"/>
  <c r="U166" i="7" s="1"/>
  <c r="R166" i="7"/>
  <c r="S166" i="7" s="1"/>
  <c r="Q166" i="7"/>
  <c r="P166" i="7"/>
  <c r="N166" i="7"/>
  <c r="O166" i="7" s="1"/>
  <c r="L166" i="7"/>
  <c r="M166" i="7" s="1"/>
  <c r="W165" i="7"/>
  <c r="V165" i="7"/>
  <c r="T165" i="7"/>
  <c r="U165" i="7" s="1"/>
  <c r="R165" i="7"/>
  <c r="S165" i="7" s="1"/>
  <c r="P165" i="7"/>
  <c r="Q165" i="7" s="1"/>
  <c r="N165" i="7"/>
  <c r="O165" i="7" s="1"/>
  <c r="M165" i="7"/>
  <c r="L165" i="7"/>
  <c r="V164" i="7"/>
  <c r="W164" i="7" s="1"/>
  <c r="T164" i="7"/>
  <c r="U164" i="7" s="1"/>
  <c r="S164" i="7"/>
  <c r="R164" i="7"/>
  <c r="P164" i="7"/>
  <c r="Q164" i="7" s="1"/>
  <c r="N164" i="7"/>
  <c r="O164" i="7" s="1"/>
  <c r="L164" i="7"/>
  <c r="M164" i="7" s="1"/>
  <c r="V163" i="7"/>
  <c r="W163" i="7" s="1"/>
  <c r="U163" i="7"/>
  <c r="T163" i="7"/>
  <c r="R163" i="7"/>
  <c r="S163" i="7" s="1"/>
  <c r="P163" i="7"/>
  <c r="Q163" i="7" s="1"/>
  <c r="O163" i="7"/>
  <c r="N163" i="7"/>
  <c r="L163" i="7"/>
  <c r="M163" i="7" s="1"/>
  <c r="V162" i="7"/>
  <c r="W162" i="7" s="1"/>
  <c r="T162" i="7"/>
  <c r="U162" i="7" s="1"/>
  <c r="R162" i="7"/>
  <c r="S162" i="7" s="1"/>
  <c r="Q162" i="7"/>
  <c r="P162" i="7"/>
  <c r="N162" i="7"/>
  <c r="O162" i="7" s="1"/>
  <c r="L162" i="7"/>
  <c r="M162" i="7" s="1"/>
  <c r="W161" i="7"/>
  <c r="V161" i="7"/>
  <c r="T161" i="7"/>
  <c r="U161" i="7" s="1"/>
  <c r="R161" i="7"/>
  <c r="S161" i="7" s="1"/>
  <c r="P161" i="7"/>
  <c r="Q161" i="7" s="1"/>
  <c r="O161" i="7"/>
  <c r="N161" i="7"/>
  <c r="M161" i="7"/>
  <c r="L161" i="7"/>
  <c r="V160" i="7"/>
  <c r="W160" i="7" s="1"/>
  <c r="T160" i="7"/>
  <c r="U160" i="7" s="1"/>
  <c r="S160" i="7"/>
  <c r="R160" i="7"/>
  <c r="Q160" i="7"/>
  <c r="P160" i="7"/>
  <c r="N160" i="7"/>
  <c r="O160" i="7" s="1"/>
  <c r="L160" i="7"/>
  <c r="M160" i="7" s="1"/>
  <c r="V159" i="7"/>
  <c r="W159" i="7" s="1"/>
  <c r="U159" i="7"/>
  <c r="T159" i="7"/>
  <c r="R159" i="7"/>
  <c r="S159" i="7" s="1"/>
  <c r="P159" i="7"/>
  <c r="Q159" i="7" s="1"/>
  <c r="O159" i="7"/>
  <c r="N159" i="7"/>
  <c r="L159" i="7"/>
  <c r="M159" i="7" s="1"/>
  <c r="V158" i="7"/>
  <c r="W158" i="7" s="1"/>
  <c r="T158" i="7"/>
  <c r="U158" i="7" s="1"/>
  <c r="R158" i="7"/>
  <c r="S158" i="7" s="1"/>
  <c r="Q158" i="7"/>
  <c r="P158" i="7"/>
  <c r="N158" i="7"/>
  <c r="O158" i="7" s="1"/>
  <c r="L158" i="7"/>
  <c r="M158" i="7" s="1"/>
  <c r="W157" i="7"/>
  <c r="V157" i="7"/>
  <c r="T157" i="7"/>
  <c r="U157" i="7" s="1"/>
  <c r="R157" i="7"/>
  <c r="S157" i="7" s="1"/>
  <c r="P157" i="7"/>
  <c r="Q157" i="7" s="1"/>
  <c r="N157" i="7"/>
  <c r="O157" i="7" s="1"/>
  <c r="M157" i="7"/>
  <c r="L157" i="7"/>
  <c r="V156" i="7"/>
  <c r="W156" i="7" s="1"/>
  <c r="T156" i="7"/>
  <c r="U156" i="7" s="1"/>
  <c r="S156" i="7"/>
  <c r="R156" i="7"/>
  <c r="P156" i="7"/>
  <c r="Q156" i="7" s="1"/>
  <c r="N156" i="7"/>
  <c r="O156" i="7" s="1"/>
  <c r="L156" i="7"/>
  <c r="M156" i="7" s="1"/>
  <c r="V155" i="7"/>
  <c r="W155" i="7" s="1"/>
  <c r="U155" i="7"/>
  <c r="T155" i="7"/>
  <c r="R155" i="7"/>
  <c r="S155" i="7" s="1"/>
  <c r="P155" i="7"/>
  <c r="Q155" i="7" s="1"/>
  <c r="O155" i="7"/>
  <c r="N155" i="7"/>
  <c r="L155" i="7"/>
  <c r="M155" i="7" s="1"/>
  <c r="V154" i="7"/>
  <c r="W154" i="7" s="1"/>
  <c r="T154" i="7"/>
  <c r="U154" i="7" s="1"/>
  <c r="R154" i="7"/>
  <c r="S154" i="7" s="1"/>
  <c r="Q154" i="7"/>
  <c r="P154" i="7"/>
  <c r="N154" i="7"/>
  <c r="O154" i="7" s="1"/>
  <c r="L154" i="7"/>
  <c r="M154" i="7" s="1"/>
  <c r="W153" i="7"/>
  <c r="V153" i="7"/>
  <c r="T153" i="7"/>
  <c r="U153" i="7" s="1"/>
  <c r="R153" i="7"/>
  <c r="S153" i="7" s="1"/>
  <c r="P153" i="7"/>
  <c r="Q153" i="7" s="1"/>
  <c r="N153" i="7"/>
  <c r="O153" i="7" s="1"/>
  <c r="M153" i="7"/>
  <c r="L153" i="7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W151" i="7"/>
  <c r="V151" i="7"/>
  <c r="U151" i="7"/>
  <c r="T151" i="7"/>
  <c r="S151" i="7"/>
  <c r="R151" i="7"/>
  <c r="P151" i="7"/>
  <c r="Q151" i="7" s="1"/>
  <c r="O151" i="7"/>
  <c r="N151" i="7"/>
  <c r="L151" i="7"/>
  <c r="M151" i="7" s="1"/>
  <c r="W150" i="7"/>
  <c r="V150" i="7"/>
  <c r="T150" i="7"/>
  <c r="U150" i="7" s="1"/>
  <c r="S150" i="7"/>
  <c r="R150" i="7"/>
  <c r="P150" i="7"/>
  <c r="Q150" i="7" s="1"/>
  <c r="O150" i="7"/>
  <c r="N150" i="7"/>
  <c r="L150" i="7"/>
  <c r="M150" i="7" s="1"/>
  <c r="W149" i="7"/>
  <c r="V149" i="7"/>
  <c r="T149" i="7"/>
  <c r="U149" i="7" s="1"/>
  <c r="S149" i="7"/>
  <c r="R149" i="7"/>
  <c r="P149" i="7"/>
  <c r="Q149" i="7" s="1"/>
  <c r="O149" i="7"/>
  <c r="N149" i="7"/>
  <c r="M149" i="7"/>
  <c r="L149" i="7"/>
  <c r="W148" i="7"/>
  <c r="V148" i="7"/>
  <c r="T148" i="7"/>
  <c r="U148" i="7" s="1"/>
  <c r="S148" i="7"/>
  <c r="R148" i="7"/>
  <c r="P148" i="7"/>
  <c r="Q148" i="7" s="1"/>
  <c r="O148" i="7"/>
  <c r="N148" i="7"/>
  <c r="L148" i="7"/>
  <c r="M148" i="7" s="1"/>
  <c r="W147" i="7"/>
  <c r="V147" i="7"/>
  <c r="T147" i="7"/>
  <c r="U147" i="7" s="1"/>
  <c r="S147" i="7"/>
  <c r="R147" i="7"/>
  <c r="P147" i="7"/>
  <c r="Q147" i="7" s="1"/>
  <c r="O147" i="7"/>
  <c r="N147" i="7"/>
  <c r="M147" i="7"/>
  <c r="L147" i="7"/>
  <c r="W146" i="7"/>
  <c r="V146" i="7"/>
  <c r="T146" i="7"/>
  <c r="U146" i="7" s="1"/>
  <c r="S146" i="7"/>
  <c r="R146" i="7"/>
  <c r="Q146" i="7"/>
  <c r="P146" i="7"/>
  <c r="O146" i="7"/>
  <c r="N146" i="7"/>
  <c r="L146" i="7"/>
  <c r="M146" i="7" s="1"/>
  <c r="W145" i="7"/>
  <c r="V145" i="7"/>
  <c r="T145" i="7"/>
  <c r="U145" i="7" s="1"/>
  <c r="S145" i="7"/>
  <c r="R145" i="7"/>
  <c r="P145" i="7"/>
  <c r="Q145" i="7" s="1"/>
  <c r="O145" i="7"/>
  <c r="N145" i="7"/>
  <c r="L145" i="7"/>
  <c r="M145" i="7" s="1"/>
  <c r="W144" i="7"/>
  <c r="V144" i="7"/>
  <c r="T144" i="7"/>
  <c r="U144" i="7" s="1"/>
  <c r="S144" i="7"/>
  <c r="R144" i="7"/>
  <c r="P144" i="7"/>
  <c r="Q144" i="7" s="1"/>
  <c r="O144" i="7"/>
  <c r="N144" i="7"/>
  <c r="L144" i="7"/>
  <c r="M144" i="7" s="1"/>
  <c r="W143" i="7"/>
  <c r="V143" i="7"/>
  <c r="U143" i="7"/>
  <c r="T143" i="7"/>
  <c r="S143" i="7"/>
  <c r="R143" i="7"/>
  <c r="P143" i="7"/>
  <c r="Q143" i="7" s="1"/>
  <c r="O143" i="7"/>
  <c r="N143" i="7"/>
  <c r="L143" i="7"/>
  <c r="M143" i="7" s="1"/>
  <c r="W142" i="7"/>
  <c r="V142" i="7"/>
  <c r="T142" i="7"/>
  <c r="U142" i="7" s="1"/>
  <c r="S142" i="7"/>
  <c r="R142" i="7"/>
  <c r="P142" i="7"/>
  <c r="Q142" i="7" s="1"/>
  <c r="O142" i="7"/>
  <c r="N142" i="7"/>
  <c r="L142" i="7"/>
  <c r="M142" i="7" s="1"/>
  <c r="W141" i="7"/>
  <c r="V141" i="7"/>
  <c r="U141" i="7"/>
  <c r="T141" i="7"/>
  <c r="S141" i="7"/>
  <c r="R141" i="7"/>
  <c r="P141" i="7"/>
  <c r="Q141" i="7" s="1"/>
  <c r="O141" i="7"/>
  <c r="N141" i="7"/>
  <c r="M141" i="7"/>
  <c r="L141" i="7"/>
  <c r="W140" i="7"/>
  <c r="V140" i="7"/>
  <c r="T140" i="7"/>
  <c r="U140" i="7" s="1"/>
  <c r="S140" i="7"/>
  <c r="R140" i="7"/>
  <c r="P140" i="7"/>
  <c r="Q140" i="7" s="1"/>
  <c r="O140" i="7"/>
  <c r="N140" i="7"/>
  <c r="L140" i="7"/>
  <c r="M140" i="7" s="1"/>
  <c r="W139" i="7"/>
  <c r="V139" i="7"/>
  <c r="T139" i="7"/>
  <c r="U139" i="7" s="1"/>
  <c r="S139" i="7"/>
  <c r="R139" i="7"/>
  <c r="P139" i="7"/>
  <c r="Q139" i="7" s="1"/>
  <c r="O139" i="7"/>
  <c r="N139" i="7"/>
  <c r="L139" i="7"/>
  <c r="M139" i="7" s="1"/>
  <c r="W138" i="7"/>
  <c r="V138" i="7"/>
  <c r="T138" i="7"/>
  <c r="U138" i="7" s="1"/>
  <c r="S138" i="7"/>
  <c r="R138" i="7"/>
  <c r="Q138" i="7"/>
  <c r="P138" i="7"/>
  <c r="O138" i="7"/>
  <c r="N138" i="7"/>
  <c r="L138" i="7"/>
  <c r="M138" i="7" s="1"/>
  <c r="W137" i="7"/>
  <c r="V137" i="7"/>
  <c r="T137" i="7"/>
  <c r="U137" i="7" s="1"/>
  <c r="S137" i="7"/>
  <c r="R137" i="7"/>
  <c r="P137" i="7"/>
  <c r="Q137" i="7" s="1"/>
  <c r="O137" i="7"/>
  <c r="N137" i="7"/>
  <c r="L137" i="7"/>
  <c r="M137" i="7" s="1"/>
  <c r="W136" i="7"/>
  <c r="V136" i="7"/>
  <c r="T136" i="7"/>
  <c r="U136" i="7" s="1"/>
  <c r="S136" i="7"/>
  <c r="R136" i="7"/>
  <c r="Q136" i="7"/>
  <c r="P136" i="7"/>
  <c r="O136" i="7"/>
  <c r="N136" i="7"/>
  <c r="L136" i="7"/>
  <c r="M136" i="7" s="1"/>
  <c r="W135" i="7"/>
  <c r="V135" i="7"/>
  <c r="U135" i="7"/>
  <c r="T135" i="7"/>
  <c r="S135" i="7"/>
  <c r="R135" i="7"/>
  <c r="P135" i="7"/>
  <c r="Q135" i="7" s="1"/>
  <c r="O135" i="7"/>
  <c r="N135" i="7"/>
  <c r="L135" i="7"/>
  <c r="M135" i="7" s="1"/>
  <c r="W134" i="7"/>
  <c r="V134" i="7"/>
  <c r="T134" i="7"/>
  <c r="U134" i="7" s="1"/>
  <c r="S134" i="7"/>
  <c r="R134" i="7"/>
  <c r="P134" i="7"/>
  <c r="Q134" i="7" s="1"/>
  <c r="O134" i="7"/>
  <c r="N134" i="7"/>
  <c r="L134" i="7"/>
  <c r="M134" i="7" s="1"/>
  <c r="W133" i="7"/>
  <c r="V133" i="7"/>
  <c r="T133" i="7"/>
  <c r="U133" i="7" s="1"/>
  <c r="S133" i="7"/>
  <c r="R133" i="7"/>
  <c r="P133" i="7"/>
  <c r="Q133" i="7" s="1"/>
  <c r="O133" i="7"/>
  <c r="N133" i="7"/>
  <c r="M133" i="7"/>
  <c r="L133" i="7"/>
  <c r="W132" i="7"/>
  <c r="V132" i="7"/>
  <c r="T132" i="7"/>
  <c r="U132" i="7" s="1"/>
  <c r="S132" i="7"/>
  <c r="R132" i="7"/>
  <c r="P132" i="7"/>
  <c r="Q132" i="7" s="1"/>
  <c r="O132" i="7"/>
  <c r="N132" i="7"/>
  <c r="L132" i="7"/>
  <c r="M132" i="7" s="1"/>
  <c r="W131" i="7"/>
  <c r="V131" i="7"/>
  <c r="T131" i="7"/>
  <c r="U131" i="7" s="1"/>
  <c r="S131" i="7"/>
  <c r="R131" i="7"/>
  <c r="P131" i="7"/>
  <c r="Q131" i="7" s="1"/>
  <c r="O131" i="7"/>
  <c r="N131" i="7"/>
  <c r="M131" i="7"/>
  <c r="L131" i="7"/>
  <c r="W130" i="7"/>
  <c r="V130" i="7"/>
  <c r="T130" i="7"/>
  <c r="U130" i="7" s="1"/>
  <c r="S130" i="7"/>
  <c r="R130" i="7"/>
  <c r="Q130" i="7"/>
  <c r="P130" i="7"/>
  <c r="O130" i="7"/>
  <c r="N130" i="7"/>
  <c r="L130" i="7"/>
  <c r="M130" i="7" s="1"/>
  <c r="W129" i="7"/>
  <c r="V129" i="7"/>
  <c r="T129" i="7"/>
  <c r="U129" i="7" s="1"/>
  <c r="S129" i="7"/>
  <c r="R129" i="7"/>
  <c r="P129" i="7"/>
  <c r="Q129" i="7" s="1"/>
  <c r="O129" i="7"/>
  <c r="N129" i="7"/>
  <c r="L129" i="7"/>
  <c r="M129" i="7" s="1"/>
  <c r="W128" i="7"/>
  <c r="V128" i="7"/>
  <c r="T128" i="7"/>
  <c r="U128" i="7" s="1"/>
  <c r="S128" i="7"/>
  <c r="R128" i="7"/>
  <c r="P128" i="7"/>
  <c r="Q128" i="7" s="1"/>
  <c r="O128" i="7"/>
  <c r="N128" i="7"/>
  <c r="L128" i="7"/>
  <c r="M128" i="7" s="1"/>
  <c r="W127" i="7"/>
  <c r="V127" i="7"/>
  <c r="U127" i="7"/>
  <c r="T127" i="7"/>
  <c r="S127" i="7"/>
  <c r="R127" i="7"/>
  <c r="P127" i="7"/>
  <c r="Q127" i="7" s="1"/>
  <c r="O127" i="7"/>
  <c r="N127" i="7"/>
  <c r="L127" i="7"/>
  <c r="M127" i="7" s="1"/>
  <c r="W126" i="7"/>
  <c r="V126" i="7"/>
  <c r="T126" i="7"/>
  <c r="U126" i="7" s="1"/>
  <c r="S126" i="7"/>
  <c r="R126" i="7"/>
  <c r="P126" i="7"/>
  <c r="Q126" i="7" s="1"/>
  <c r="O126" i="7"/>
  <c r="N126" i="7"/>
  <c r="L126" i="7"/>
  <c r="M126" i="7" s="1"/>
  <c r="W125" i="7"/>
  <c r="V125" i="7"/>
  <c r="U125" i="7"/>
  <c r="T125" i="7"/>
  <c r="S125" i="7"/>
  <c r="R125" i="7"/>
  <c r="P125" i="7"/>
  <c r="Q125" i="7" s="1"/>
  <c r="O125" i="7"/>
  <c r="N125" i="7"/>
  <c r="M125" i="7"/>
  <c r="L125" i="7"/>
  <c r="W124" i="7"/>
  <c r="V124" i="7"/>
  <c r="T124" i="7"/>
  <c r="U124" i="7" s="1"/>
  <c r="S124" i="7"/>
  <c r="R124" i="7"/>
  <c r="P124" i="7"/>
  <c r="Q124" i="7" s="1"/>
  <c r="O124" i="7"/>
  <c r="N124" i="7"/>
  <c r="L124" i="7"/>
  <c r="M124" i="7" s="1"/>
  <c r="W123" i="7"/>
  <c r="V123" i="7"/>
  <c r="T123" i="7"/>
  <c r="U123" i="7" s="1"/>
  <c r="S123" i="7"/>
  <c r="R123" i="7"/>
  <c r="P123" i="7"/>
  <c r="Q123" i="7" s="1"/>
  <c r="O123" i="7"/>
  <c r="N123" i="7"/>
  <c r="L123" i="7"/>
  <c r="M123" i="7" s="1"/>
  <c r="W122" i="7"/>
  <c r="V122" i="7"/>
  <c r="T122" i="7"/>
  <c r="U122" i="7" s="1"/>
  <c r="S122" i="7"/>
  <c r="R122" i="7"/>
  <c r="Q122" i="7"/>
  <c r="P122" i="7"/>
  <c r="O122" i="7"/>
  <c r="N122" i="7"/>
  <c r="L122" i="7"/>
  <c r="M122" i="7" s="1"/>
  <c r="W121" i="7"/>
  <c r="V121" i="7"/>
  <c r="T121" i="7"/>
  <c r="U121" i="7" s="1"/>
  <c r="S121" i="7"/>
  <c r="R121" i="7"/>
  <c r="P121" i="7"/>
  <c r="Q121" i="7" s="1"/>
  <c r="O121" i="7"/>
  <c r="N121" i="7"/>
  <c r="L121" i="7"/>
  <c r="M121" i="7" s="1"/>
  <c r="W120" i="7"/>
  <c r="V120" i="7"/>
  <c r="T120" i="7"/>
  <c r="U120" i="7" s="1"/>
  <c r="S120" i="7"/>
  <c r="R120" i="7"/>
  <c r="Q120" i="7"/>
  <c r="P120" i="7"/>
  <c r="O120" i="7"/>
  <c r="N120" i="7"/>
  <c r="L120" i="7"/>
  <c r="M120" i="7" s="1"/>
  <c r="W119" i="7"/>
  <c r="V119" i="7"/>
  <c r="U119" i="7"/>
  <c r="T119" i="7"/>
  <c r="S119" i="7"/>
  <c r="R119" i="7"/>
  <c r="P119" i="7"/>
  <c r="Q119" i="7" s="1"/>
  <c r="O119" i="7"/>
  <c r="N119" i="7"/>
  <c r="L119" i="7"/>
  <c r="M119" i="7" s="1"/>
  <c r="W118" i="7"/>
  <c r="V118" i="7"/>
  <c r="T118" i="7"/>
  <c r="U118" i="7" s="1"/>
  <c r="S118" i="7"/>
  <c r="R118" i="7"/>
  <c r="P118" i="7"/>
  <c r="Q118" i="7" s="1"/>
  <c r="O118" i="7"/>
  <c r="N118" i="7"/>
  <c r="L118" i="7"/>
  <c r="M118" i="7" s="1"/>
  <c r="W117" i="7"/>
  <c r="V117" i="7"/>
  <c r="T117" i="7"/>
  <c r="U117" i="7" s="1"/>
  <c r="S117" i="7"/>
  <c r="R117" i="7"/>
  <c r="P117" i="7"/>
  <c r="Q117" i="7" s="1"/>
  <c r="O117" i="7"/>
  <c r="N117" i="7"/>
  <c r="M117" i="7"/>
  <c r="L117" i="7"/>
  <c r="W116" i="7"/>
  <c r="V116" i="7"/>
  <c r="T116" i="7"/>
  <c r="U116" i="7" s="1"/>
  <c r="S116" i="7"/>
  <c r="R116" i="7"/>
  <c r="P116" i="7"/>
  <c r="Q116" i="7" s="1"/>
  <c r="O116" i="7"/>
  <c r="N116" i="7"/>
  <c r="L116" i="7"/>
  <c r="M116" i="7" s="1"/>
  <c r="W115" i="7"/>
  <c r="V115" i="7"/>
  <c r="T115" i="7"/>
  <c r="U115" i="7" s="1"/>
  <c r="S115" i="7"/>
  <c r="R115" i="7"/>
  <c r="P115" i="7"/>
  <c r="Q115" i="7" s="1"/>
  <c r="O115" i="7"/>
  <c r="N115" i="7"/>
  <c r="M115" i="7"/>
  <c r="L115" i="7"/>
  <c r="W114" i="7"/>
  <c r="V114" i="7"/>
  <c r="T114" i="7"/>
  <c r="U114" i="7" s="1"/>
  <c r="S114" i="7"/>
  <c r="R114" i="7"/>
  <c r="Q114" i="7"/>
  <c r="P114" i="7"/>
  <c r="O114" i="7"/>
  <c r="N114" i="7"/>
  <c r="L114" i="7"/>
  <c r="M114" i="7" s="1"/>
  <c r="W113" i="7"/>
  <c r="V113" i="7"/>
  <c r="T113" i="7"/>
  <c r="U113" i="7" s="1"/>
  <c r="S113" i="7"/>
  <c r="R113" i="7"/>
  <c r="P113" i="7"/>
  <c r="Q113" i="7" s="1"/>
  <c r="O113" i="7"/>
  <c r="N113" i="7"/>
  <c r="L113" i="7"/>
  <c r="M113" i="7" s="1"/>
  <c r="W112" i="7"/>
  <c r="V112" i="7"/>
  <c r="T112" i="7"/>
  <c r="U112" i="7" s="1"/>
  <c r="S112" i="7"/>
  <c r="R112" i="7"/>
  <c r="P112" i="7"/>
  <c r="Q112" i="7" s="1"/>
  <c r="O112" i="7"/>
  <c r="N112" i="7"/>
  <c r="L112" i="7"/>
  <c r="M112" i="7" s="1"/>
  <c r="W111" i="7"/>
  <c r="V111" i="7"/>
  <c r="U111" i="7"/>
  <c r="T111" i="7"/>
  <c r="S111" i="7"/>
  <c r="R111" i="7"/>
  <c r="P111" i="7"/>
  <c r="Q111" i="7" s="1"/>
  <c r="O111" i="7"/>
  <c r="N111" i="7"/>
  <c r="L111" i="7"/>
  <c r="M111" i="7" s="1"/>
  <c r="W110" i="7"/>
  <c r="V110" i="7"/>
  <c r="T110" i="7"/>
  <c r="U110" i="7" s="1"/>
  <c r="S110" i="7"/>
  <c r="R110" i="7"/>
  <c r="P110" i="7"/>
  <c r="Q110" i="7" s="1"/>
  <c r="O110" i="7"/>
  <c r="N110" i="7"/>
  <c r="L110" i="7"/>
  <c r="M110" i="7" s="1"/>
  <c r="W109" i="7"/>
  <c r="V109" i="7"/>
  <c r="U109" i="7"/>
  <c r="T109" i="7"/>
  <c r="S109" i="7"/>
  <c r="R109" i="7"/>
  <c r="P109" i="7"/>
  <c r="Q109" i="7" s="1"/>
  <c r="O109" i="7"/>
  <c r="N109" i="7"/>
  <c r="M109" i="7"/>
  <c r="L109" i="7"/>
  <c r="W108" i="7"/>
  <c r="V108" i="7"/>
  <c r="T108" i="7"/>
  <c r="U108" i="7" s="1"/>
  <c r="S108" i="7"/>
  <c r="R108" i="7"/>
  <c r="P108" i="7"/>
  <c r="Q108" i="7" s="1"/>
  <c r="O108" i="7"/>
  <c r="N108" i="7"/>
  <c r="L108" i="7"/>
  <c r="M108" i="7" s="1"/>
  <c r="W107" i="7"/>
  <c r="V107" i="7"/>
  <c r="T107" i="7"/>
  <c r="U107" i="7" s="1"/>
  <c r="S107" i="7"/>
  <c r="R107" i="7"/>
  <c r="P107" i="7"/>
  <c r="Q107" i="7" s="1"/>
  <c r="O107" i="7"/>
  <c r="N107" i="7"/>
  <c r="L107" i="7"/>
  <c r="M107" i="7" s="1"/>
  <c r="W106" i="7"/>
  <c r="V106" i="7"/>
  <c r="T106" i="7"/>
  <c r="U106" i="7" s="1"/>
  <c r="S106" i="7"/>
  <c r="R106" i="7"/>
  <c r="Q106" i="7"/>
  <c r="P106" i="7"/>
  <c r="O106" i="7"/>
  <c r="N106" i="7"/>
  <c r="L106" i="7"/>
  <c r="M106" i="7" s="1"/>
  <c r="W105" i="7"/>
  <c r="V105" i="7"/>
  <c r="T105" i="7"/>
  <c r="U105" i="7" s="1"/>
  <c r="S105" i="7"/>
  <c r="R105" i="7"/>
  <c r="P105" i="7"/>
  <c r="Q105" i="7" s="1"/>
  <c r="O105" i="7"/>
  <c r="N105" i="7"/>
  <c r="L105" i="7"/>
  <c r="M105" i="7" s="1"/>
  <c r="W104" i="7"/>
  <c r="V104" i="7"/>
  <c r="T104" i="7"/>
  <c r="U104" i="7" s="1"/>
  <c r="S104" i="7"/>
  <c r="R104" i="7"/>
  <c r="Q104" i="7"/>
  <c r="P104" i="7"/>
  <c r="O104" i="7"/>
  <c r="N104" i="7"/>
  <c r="L104" i="7"/>
  <c r="M104" i="7" s="1"/>
  <c r="W103" i="7"/>
  <c r="V103" i="7"/>
  <c r="U103" i="7"/>
  <c r="T103" i="7"/>
  <c r="S103" i="7"/>
  <c r="R103" i="7"/>
  <c r="P103" i="7"/>
  <c r="Q103" i="7" s="1"/>
  <c r="O103" i="7"/>
  <c r="N103" i="7"/>
  <c r="L103" i="7"/>
  <c r="M103" i="7" s="1"/>
  <c r="W102" i="7"/>
  <c r="V102" i="7"/>
  <c r="T102" i="7"/>
  <c r="U102" i="7" s="1"/>
  <c r="S102" i="7"/>
  <c r="R102" i="7"/>
  <c r="P102" i="7"/>
  <c r="Q102" i="7" s="1"/>
  <c r="O102" i="7"/>
  <c r="N102" i="7"/>
  <c r="L102" i="7"/>
  <c r="M102" i="7" s="1"/>
  <c r="W101" i="7"/>
  <c r="V101" i="7"/>
  <c r="T101" i="7"/>
  <c r="U101" i="7" s="1"/>
  <c r="S101" i="7"/>
  <c r="R101" i="7"/>
  <c r="P101" i="7"/>
  <c r="Q101" i="7" s="1"/>
  <c r="O101" i="7"/>
  <c r="N101" i="7"/>
  <c r="M101" i="7"/>
  <c r="L101" i="7"/>
  <c r="W100" i="7"/>
  <c r="V100" i="7"/>
  <c r="T100" i="7"/>
  <c r="U100" i="7" s="1"/>
  <c r="S100" i="7"/>
  <c r="R100" i="7"/>
  <c r="P100" i="7"/>
  <c r="Q100" i="7" s="1"/>
  <c r="O100" i="7"/>
  <c r="N100" i="7"/>
  <c r="L100" i="7"/>
  <c r="M100" i="7" s="1"/>
  <c r="W99" i="7"/>
  <c r="V99" i="7"/>
  <c r="T99" i="7"/>
  <c r="U99" i="7" s="1"/>
  <c r="S99" i="7"/>
  <c r="R99" i="7"/>
  <c r="P99" i="7"/>
  <c r="Q99" i="7" s="1"/>
  <c r="O99" i="7"/>
  <c r="N99" i="7"/>
  <c r="M99" i="7"/>
  <c r="L99" i="7"/>
  <c r="W98" i="7"/>
  <c r="V98" i="7"/>
  <c r="T98" i="7"/>
  <c r="U98" i="7" s="1"/>
  <c r="S98" i="7"/>
  <c r="R98" i="7"/>
  <c r="Q98" i="7"/>
  <c r="P98" i="7"/>
  <c r="O98" i="7"/>
  <c r="N98" i="7"/>
  <c r="L98" i="7"/>
  <c r="M98" i="7" s="1"/>
  <c r="W97" i="7"/>
  <c r="V97" i="7"/>
  <c r="T97" i="7"/>
  <c r="U97" i="7" s="1"/>
  <c r="S97" i="7"/>
  <c r="R97" i="7"/>
  <c r="P97" i="7"/>
  <c r="Q97" i="7" s="1"/>
  <c r="O97" i="7"/>
  <c r="N97" i="7"/>
  <c r="L97" i="7"/>
  <c r="M97" i="7" s="1"/>
  <c r="W96" i="7"/>
  <c r="V96" i="7"/>
  <c r="T96" i="7"/>
  <c r="U96" i="7" s="1"/>
  <c r="S96" i="7"/>
  <c r="R96" i="7"/>
  <c r="P96" i="7"/>
  <c r="Q96" i="7" s="1"/>
  <c r="O96" i="7"/>
  <c r="N96" i="7"/>
  <c r="L96" i="7"/>
  <c r="M96" i="7" s="1"/>
  <c r="W95" i="7"/>
  <c r="V95" i="7"/>
  <c r="U95" i="7"/>
  <c r="T95" i="7"/>
  <c r="S95" i="7"/>
  <c r="R95" i="7"/>
  <c r="P95" i="7"/>
  <c r="Q95" i="7" s="1"/>
  <c r="O95" i="7"/>
  <c r="N95" i="7"/>
  <c r="L95" i="7"/>
  <c r="M95" i="7" s="1"/>
  <c r="W94" i="7"/>
  <c r="V94" i="7"/>
  <c r="T94" i="7"/>
  <c r="U94" i="7" s="1"/>
  <c r="S94" i="7"/>
  <c r="R94" i="7"/>
  <c r="P94" i="7"/>
  <c r="Q94" i="7" s="1"/>
  <c r="O94" i="7"/>
  <c r="N94" i="7"/>
  <c r="L94" i="7"/>
  <c r="M94" i="7" s="1"/>
  <c r="W93" i="7"/>
  <c r="V93" i="7"/>
  <c r="U93" i="7"/>
  <c r="T93" i="7"/>
  <c r="S93" i="7"/>
  <c r="R93" i="7"/>
  <c r="P93" i="7"/>
  <c r="Q93" i="7" s="1"/>
  <c r="O93" i="7"/>
  <c r="N93" i="7"/>
  <c r="M93" i="7"/>
  <c r="L93" i="7"/>
  <c r="W92" i="7"/>
  <c r="V92" i="7"/>
  <c r="T92" i="7"/>
  <c r="U92" i="7" s="1"/>
  <c r="S92" i="7"/>
  <c r="R92" i="7"/>
  <c r="P92" i="7"/>
  <c r="Q92" i="7" s="1"/>
  <c r="O92" i="7"/>
  <c r="N92" i="7"/>
  <c r="L92" i="7"/>
  <c r="M92" i="7" s="1"/>
  <c r="W91" i="7"/>
  <c r="V91" i="7"/>
  <c r="T91" i="7"/>
  <c r="U91" i="7" s="1"/>
  <c r="S91" i="7"/>
  <c r="R91" i="7"/>
  <c r="P91" i="7"/>
  <c r="Q91" i="7" s="1"/>
  <c r="O91" i="7"/>
  <c r="N91" i="7"/>
  <c r="L91" i="7"/>
  <c r="M91" i="7" s="1"/>
  <c r="W90" i="7"/>
  <c r="V90" i="7"/>
  <c r="T90" i="7"/>
  <c r="U90" i="7" s="1"/>
  <c r="S90" i="7"/>
  <c r="R90" i="7"/>
  <c r="Q90" i="7"/>
  <c r="P90" i="7"/>
  <c r="O90" i="7"/>
  <c r="N90" i="7"/>
  <c r="L90" i="7"/>
  <c r="M90" i="7" s="1"/>
  <c r="W89" i="7"/>
  <c r="V89" i="7"/>
  <c r="T89" i="7"/>
  <c r="U89" i="7" s="1"/>
  <c r="S89" i="7"/>
  <c r="R89" i="7"/>
  <c r="P89" i="7"/>
  <c r="Q89" i="7" s="1"/>
  <c r="O89" i="7"/>
  <c r="N89" i="7"/>
  <c r="L89" i="7"/>
  <c r="M89" i="7" s="1"/>
  <c r="W88" i="7"/>
  <c r="V88" i="7"/>
  <c r="T88" i="7"/>
  <c r="U88" i="7" s="1"/>
  <c r="S88" i="7"/>
  <c r="R88" i="7"/>
  <c r="Q88" i="7"/>
  <c r="P88" i="7"/>
  <c r="O88" i="7"/>
  <c r="N88" i="7"/>
  <c r="L88" i="7"/>
  <c r="M88" i="7" s="1"/>
  <c r="W87" i="7"/>
  <c r="V87" i="7"/>
  <c r="U87" i="7"/>
  <c r="T87" i="7"/>
  <c r="S87" i="7"/>
  <c r="R87" i="7"/>
  <c r="P87" i="7"/>
  <c r="Q87" i="7" s="1"/>
  <c r="O87" i="7"/>
  <c r="N87" i="7"/>
  <c r="L87" i="7"/>
  <c r="M87" i="7" s="1"/>
  <c r="W86" i="7"/>
  <c r="V86" i="7"/>
  <c r="T86" i="7"/>
  <c r="U86" i="7" s="1"/>
  <c r="S86" i="7"/>
  <c r="R86" i="7"/>
  <c r="P86" i="7"/>
  <c r="Q86" i="7" s="1"/>
  <c r="O86" i="7"/>
  <c r="N86" i="7"/>
  <c r="L86" i="7"/>
  <c r="M86" i="7" s="1"/>
  <c r="W85" i="7"/>
  <c r="V85" i="7"/>
  <c r="T85" i="7"/>
  <c r="U85" i="7" s="1"/>
  <c r="S85" i="7"/>
  <c r="R85" i="7"/>
  <c r="P85" i="7"/>
  <c r="Q85" i="7" s="1"/>
  <c r="O85" i="7"/>
  <c r="N85" i="7"/>
  <c r="M85" i="7"/>
  <c r="L85" i="7"/>
  <c r="W84" i="7"/>
  <c r="V84" i="7"/>
  <c r="T84" i="7"/>
  <c r="U84" i="7" s="1"/>
  <c r="S84" i="7"/>
  <c r="R84" i="7"/>
  <c r="P84" i="7"/>
  <c r="Q84" i="7" s="1"/>
  <c r="O84" i="7"/>
  <c r="N84" i="7"/>
  <c r="L84" i="7"/>
  <c r="M84" i="7" s="1"/>
  <c r="W83" i="7"/>
  <c r="V83" i="7"/>
  <c r="T83" i="7"/>
  <c r="U83" i="7" s="1"/>
  <c r="S83" i="7"/>
  <c r="R83" i="7"/>
  <c r="P83" i="7"/>
  <c r="Q83" i="7" s="1"/>
  <c r="O83" i="7"/>
  <c r="N83" i="7"/>
  <c r="M83" i="7"/>
  <c r="L83" i="7"/>
  <c r="W82" i="7"/>
  <c r="V82" i="7"/>
  <c r="T82" i="7"/>
  <c r="U82" i="7" s="1"/>
  <c r="S82" i="7"/>
  <c r="R82" i="7"/>
  <c r="Q82" i="7"/>
  <c r="P82" i="7"/>
  <c r="O82" i="7"/>
  <c r="N82" i="7"/>
  <c r="L82" i="7"/>
  <c r="M82" i="7" s="1"/>
  <c r="W81" i="7"/>
  <c r="V81" i="7"/>
  <c r="T81" i="7"/>
  <c r="U81" i="7" s="1"/>
  <c r="S81" i="7"/>
  <c r="R81" i="7"/>
  <c r="P81" i="7"/>
  <c r="Q81" i="7" s="1"/>
  <c r="O81" i="7"/>
  <c r="N81" i="7"/>
  <c r="L81" i="7"/>
  <c r="M81" i="7" s="1"/>
  <c r="W80" i="7"/>
  <c r="V80" i="7"/>
  <c r="T80" i="7"/>
  <c r="U80" i="7" s="1"/>
  <c r="S80" i="7"/>
  <c r="R80" i="7"/>
  <c r="P80" i="7"/>
  <c r="Q80" i="7" s="1"/>
  <c r="O80" i="7"/>
  <c r="N80" i="7"/>
  <c r="L80" i="7"/>
  <c r="M80" i="7" s="1"/>
  <c r="W79" i="7"/>
  <c r="V79" i="7"/>
  <c r="U79" i="7"/>
  <c r="T79" i="7"/>
  <c r="S79" i="7"/>
  <c r="R79" i="7"/>
  <c r="P79" i="7"/>
  <c r="Q79" i="7" s="1"/>
  <c r="O79" i="7"/>
  <c r="N79" i="7"/>
  <c r="L79" i="7"/>
  <c r="M79" i="7" s="1"/>
  <c r="W78" i="7"/>
  <c r="V78" i="7"/>
  <c r="T78" i="7"/>
  <c r="U78" i="7" s="1"/>
  <c r="S78" i="7"/>
  <c r="R78" i="7"/>
  <c r="P78" i="7"/>
  <c r="Q78" i="7" s="1"/>
  <c r="O78" i="7"/>
  <c r="N78" i="7"/>
  <c r="L78" i="7"/>
  <c r="M78" i="7" s="1"/>
  <c r="W77" i="7"/>
  <c r="V77" i="7"/>
  <c r="U77" i="7"/>
  <c r="T77" i="7"/>
  <c r="S77" i="7"/>
  <c r="R77" i="7"/>
  <c r="P77" i="7"/>
  <c r="Q77" i="7" s="1"/>
  <c r="O77" i="7"/>
  <c r="N77" i="7"/>
  <c r="M77" i="7"/>
  <c r="L77" i="7"/>
  <c r="W76" i="7"/>
  <c r="V76" i="7"/>
  <c r="T76" i="7"/>
  <c r="U76" i="7" s="1"/>
  <c r="S76" i="7"/>
  <c r="R76" i="7"/>
  <c r="P76" i="7"/>
  <c r="Q76" i="7" s="1"/>
  <c r="O76" i="7"/>
  <c r="N76" i="7"/>
  <c r="L76" i="7"/>
  <c r="M76" i="7" s="1"/>
  <c r="W75" i="7"/>
  <c r="V75" i="7"/>
  <c r="T75" i="7"/>
  <c r="U75" i="7" s="1"/>
  <c r="S75" i="7"/>
  <c r="R75" i="7"/>
  <c r="P75" i="7"/>
  <c r="Q75" i="7" s="1"/>
  <c r="O75" i="7"/>
  <c r="N75" i="7"/>
  <c r="L75" i="7"/>
  <c r="M75" i="7" s="1"/>
  <c r="W74" i="7"/>
  <c r="V74" i="7"/>
  <c r="T74" i="7"/>
  <c r="U74" i="7" s="1"/>
  <c r="S74" i="7"/>
  <c r="R74" i="7"/>
  <c r="Q74" i="7"/>
  <c r="P74" i="7"/>
  <c r="O74" i="7"/>
  <c r="N74" i="7"/>
  <c r="L74" i="7"/>
  <c r="M74" i="7" s="1"/>
  <c r="W73" i="7"/>
  <c r="V73" i="7"/>
  <c r="T73" i="7"/>
  <c r="U73" i="7" s="1"/>
  <c r="S73" i="7"/>
  <c r="R73" i="7"/>
  <c r="P73" i="7"/>
  <c r="Q73" i="7" s="1"/>
  <c r="O73" i="7"/>
  <c r="N73" i="7"/>
  <c r="L73" i="7"/>
  <c r="M73" i="7" s="1"/>
  <c r="W72" i="7"/>
  <c r="V72" i="7"/>
  <c r="T72" i="7"/>
  <c r="U72" i="7" s="1"/>
  <c r="S72" i="7"/>
  <c r="R72" i="7"/>
  <c r="Q72" i="7"/>
  <c r="P72" i="7"/>
  <c r="O72" i="7"/>
  <c r="N72" i="7"/>
  <c r="L72" i="7"/>
  <c r="M72" i="7" s="1"/>
  <c r="W71" i="7"/>
  <c r="V71" i="7"/>
  <c r="U71" i="7"/>
  <c r="T71" i="7"/>
  <c r="S71" i="7"/>
  <c r="R71" i="7"/>
  <c r="P71" i="7"/>
  <c r="Q71" i="7" s="1"/>
  <c r="O71" i="7"/>
  <c r="N71" i="7"/>
  <c r="L71" i="7"/>
  <c r="M71" i="7" s="1"/>
  <c r="W70" i="7"/>
  <c r="V70" i="7"/>
  <c r="T70" i="7"/>
  <c r="U70" i="7" s="1"/>
  <c r="S70" i="7"/>
  <c r="R70" i="7"/>
  <c r="P70" i="7"/>
  <c r="Q70" i="7" s="1"/>
  <c r="O70" i="7"/>
  <c r="N70" i="7"/>
  <c r="L70" i="7"/>
  <c r="M70" i="7" s="1"/>
  <c r="W69" i="7"/>
  <c r="V69" i="7"/>
  <c r="T69" i="7"/>
  <c r="U69" i="7" s="1"/>
  <c r="S69" i="7"/>
  <c r="R69" i="7"/>
  <c r="P69" i="7"/>
  <c r="Q69" i="7" s="1"/>
  <c r="O69" i="7"/>
  <c r="N69" i="7"/>
  <c r="M69" i="7"/>
  <c r="L69" i="7"/>
  <c r="W68" i="7"/>
  <c r="V68" i="7"/>
  <c r="T68" i="7"/>
  <c r="U68" i="7" s="1"/>
  <c r="S68" i="7"/>
  <c r="R68" i="7"/>
  <c r="P68" i="7"/>
  <c r="Q68" i="7" s="1"/>
  <c r="O68" i="7"/>
  <c r="N68" i="7"/>
  <c r="L68" i="7"/>
  <c r="M68" i="7" s="1"/>
  <c r="W67" i="7"/>
  <c r="V67" i="7"/>
  <c r="T67" i="7"/>
  <c r="U67" i="7" s="1"/>
  <c r="S67" i="7"/>
  <c r="R67" i="7"/>
  <c r="P67" i="7"/>
  <c r="Q67" i="7" s="1"/>
  <c r="O67" i="7"/>
  <c r="N67" i="7"/>
  <c r="M67" i="7"/>
  <c r="L67" i="7"/>
  <c r="W66" i="7"/>
  <c r="V66" i="7"/>
  <c r="T66" i="7"/>
  <c r="U66" i="7" s="1"/>
  <c r="S66" i="7"/>
  <c r="R66" i="7"/>
  <c r="Q66" i="7"/>
  <c r="P66" i="7"/>
  <c r="O66" i="7"/>
  <c r="N66" i="7"/>
  <c r="L66" i="7"/>
  <c r="M66" i="7" s="1"/>
  <c r="W65" i="7"/>
  <c r="V65" i="7"/>
  <c r="T65" i="7"/>
  <c r="U65" i="7" s="1"/>
  <c r="S65" i="7"/>
  <c r="R65" i="7"/>
  <c r="P65" i="7"/>
  <c r="Q65" i="7" s="1"/>
  <c r="O65" i="7"/>
  <c r="N65" i="7"/>
  <c r="L65" i="7"/>
  <c r="M65" i="7" s="1"/>
  <c r="W64" i="7"/>
  <c r="V64" i="7"/>
  <c r="T64" i="7"/>
  <c r="U64" i="7" s="1"/>
  <c r="S64" i="7"/>
  <c r="R64" i="7"/>
  <c r="P64" i="7"/>
  <c r="Q64" i="7" s="1"/>
  <c r="O64" i="7"/>
  <c r="N64" i="7"/>
  <c r="L64" i="7"/>
  <c r="M64" i="7" s="1"/>
  <c r="W63" i="7"/>
  <c r="V63" i="7"/>
  <c r="U63" i="7"/>
  <c r="T63" i="7"/>
  <c r="S63" i="7"/>
  <c r="R63" i="7"/>
  <c r="P63" i="7"/>
  <c r="Q63" i="7" s="1"/>
  <c r="O63" i="7"/>
  <c r="N63" i="7"/>
  <c r="L63" i="7"/>
  <c r="M63" i="7" s="1"/>
  <c r="W62" i="7"/>
  <c r="V62" i="7"/>
  <c r="T62" i="7"/>
  <c r="U62" i="7" s="1"/>
  <c r="S62" i="7"/>
  <c r="R62" i="7"/>
  <c r="P62" i="7"/>
  <c r="Q62" i="7" s="1"/>
  <c r="O62" i="7"/>
  <c r="N62" i="7"/>
  <c r="L62" i="7"/>
  <c r="M62" i="7" s="1"/>
  <c r="W61" i="7"/>
  <c r="V61" i="7"/>
  <c r="U61" i="7"/>
  <c r="T61" i="7"/>
  <c r="S61" i="7"/>
  <c r="R61" i="7"/>
  <c r="P61" i="7"/>
  <c r="Q61" i="7" s="1"/>
  <c r="O61" i="7"/>
  <c r="N61" i="7"/>
  <c r="M61" i="7"/>
  <c r="L61" i="7"/>
  <c r="W60" i="7"/>
  <c r="V60" i="7"/>
  <c r="T60" i="7"/>
  <c r="U60" i="7" s="1"/>
  <c r="S60" i="7"/>
  <c r="R60" i="7"/>
  <c r="P60" i="7"/>
  <c r="Q60" i="7" s="1"/>
  <c r="O60" i="7"/>
  <c r="N60" i="7"/>
  <c r="L60" i="7"/>
  <c r="M60" i="7" s="1"/>
  <c r="W59" i="7"/>
  <c r="V59" i="7"/>
  <c r="T59" i="7"/>
  <c r="U59" i="7" s="1"/>
  <c r="S59" i="7"/>
  <c r="R59" i="7"/>
  <c r="P59" i="7"/>
  <c r="Q59" i="7" s="1"/>
  <c r="O59" i="7"/>
  <c r="N59" i="7"/>
  <c r="L59" i="7"/>
  <c r="M59" i="7" s="1"/>
  <c r="W58" i="7"/>
  <c r="V58" i="7"/>
  <c r="T58" i="7"/>
  <c r="U58" i="7" s="1"/>
  <c r="S58" i="7"/>
  <c r="R58" i="7"/>
  <c r="Q58" i="7"/>
  <c r="P58" i="7"/>
  <c r="O58" i="7"/>
  <c r="N58" i="7"/>
  <c r="L58" i="7"/>
  <c r="M58" i="7" s="1"/>
  <c r="W57" i="7"/>
  <c r="V57" i="7"/>
  <c r="T57" i="7"/>
  <c r="U57" i="7" s="1"/>
  <c r="S57" i="7"/>
  <c r="R57" i="7"/>
  <c r="P57" i="7"/>
  <c r="Q57" i="7" s="1"/>
  <c r="O57" i="7"/>
  <c r="N57" i="7"/>
  <c r="L57" i="7"/>
  <c r="M57" i="7" s="1"/>
  <c r="W56" i="7"/>
  <c r="V56" i="7"/>
  <c r="T56" i="7"/>
  <c r="U56" i="7" s="1"/>
  <c r="S56" i="7"/>
  <c r="R56" i="7"/>
  <c r="Q56" i="7"/>
  <c r="P56" i="7"/>
  <c r="O56" i="7"/>
  <c r="N56" i="7"/>
  <c r="L56" i="7"/>
  <c r="M56" i="7" s="1"/>
  <c r="W55" i="7"/>
  <c r="V55" i="7"/>
  <c r="U55" i="7"/>
  <c r="T55" i="7"/>
  <c r="S55" i="7"/>
  <c r="R55" i="7"/>
  <c r="P55" i="7"/>
  <c r="Q55" i="7" s="1"/>
  <c r="O55" i="7"/>
  <c r="N55" i="7"/>
  <c r="L55" i="7"/>
  <c r="M55" i="7" s="1"/>
  <c r="W54" i="7"/>
  <c r="V54" i="7"/>
  <c r="T54" i="7"/>
  <c r="U54" i="7" s="1"/>
  <c r="S54" i="7"/>
  <c r="R54" i="7"/>
  <c r="P54" i="7"/>
  <c r="Q54" i="7" s="1"/>
  <c r="O54" i="7"/>
  <c r="N54" i="7"/>
  <c r="L54" i="7"/>
  <c r="M54" i="7" s="1"/>
  <c r="W53" i="7"/>
  <c r="V53" i="7"/>
  <c r="T53" i="7"/>
  <c r="U53" i="7" s="1"/>
  <c r="S53" i="7"/>
  <c r="R53" i="7"/>
  <c r="P53" i="7"/>
  <c r="Q53" i="7" s="1"/>
  <c r="O53" i="7"/>
  <c r="N53" i="7"/>
  <c r="M53" i="7"/>
  <c r="L53" i="7"/>
  <c r="W52" i="7"/>
  <c r="V52" i="7"/>
  <c r="T52" i="7"/>
  <c r="U52" i="7" s="1"/>
  <c r="S52" i="7"/>
  <c r="R52" i="7"/>
  <c r="P52" i="7"/>
  <c r="Q52" i="7" s="1"/>
  <c r="O52" i="7"/>
  <c r="N52" i="7"/>
  <c r="L52" i="7"/>
  <c r="M52" i="7" s="1"/>
  <c r="W51" i="7"/>
  <c r="V51" i="7"/>
  <c r="T51" i="7"/>
  <c r="U51" i="7" s="1"/>
  <c r="S51" i="7"/>
  <c r="R51" i="7"/>
  <c r="P51" i="7"/>
  <c r="Q51" i="7" s="1"/>
  <c r="O51" i="7"/>
  <c r="N51" i="7"/>
  <c r="M51" i="7"/>
  <c r="L51" i="7"/>
  <c r="W50" i="7"/>
  <c r="V50" i="7"/>
  <c r="T50" i="7"/>
  <c r="U50" i="7" s="1"/>
  <c r="S50" i="7"/>
  <c r="R50" i="7"/>
  <c r="Q50" i="7"/>
  <c r="P50" i="7"/>
  <c r="O50" i="7"/>
  <c r="N50" i="7"/>
  <c r="L50" i="7"/>
  <c r="M50" i="7" s="1"/>
  <c r="F50" i="7"/>
  <c r="V49" i="7"/>
  <c r="W49" i="7" s="1"/>
  <c r="T49" i="7"/>
  <c r="U49" i="7" s="1"/>
  <c r="S49" i="7"/>
  <c r="R49" i="7"/>
  <c r="Q49" i="7"/>
  <c r="P49" i="7"/>
  <c r="N49" i="7"/>
  <c r="O49" i="7" s="1"/>
  <c r="L49" i="7"/>
  <c r="M49" i="7" s="1"/>
  <c r="V48" i="7"/>
  <c r="W48" i="7" s="1"/>
  <c r="U48" i="7"/>
  <c r="T48" i="7"/>
  <c r="R48" i="7"/>
  <c r="S48" i="7" s="1"/>
  <c r="P48" i="7"/>
  <c r="Q48" i="7" s="1"/>
  <c r="O48" i="7"/>
  <c r="N48" i="7"/>
  <c r="M48" i="7"/>
  <c r="L48" i="7"/>
  <c r="V47" i="7"/>
  <c r="W47" i="7" s="1"/>
  <c r="T47" i="7"/>
  <c r="U47" i="7" s="1"/>
  <c r="R47" i="7"/>
  <c r="S47" i="7" s="1"/>
  <c r="Q47" i="7"/>
  <c r="P47" i="7"/>
  <c r="N47" i="7"/>
  <c r="O47" i="7" s="1"/>
  <c r="L47" i="7"/>
  <c r="M47" i="7" s="1"/>
  <c r="W46" i="7"/>
  <c r="V46" i="7"/>
  <c r="U46" i="7"/>
  <c r="T46" i="7"/>
  <c r="R46" i="7"/>
  <c r="S46" i="7" s="1"/>
  <c r="P46" i="7"/>
  <c r="Q46" i="7" s="1"/>
  <c r="N46" i="7"/>
  <c r="O46" i="7" s="1"/>
  <c r="M46" i="7"/>
  <c r="L46" i="7"/>
  <c r="V45" i="7"/>
  <c r="W45" i="7" s="1"/>
  <c r="T45" i="7"/>
  <c r="U45" i="7" s="1"/>
  <c r="S45" i="7"/>
  <c r="R45" i="7"/>
  <c r="Q45" i="7"/>
  <c r="P45" i="7"/>
  <c r="N45" i="7"/>
  <c r="O45" i="7" s="1"/>
  <c r="L45" i="7"/>
  <c r="M45" i="7" s="1"/>
  <c r="V44" i="7"/>
  <c r="W44" i="7" s="1"/>
  <c r="U44" i="7"/>
  <c r="T44" i="7"/>
  <c r="R44" i="7"/>
  <c r="S44" i="7" s="1"/>
  <c r="P44" i="7"/>
  <c r="Q44" i="7" s="1"/>
  <c r="O44" i="7"/>
  <c r="N44" i="7"/>
  <c r="M44" i="7"/>
  <c r="L44" i="7"/>
  <c r="V43" i="7"/>
  <c r="W43" i="7" s="1"/>
  <c r="T43" i="7"/>
  <c r="U43" i="7" s="1"/>
  <c r="R43" i="7"/>
  <c r="S43" i="7" s="1"/>
  <c r="Q43" i="7"/>
  <c r="P43" i="7"/>
  <c r="N43" i="7"/>
  <c r="O43" i="7" s="1"/>
  <c r="L43" i="7"/>
  <c r="M43" i="7" s="1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N35" i="7"/>
  <c r="O35" i="7" s="1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O28" i="7"/>
  <c r="N28" i="7"/>
  <c r="L28" i="7"/>
  <c r="M28" i="7" s="1"/>
  <c r="V27" i="7"/>
  <c r="W27" i="7" s="1"/>
  <c r="T27" i="7"/>
  <c r="U27" i="7" s="1"/>
  <c r="S27" i="7"/>
  <c r="R27" i="7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W21" i="7"/>
  <c r="V21" i="7"/>
  <c r="T21" i="7"/>
  <c r="U21" i="7" s="1"/>
  <c r="S21" i="7"/>
  <c r="R21" i="7"/>
  <c r="P21" i="7"/>
  <c r="Q21" i="7" s="1"/>
  <c r="N21" i="7"/>
  <c r="O21" i="7" s="1"/>
  <c r="L21" i="7"/>
  <c r="M21" i="7" s="1"/>
  <c r="V20" i="7"/>
  <c r="W20" i="7" s="1"/>
  <c r="T20" i="7"/>
  <c r="U20" i="7" s="1"/>
  <c r="R20" i="7"/>
  <c r="S20" i="7" s="1"/>
  <c r="P20" i="7"/>
  <c r="Q20" i="7" s="1"/>
  <c r="O20" i="7"/>
  <c r="N20" i="7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W18" i="7"/>
  <c r="V18" i="7"/>
  <c r="T18" i="7"/>
  <c r="U18" i="7" s="1"/>
  <c r="S18" i="7"/>
  <c r="R18" i="7"/>
  <c r="P18" i="7"/>
  <c r="Q18" i="7" s="1"/>
  <c r="N18" i="7"/>
  <c r="O18" i="7" s="1"/>
  <c r="L18" i="7"/>
  <c r="M18" i="7" s="1"/>
  <c r="V17" i="7"/>
  <c r="W17" i="7" s="1"/>
  <c r="T17" i="7"/>
  <c r="U17" i="7" s="1"/>
  <c r="S17" i="7"/>
  <c r="R17" i="7"/>
  <c r="P17" i="7"/>
  <c r="Q17" i="7" s="1"/>
  <c r="N17" i="7"/>
  <c r="O17" i="7" s="1"/>
  <c r="L17" i="7"/>
  <c r="M17" i="7" s="1"/>
  <c r="W16" i="7"/>
  <c r="V16" i="7"/>
  <c r="T16" i="7"/>
  <c r="U16" i="7" s="1"/>
  <c r="S16" i="7"/>
  <c r="R16" i="7"/>
  <c r="P16" i="7"/>
  <c r="Q16" i="7" s="1"/>
  <c r="O16" i="7"/>
  <c r="N16" i="7"/>
  <c r="L16" i="7"/>
  <c r="M16" i="7" s="1"/>
  <c r="W15" i="7"/>
  <c r="V15" i="7"/>
  <c r="T15" i="7"/>
  <c r="U15" i="7" s="1"/>
  <c r="R15" i="7"/>
  <c r="S15" i="7" s="1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BI627" i="3" l="1"/>
  <c r="BL627" i="3" s="1"/>
  <c r="BI883" i="3"/>
  <c r="BL883" i="3" s="1"/>
  <c r="BI1139" i="3"/>
  <c r="BL1139" i="3" s="1"/>
  <c r="BD503" i="3"/>
  <c r="BG503" i="3" s="1"/>
  <c r="BD599" i="3"/>
  <c r="BG599" i="3" s="1"/>
  <c r="BD759" i="3"/>
  <c r="BG759" i="3" s="1"/>
  <c r="BD855" i="3"/>
  <c r="BG855" i="3" s="1"/>
  <c r="BD1015" i="3"/>
  <c r="BG1015" i="3" s="1"/>
  <c r="BD1111" i="3"/>
  <c r="BG1111" i="3" s="1"/>
  <c r="W711" i="2"/>
  <c r="V3" i="2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BI435" i="3" s="1"/>
  <c r="BL435" i="3" s="1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BI499" i="3" s="1"/>
  <c r="BL499" i="3" s="1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BI508" i="3" s="1"/>
  <c r="BL508" i="3" s="1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BI563" i="3" s="1"/>
  <c r="BL563" i="3" s="1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U15" i="2"/>
  <c r="U79" i="2"/>
  <c r="U111" i="2"/>
  <c r="U271" i="2"/>
  <c r="U335" i="2"/>
  <c r="U367" i="2"/>
  <c r="U527" i="2"/>
  <c r="U591" i="2"/>
  <c r="U623" i="2"/>
  <c r="U783" i="2"/>
  <c r="U847" i="2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U463" i="2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U495" i="2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BD823" i="3" s="1"/>
  <c r="BG823" i="3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U719" i="2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U751" i="2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BD1079" i="3" s="1"/>
  <c r="BG1079" i="3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304" i="3" l="1"/>
  <c r="AW304" i="3" s="1"/>
  <c r="AT256" i="3"/>
  <c r="AW256" i="3" s="1"/>
  <c r="AT48" i="3"/>
  <c r="AW48" i="3" s="1"/>
  <c r="AT16" i="3"/>
  <c r="AW16" i="3" s="1"/>
  <c r="AO238" i="3"/>
  <c r="AR238" i="3" s="1"/>
  <c r="AO315" i="3"/>
  <c r="AR315" i="3" s="1"/>
  <c r="AO27" i="3"/>
  <c r="AR27" i="3" s="1"/>
  <c r="AO737" i="3"/>
  <c r="AR737" i="3" s="1"/>
  <c r="AO159" i="3"/>
  <c r="AR159" i="3" s="1"/>
  <c r="O340" i="2"/>
  <c r="AO341" i="3" s="1"/>
  <c r="AR341" i="3" s="1"/>
  <c r="O308" i="2"/>
  <c r="AO309" i="3" s="1"/>
  <c r="AR309" i="3" s="1"/>
  <c r="O276" i="2"/>
  <c r="AO277" i="3" s="1"/>
  <c r="AR277" i="3" s="1"/>
  <c r="O244" i="2"/>
  <c r="AO245" i="3" s="1"/>
  <c r="AR245" i="3" s="1"/>
  <c r="O212" i="2"/>
  <c r="AO213" i="3" s="1"/>
  <c r="AR213" i="3" s="1"/>
  <c r="O180" i="2"/>
  <c r="AO181" i="3" s="1"/>
  <c r="AR181" i="3" s="1"/>
  <c r="O148" i="2"/>
  <c r="AO149" i="3" s="1"/>
  <c r="AR149" i="3" s="1"/>
  <c r="O124" i="2"/>
  <c r="AO420" i="3" s="1"/>
  <c r="AR420" i="3" s="1"/>
  <c r="O84" i="2"/>
  <c r="AO380" i="3" s="1"/>
  <c r="AR380" i="3" s="1"/>
  <c r="O52" i="2"/>
  <c r="AO53" i="3" s="1"/>
  <c r="AR53" i="3" s="1"/>
  <c r="S339" i="2"/>
  <c r="AY340" i="3"/>
  <c r="BB340" i="3" s="1"/>
  <c r="S323" i="2"/>
  <c r="AY324" i="3"/>
  <c r="BB324" i="3" s="1"/>
  <c r="S299" i="2"/>
  <c r="AY300" i="3"/>
  <c r="BB300" i="3" s="1"/>
  <c r="S267" i="2"/>
  <c r="AY268" i="3"/>
  <c r="BB268" i="3" s="1"/>
  <c r="AY539" i="3"/>
  <c r="BB539" i="3" s="1"/>
  <c r="AY244" i="3"/>
  <c r="BB244" i="3" s="1"/>
  <c r="S211" i="2"/>
  <c r="AY212" i="3"/>
  <c r="BB212" i="3" s="1"/>
  <c r="S203" i="2"/>
  <c r="AY204" i="3"/>
  <c r="BB204" i="3" s="1"/>
  <c r="S179" i="2"/>
  <c r="AY180" i="3"/>
  <c r="BB180" i="3" s="1"/>
  <c r="S155" i="2"/>
  <c r="AY156" i="3"/>
  <c r="BB156" i="3" s="1"/>
  <c r="AY427" i="3"/>
  <c r="BB427" i="3" s="1"/>
  <c r="AY132" i="3"/>
  <c r="BB132" i="3" s="1"/>
  <c r="S123" i="2"/>
  <c r="AY124" i="3"/>
  <c r="BB124" i="3" s="1"/>
  <c r="S99" i="2"/>
  <c r="AY100" i="3"/>
  <c r="BB100" i="3" s="1"/>
  <c r="S91" i="2"/>
  <c r="AY92" i="3"/>
  <c r="BB92" i="3" s="1"/>
  <c r="S83" i="2"/>
  <c r="AY84" i="3"/>
  <c r="BB84" i="3" s="1"/>
  <c r="S59" i="2"/>
  <c r="AY60" i="3"/>
  <c r="BB60" i="3" s="1"/>
  <c r="S35" i="2"/>
  <c r="AY36" i="3"/>
  <c r="BB36" i="3" s="1"/>
  <c r="S27" i="2"/>
  <c r="AY28" i="3"/>
  <c r="BB28" i="3" s="1"/>
  <c r="S11" i="2"/>
  <c r="AY12" i="3"/>
  <c r="BB12" i="3" s="1"/>
  <c r="W839" i="2"/>
  <c r="W775" i="2"/>
  <c r="O348" i="2"/>
  <c r="AO349" i="3" s="1"/>
  <c r="AR349" i="3" s="1"/>
  <c r="O316" i="2"/>
  <c r="AO317" i="3" s="1"/>
  <c r="AR317" i="3" s="1"/>
  <c r="O284" i="2"/>
  <c r="AO285" i="3" s="1"/>
  <c r="AR285" i="3" s="1"/>
  <c r="O236" i="2"/>
  <c r="AO237" i="3" s="1"/>
  <c r="AR237" i="3" s="1"/>
  <c r="O204" i="2"/>
  <c r="AO500" i="3" s="1"/>
  <c r="AR500" i="3" s="1"/>
  <c r="AO205" i="3"/>
  <c r="AR205" i="3" s="1"/>
  <c r="O164" i="2"/>
  <c r="AO460" i="3" s="1"/>
  <c r="AR460" i="3" s="1"/>
  <c r="O116" i="2"/>
  <c r="AO117" i="3" s="1"/>
  <c r="AR117" i="3" s="1"/>
  <c r="O76" i="2"/>
  <c r="AO77" i="3" s="1"/>
  <c r="AR77" i="3" s="1"/>
  <c r="O44" i="2"/>
  <c r="AO45" i="3" s="1"/>
  <c r="AR45" i="3" s="1"/>
  <c r="S347" i="2"/>
  <c r="AY348" i="3"/>
  <c r="BB348" i="3" s="1"/>
  <c r="S315" i="2"/>
  <c r="AY316" i="3"/>
  <c r="BB316" i="3" s="1"/>
  <c r="S283" i="2"/>
  <c r="AY284" i="3"/>
  <c r="BB284" i="3" s="1"/>
  <c r="AY547" i="3"/>
  <c r="BB547" i="3" s="1"/>
  <c r="AY252" i="3"/>
  <c r="BB252" i="3" s="1"/>
  <c r="AY515" i="3"/>
  <c r="BB515" i="3" s="1"/>
  <c r="AY220" i="3"/>
  <c r="BB220" i="3" s="1"/>
  <c r="AY483" i="3"/>
  <c r="BB483" i="3" s="1"/>
  <c r="AY188" i="3"/>
  <c r="BB188" i="3" s="1"/>
  <c r="AY370" i="3"/>
  <c r="BB370" i="3" s="1"/>
  <c r="S139" i="2"/>
  <c r="AY140" i="3"/>
  <c r="BB140" i="3" s="1"/>
  <c r="S107" i="2"/>
  <c r="AY108" i="3"/>
  <c r="BB108" i="3" s="1"/>
  <c r="S75" i="2"/>
  <c r="AY76" i="3"/>
  <c r="BB76" i="3" s="1"/>
  <c r="BD651" i="3"/>
  <c r="BG651" i="3" s="1"/>
  <c r="BD356" i="3"/>
  <c r="BG356" i="3" s="1"/>
  <c r="BD635" i="3"/>
  <c r="BG635" i="3" s="1"/>
  <c r="BD340" i="3"/>
  <c r="BG340" i="3" s="1"/>
  <c r="BD619" i="3"/>
  <c r="BG619" i="3" s="1"/>
  <c r="BD324" i="3"/>
  <c r="BG324" i="3" s="1"/>
  <c r="BD603" i="3"/>
  <c r="BG603" i="3" s="1"/>
  <c r="BD308" i="3"/>
  <c r="BG308" i="3" s="1"/>
  <c r="U283" i="2"/>
  <c r="BD284" i="3"/>
  <c r="BG284" i="3" s="1"/>
  <c r="U267" i="2"/>
  <c r="BD268" i="3"/>
  <c r="BG268" i="3" s="1"/>
  <c r="U251" i="2"/>
  <c r="BD252" i="3"/>
  <c r="BG252" i="3" s="1"/>
  <c r="U235" i="2"/>
  <c r="BD236" i="3"/>
  <c r="BG236" i="3" s="1"/>
  <c r="U219" i="2"/>
  <c r="BD220" i="3"/>
  <c r="BG220" i="3" s="1"/>
  <c r="U203" i="2"/>
  <c r="BD204" i="3"/>
  <c r="BG204" i="3" s="1"/>
  <c r="U187" i="2"/>
  <c r="BD188" i="3"/>
  <c r="BG188" i="3" s="1"/>
  <c r="BD370" i="3"/>
  <c r="BG370" i="3" s="1"/>
  <c r="U171" i="2"/>
  <c r="BD172" i="3"/>
  <c r="BG172" i="3" s="1"/>
  <c r="U155" i="2"/>
  <c r="BD156" i="3"/>
  <c r="BG156" i="3" s="1"/>
  <c r="U139" i="2"/>
  <c r="BD140" i="3"/>
  <c r="BG140" i="3" s="1"/>
  <c r="U123" i="2"/>
  <c r="BD124" i="3"/>
  <c r="BG124" i="3" s="1"/>
  <c r="BD395" i="3"/>
  <c r="BG395" i="3" s="1"/>
  <c r="BD100" i="3"/>
  <c r="BG100" i="3" s="1"/>
  <c r="U75" i="2"/>
  <c r="BD76" i="3"/>
  <c r="BG76" i="3" s="1"/>
  <c r="U43" i="2"/>
  <c r="BD44" i="3"/>
  <c r="BG44" i="3" s="1"/>
  <c r="U27" i="2"/>
  <c r="BD28" i="3"/>
  <c r="BG28" i="3" s="1"/>
  <c r="U11" i="2"/>
  <c r="BD12" i="3"/>
  <c r="BG12" i="3" s="1"/>
  <c r="BI1159" i="3"/>
  <c r="BL1159" i="3" s="1"/>
  <c r="W863" i="2"/>
  <c r="BI1151" i="3"/>
  <c r="BL1151" i="3" s="1"/>
  <c r="W855" i="2"/>
  <c r="BI1143" i="3"/>
  <c r="BL1143" i="3" s="1"/>
  <c r="W847" i="2"/>
  <c r="BI1127" i="3"/>
  <c r="BL1127" i="3" s="1"/>
  <c r="W831" i="2"/>
  <c r="BI1103" i="3"/>
  <c r="BL1103" i="3" s="1"/>
  <c r="W807" i="2"/>
  <c r="BI1055" i="3"/>
  <c r="BL1055" i="3" s="1"/>
  <c r="W759" i="2"/>
  <c r="BI1039" i="3"/>
  <c r="BL1039" i="3" s="1"/>
  <c r="W743" i="2"/>
  <c r="BI1031" i="3"/>
  <c r="BL1031" i="3" s="1"/>
  <c r="W735" i="2"/>
  <c r="BI1023" i="3"/>
  <c r="BL1023" i="3" s="1"/>
  <c r="W727" i="2"/>
  <c r="BI1015" i="3"/>
  <c r="BL1015" i="3" s="1"/>
  <c r="W719" i="2"/>
  <c r="BI999" i="3"/>
  <c r="BL999" i="3" s="1"/>
  <c r="W703" i="2"/>
  <c r="BI975" i="3"/>
  <c r="BL975" i="3" s="1"/>
  <c r="W679" i="2"/>
  <c r="BI935" i="3"/>
  <c r="BL935" i="3" s="1"/>
  <c r="W639" i="2"/>
  <c r="BI919" i="3"/>
  <c r="BL919" i="3" s="1"/>
  <c r="W623" i="2"/>
  <c r="BI911" i="3"/>
  <c r="BL911" i="3" s="1"/>
  <c r="W615" i="2"/>
  <c r="BI903" i="3"/>
  <c r="BL903" i="3" s="1"/>
  <c r="W607" i="2"/>
  <c r="BI895" i="3"/>
  <c r="BL895" i="3" s="1"/>
  <c r="W599" i="2"/>
  <c r="BI887" i="3"/>
  <c r="BL887" i="3" s="1"/>
  <c r="W591" i="2"/>
  <c r="BI863" i="3"/>
  <c r="BL863" i="3" s="1"/>
  <c r="W567" i="2"/>
  <c r="BI775" i="3"/>
  <c r="BL775" i="3" s="1"/>
  <c r="W479" i="2"/>
  <c r="BI663" i="3"/>
  <c r="BL663" i="3" s="1"/>
  <c r="BI368" i="3"/>
  <c r="BL368" i="3" s="1"/>
  <c r="W367" i="2"/>
  <c r="BI647" i="3"/>
  <c r="BL647" i="3" s="1"/>
  <c r="BI352" i="3"/>
  <c r="BL352" i="3" s="1"/>
  <c r="W351" i="2"/>
  <c r="BI623" i="3"/>
  <c r="BL623" i="3" s="1"/>
  <c r="BI328" i="3"/>
  <c r="BL328" i="3" s="1"/>
  <c r="BI607" i="3"/>
  <c r="BL607" i="3" s="1"/>
  <c r="BI312" i="3"/>
  <c r="BL312" i="3" s="1"/>
  <c r="BI591" i="3"/>
  <c r="BL591" i="3" s="1"/>
  <c r="BI296" i="3"/>
  <c r="BL296" i="3" s="1"/>
  <c r="BI575" i="3"/>
  <c r="BL575" i="3" s="1"/>
  <c r="BI280" i="3"/>
  <c r="BL280" i="3" s="1"/>
  <c r="BI559" i="3"/>
  <c r="BL559" i="3" s="1"/>
  <c r="BI264" i="3"/>
  <c r="BL264" i="3" s="1"/>
  <c r="O363" i="2"/>
  <c r="AO364" i="3" s="1"/>
  <c r="AR364" i="3" s="1"/>
  <c r="O347" i="2"/>
  <c r="AO643" i="3" s="1"/>
  <c r="AR643" i="3" s="1"/>
  <c r="AO348" i="3"/>
  <c r="AR348" i="3" s="1"/>
  <c r="O323" i="2"/>
  <c r="AO619" i="3" s="1"/>
  <c r="AR619" i="3" s="1"/>
  <c r="O307" i="2"/>
  <c r="AO308" i="3" s="1"/>
  <c r="AR308" i="3" s="1"/>
  <c r="O283" i="2"/>
  <c r="AO284" i="3" s="1"/>
  <c r="AR284" i="3" s="1"/>
  <c r="O259" i="2"/>
  <c r="AO555" i="3" s="1"/>
  <c r="AR555" i="3" s="1"/>
  <c r="AO260" i="3"/>
  <c r="AR260" i="3" s="1"/>
  <c r="O243" i="2"/>
  <c r="AO539" i="3" s="1"/>
  <c r="AR539" i="3" s="1"/>
  <c r="O227" i="2"/>
  <c r="AO228" i="3" s="1"/>
  <c r="AR228" i="3" s="1"/>
  <c r="O211" i="2"/>
  <c r="AO212" i="3" s="1"/>
  <c r="AR212" i="3" s="1"/>
  <c r="O187" i="2"/>
  <c r="AO370" i="3" s="1"/>
  <c r="AR370" i="3" s="1"/>
  <c r="O163" i="2"/>
  <c r="O123" i="2"/>
  <c r="AO124" i="3" s="1"/>
  <c r="AR124" i="3" s="1"/>
  <c r="W583" i="2"/>
  <c r="O356" i="2"/>
  <c r="AO652" i="3" s="1"/>
  <c r="AR652" i="3" s="1"/>
  <c r="O324" i="2"/>
  <c r="AO325" i="3" s="1"/>
  <c r="AR325" i="3" s="1"/>
  <c r="O292" i="2"/>
  <c r="AO293" i="3" s="1"/>
  <c r="AR293" i="3" s="1"/>
  <c r="O260" i="2"/>
  <c r="O220" i="2"/>
  <c r="AO516" i="3" s="1"/>
  <c r="AR516" i="3" s="1"/>
  <c r="O188" i="2"/>
  <c r="AO371" i="3" s="1"/>
  <c r="AR371" i="3" s="1"/>
  <c r="AO189" i="3"/>
  <c r="AR189" i="3" s="1"/>
  <c r="O156" i="2"/>
  <c r="AO157" i="3" s="1"/>
  <c r="AR157" i="3" s="1"/>
  <c r="O132" i="2"/>
  <c r="AO133" i="3" s="1"/>
  <c r="AR133" i="3" s="1"/>
  <c r="O100" i="2"/>
  <c r="AO396" i="3" s="1"/>
  <c r="AR396" i="3" s="1"/>
  <c r="O68" i="2"/>
  <c r="AO69" i="3" s="1"/>
  <c r="AR69" i="3" s="1"/>
  <c r="O36" i="2"/>
  <c r="AO37" i="3" s="1"/>
  <c r="AR37" i="3" s="1"/>
  <c r="O20" i="2"/>
  <c r="AO21" i="3" s="1"/>
  <c r="AR21" i="3" s="1"/>
  <c r="S363" i="2"/>
  <c r="AY364" i="3"/>
  <c r="BB364" i="3" s="1"/>
  <c r="S331" i="2"/>
  <c r="AY332" i="3"/>
  <c r="BB332" i="3" s="1"/>
  <c r="S291" i="2"/>
  <c r="AY292" i="3"/>
  <c r="BB292" i="3" s="1"/>
  <c r="S259" i="2"/>
  <c r="AY260" i="3"/>
  <c r="BB260" i="3" s="1"/>
  <c r="S227" i="2"/>
  <c r="AY228" i="3"/>
  <c r="BB228" i="3" s="1"/>
  <c r="S195" i="2"/>
  <c r="AY196" i="3"/>
  <c r="BB196" i="3" s="1"/>
  <c r="AY378" i="3"/>
  <c r="BB378" i="3" s="1"/>
  <c r="AY459" i="3"/>
  <c r="BB459" i="3" s="1"/>
  <c r="AY164" i="3"/>
  <c r="BB164" i="3" s="1"/>
  <c r="S147" i="2"/>
  <c r="AY148" i="3"/>
  <c r="BB148" i="3" s="1"/>
  <c r="S115" i="2"/>
  <c r="AY116" i="3"/>
  <c r="BB116" i="3" s="1"/>
  <c r="S43" i="2"/>
  <c r="AY44" i="3"/>
  <c r="BB44" i="3" s="1"/>
  <c r="S19" i="2"/>
  <c r="AY20" i="3"/>
  <c r="BB20" i="3" s="1"/>
  <c r="U363" i="2"/>
  <c r="BD364" i="3"/>
  <c r="BG364" i="3" s="1"/>
  <c r="U347" i="2"/>
  <c r="BD348" i="3"/>
  <c r="BG348" i="3" s="1"/>
  <c r="U331" i="2"/>
  <c r="BD332" i="3"/>
  <c r="BG332" i="3" s="1"/>
  <c r="U315" i="2"/>
  <c r="BD316" i="3"/>
  <c r="BG316" i="3" s="1"/>
  <c r="U299" i="2"/>
  <c r="BD300" i="3"/>
  <c r="BG300" i="3" s="1"/>
  <c r="BD587" i="3"/>
  <c r="BG587" i="3" s="1"/>
  <c r="BD292" i="3"/>
  <c r="BG292" i="3" s="1"/>
  <c r="BD571" i="3"/>
  <c r="BG571" i="3" s="1"/>
  <c r="BD276" i="3"/>
  <c r="BG276" i="3" s="1"/>
  <c r="BD555" i="3"/>
  <c r="BG555" i="3" s="1"/>
  <c r="BD260" i="3"/>
  <c r="BG260" i="3" s="1"/>
  <c r="BD539" i="3"/>
  <c r="BG539" i="3" s="1"/>
  <c r="BD244" i="3"/>
  <c r="BG244" i="3" s="1"/>
  <c r="BD523" i="3"/>
  <c r="BG523" i="3" s="1"/>
  <c r="BD228" i="3"/>
  <c r="BG228" i="3" s="1"/>
  <c r="BD507" i="3"/>
  <c r="BG507" i="3" s="1"/>
  <c r="BD212" i="3"/>
  <c r="BG212" i="3" s="1"/>
  <c r="BD491" i="3"/>
  <c r="BG491" i="3" s="1"/>
  <c r="BD196" i="3"/>
  <c r="BG196" i="3" s="1"/>
  <c r="BD378" i="3"/>
  <c r="BG378" i="3" s="1"/>
  <c r="BD475" i="3"/>
  <c r="BG475" i="3" s="1"/>
  <c r="BD180" i="3"/>
  <c r="BG180" i="3" s="1"/>
  <c r="BD459" i="3"/>
  <c r="BG459" i="3" s="1"/>
  <c r="BD164" i="3"/>
  <c r="BG164" i="3" s="1"/>
  <c r="BD443" i="3"/>
  <c r="BG443" i="3" s="1"/>
  <c r="BD148" i="3"/>
  <c r="BG148" i="3" s="1"/>
  <c r="BD427" i="3"/>
  <c r="BG427" i="3" s="1"/>
  <c r="BD132" i="3"/>
  <c r="BG132" i="3" s="1"/>
  <c r="BD411" i="3"/>
  <c r="BG411" i="3" s="1"/>
  <c r="BD116" i="3"/>
  <c r="BG116" i="3" s="1"/>
  <c r="U107" i="2"/>
  <c r="BD108" i="3"/>
  <c r="BG108" i="3" s="1"/>
  <c r="U91" i="2"/>
  <c r="BD92" i="3"/>
  <c r="BG92" i="3" s="1"/>
  <c r="U59" i="2"/>
  <c r="BD60" i="3"/>
  <c r="BG60" i="3" s="1"/>
  <c r="U19" i="2"/>
  <c r="BD20" i="3"/>
  <c r="BG20" i="3" s="1"/>
  <c r="BI1119" i="3"/>
  <c r="BL1119" i="3" s="1"/>
  <c r="W823" i="2"/>
  <c r="BI1111" i="3"/>
  <c r="BL1111" i="3" s="1"/>
  <c r="W815" i="2"/>
  <c r="BI1095" i="3"/>
  <c r="BL1095" i="3" s="1"/>
  <c r="W799" i="2"/>
  <c r="BI1087" i="3"/>
  <c r="BL1087" i="3" s="1"/>
  <c r="W791" i="2"/>
  <c r="BI1079" i="3"/>
  <c r="BL1079" i="3" s="1"/>
  <c r="W783" i="2"/>
  <c r="BI1063" i="3"/>
  <c r="BL1063" i="3" s="1"/>
  <c r="W767" i="2"/>
  <c r="BI1047" i="3"/>
  <c r="BL1047" i="3" s="1"/>
  <c r="W751" i="2"/>
  <c r="BI991" i="3"/>
  <c r="BL991" i="3" s="1"/>
  <c r="W695" i="2"/>
  <c r="BI983" i="3"/>
  <c r="BL983" i="3" s="1"/>
  <c r="W687" i="2"/>
  <c r="BI967" i="3"/>
  <c r="BL967" i="3" s="1"/>
  <c r="W671" i="2"/>
  <c r="BI959" i="3"/>
  <c r="BL959" i="3" s="1"/>
  <c r="W663" i="2"/>
  <c r="BI951" i="3"/>
  <c r="BL951" i="3" s="1"/>
  <c r="W655" i="2"/>
  <c r="BI927" i="3"/>
  <c r="BL927" i="3" s="1"/>
  <c r="W631" i="2"/>
  <c r="BI871" i="3"/>
  <c r="BL871" i="3" s="1"/>
  <c r="W575" i="2"/>
  <c r="BI855" i="3"/>
  <c r="BL855" i="3" s="1"/>
  <c r="W559" i="2"/>
  <c r="BI847" i="3"/>
  <c r="BL847" i="3" s="1"/>
  <c r="W551" i="2"/>
  <c r="BI839" i="3"/>
  <c r="BL839" i="3" s="1"/>
  <c r="W543" i="2"/>
  <c r="BI791" i="3"/>
  <c r="BL791" i="3" s="1"/>
  <c r="W495" i="2"/>
  <c r="BI711" i="3"/>
  <c r="BL711" i="3" s="1"/>
  <c r="W415" i="2"/>
  <c r="BI655" i="3"/>
  <c r="BL655" i="3" s="1"/>
  <c r="BI360" i="3"/>
  <c r="BL360" i="3" s="1"/>
  <c r="BI639" i="3"/>
  <c r="BL639" i="3" s="1"/>
  <c r="BI344" i="3"/>
  <c r="BL344" i="3" s="1"/>
  <c r="BI631" i="3"/>
  <c r="BL631" i="3" s="1"/>
  <c r="BI336" i="3"/>
  <c r="BL336" i="3" s="1"/>
  <c r="BI615" i="3"/>
  <c r="BL615" i="3" s="1"/>
  <c r="BI320" i="3"/>
  <c r="BL320" i="3" s="1"/>
  <c r="BI599" i="3"/>
  <c r="BL599" i="3" s="1"/>
  <c r="BI304" i="3"/>
  <c r="BL304" i="3" s="1"/>
  <c r="W303" i="2"/>
  <c r="BI583" i="3"/>
  <c r="BL583" i="3" s="1"/>
  <c r="BI288" i="3"/>
  <c r="BL288" i="3" s="1"/>
  <c r="W287" i="2"/>
  <c r="BI567" i="3"/>
  <c r="BL567" i="3" s="1"/>
  <c r="BI272" i="3"/>
  <c r="BL272" i="3" s="1"/>
  <c r="BI551" i="3"/>
  <c r="BL551" i="3" s="1"/>
  <c r="BI256" i="3"/>
  <c r="BL256" i="3" s="1"/>
  <c r="BI543" i="3"/>
  <c r="BL543" i="3" s="1"/>
  <c r="BI248" i="3"/>
  <c r="BL248" i="3" s="1"/>
  <c r="BI192" i="3"/>
  <c r="BL192" i="3" s="1"/>
  <c r="BI374" i="3"/>
  <c r="BL374" i="3" s="1"/>
  <c r="W647" i="2"/>
  <c r="O355" i="2"/>
  <c r="AO651" i="3" s="1"/>
  <c r="AR651" i="3" s="1"/>
  <c r="O339" i="2"/>
  <c r="AO635" i="3" s="1"/>
  <c r="AR635" i="3" s="1"/>
  <c r="O331" i="2"/>
  <c r="AO332" i="3" s="1"/>
  <c r="AR332" i="3" s="1"/>
  <c r="O315" i="2"/>
  <c r="AO316" i="3" s="1"/>
  <c r="AR316" i="3" s="1"/>
  <c r="O299" i="2"/>
  <c r="AO300" i="3" s="1"/>
  <c r="AR300" i="3" s="1"/>
  <c r="O291" i="2"/>
  <c r="AO587" i="3" s="1"/>
  <c r="AR587" i="3" s="1"/>
  <c r="O275" i="2"/>
  <c r="AO276" i="3" s="1"/>
  <c r="AR276" i="3" s="1"/>
  <c r="O267" i="2"/>
  <c r="AO268" i="3" s="1"/>
  <c r="AR268" i="3" s="1"/>
  <c r="O251" i="2"/>
  <c r="AO252" i="3" s="1"/>
  <c r="AR252" i="3" s="1"/>
  <c r="O235" i="2"/>
  <c r="AO236" i="3" s="1"/>
  <c r="AR236" i="3" s="1"/>
  <c r="O219" i="2"/>
  <c r="AO220" i="3" s="1"/>
  <c r="AR220" i="3" s="1"/>
  <c r="O203" i="2"/>
  <c r="AO204" i="3" s="1"/>
  <c r="AR204" i="3" s="1"/>
  <c r="O195" i="2"/>
  <c r="AO491" i="3" s="1"/>
  <c r="AR491" i="3" s="1"/>
  <c r="O179" i="2"/>
  <c r="AO180" i="3" s="1"/>
  <c r="AR180" i="3" s="1"/>
  <c r="O171" i="2"/>
  <c r="AO172" i="3" s="1"/>
  <c r="AR172" i="3" s="1"/>
  <c r="O155" i="2"/>
  <c r="AO156" i="3"/>
  <c r="AR156" i="3" s="1"/>
  <c r="O147" i="2"/>
  <c r="AO443" i="3" s="1"/>
  <c r="AR443" i="3" s="1"/>
  <c r="O139" i="2"/>
  <c r="AO140" i="3" s="1"/>
  <c r="AR140" i="3" s="1"/>
  <c r="O131" i="2"/>
  <c r="AO132" i="3" s="1"/>
  <c r="AR132" i="3" s="1"/>
  <c r="O115" i="2"/>
  <c r="AO411" i="3" s="1"/>
  <c r="AR411" i="3" s="1"/>
  <c r="AO116" i="3"/>
  <c r="AR116" i="3" s="1"/>
  <c r="W431" i="2"/>
  <c r="O364" i="2"/>
  <c r="AO660" i="3" s="1"/>
  <c r="AR660" i="3" s="1"/>
  <c r="O332" i="2"/>
  <c r="AO333" i="3" s="1"/>
  <c r="AR333" i="3" s="1"/>
  <c r="O300" i="2"/>
  <c r="O268" i="2"/>
  <c r="AO269" i="3" s="1"/>
  <c r="AR269" i="3" s="1"/>
  <c r="O252" i="2"/>
  <c r="AO253" i="3" s="1"/>
  <c r="AR253" i="3" s="1"/>
  <c r="O228" i="2"/>
  <c r="AO229" i="3" s="1"/>
  <c r="AR229" i="3" s="1"/>
  <c r="O196" i="2"/>
  <c r="O172" i="2"/>
  <c r="AO173" i="3" s="1"/>
  <c r="AR173" i="3" s="1"/>
  <c r="O140" i="2"/>
  <c r="AO141" i="3" s="1"/>
  <c r="AR141" i="3" s="1"/>
  <c r="O108" i="2"/>
  <c r="AO109" i="3" s="1"/>
  <c r="AR109" i="3" s="1"/>
  <c r="O92" i="2"/>
  <c r="AO93" i="3"/>
  <c r="AR93" i="3" s="1"/>
  <c r="O60" i="2"/>
  <c r="AO61" i="3" s="1"/>
  <c r="AR61" i="3" s="1"/>
  <c r="O28" i="2"/>
  <c r="AO29" i="3" s="1"/>
  <c r="AR29" i="3" s="1"/>
  <c r="S355" i="2"/>
  <c r="AY356" i="3"/>
  <c r="BB356" i="3" s="1"/>
  <c r="S307" i="2"/>
  <c r="AY308" i="3"/>
  <c r="BB308" i="3" s="1"/>
  <c r="AY571" i="3"/>
  <c r="BB571" i="3" s="1"/>
  <c r="AY276" i="3"/>
  <c r="BB276" i="3" s="1"/>
  <c r="S235" i="2"/>
  <c r="AY236" i="3"/>
  <c r="BB236" i="3" s="1"/>
  <c r="S171" i="2"/>
  <c r="AY172" i="3"/>
  <c r="BB172" i="3" s="1"/>
  <c r="O617" i="2"/>
  <c r="AO913" i="3" s="1"/>
  <c r="AR913" i="3" s="1"/>
  <c r="O353" i="2"/>
  <c r="AO649" i="3" s="1"/>
  <c r="AR649" i="3" s="1"/>
  <c r="O337" i="2"/>
  <c r="AO338" i="3" s="1"/>
  <c r="AR338" i="3" s="1"/>
  <c r="O313" i="2"/>
  <c r="AO314" i="3" s="1"/>
  <c r="AR314" i="3" s="1"/>
  <c r="O289" i="2"/>
  <c r="AO290" i="3" s="1"/>
  <c r="AR290" i="3" s="1"/>
  <c r="O273" i="2"/>
  <c r="AO569" i="3" s="1"/>
  <c r="AR569" i="3" s="1"/>
  <c r="O257" i="2"/>
  <c r="AO258" i="3" s="1"/>
  <c r="AR258" i="3" s="1"/>
  <c r="O233" i="2"/>
  <c r="AO529" i="3" s="1"/>
  <c r="AR529" i="3" s="1"/>
  <c r="O217" i="2"/>
  <c r="AO218" i="3" s="1"/>
  <c r="AR218" i="3" s="1"/>
  <c r="O201" i="2"/>
  <c r="AO497" i="3" s="1"/>
  <c r="AR497" i="3" s="1"/>
  <c r="O185" i="2"/>
  <c r="AO481" i="3" s="1"/>
  <c r="AR481" i="3" s="1"/>
  <c r="AO186" i="3"/>
  <c r="AR186" i="3" s="1"/>
  <c r="O169" i="2"/>
  <c r="AO465" i="3" s="1"/>
  <c r="AR465" i="3" s="1"/>
  <c r="AO170" i="3"/>
  <c r="AR170" i="3" s="1"/>
  <c r="O153" i="2"/>
  <c r="AO449" i="3" s="1"/>
  <c r="AR449" i="3" s="1"/>
  <c r="O137" i="2"/>
  <c r="AO138" i="3" s="1"/>
  <c r="AR138" i="3" s="1"/>
  <c r="O121" i="2"/>
  <c r="AO122" i="3" s="1"/>
  <c r="AR122" i="3" s="1"/>
  <c r="O113" i="2"/>
  <c r="AO114" i="3" s="1"/>
  <c r="AR114" i="3" s="1"/>
  <c r="O105" i="2"/>
  <c r="AO401" i="3" s="1"/>
  <c r="AR401" i="3" s="1"/>
  <c r="O89" i="2"/>
  <c r="AO90" i="3" s="1"/>
  <c r="AR90" i="3" s="1"/>
  <c r="O73" i="2"/>
  <c r="AO74" i="3" s="1"/>
  <c r="AR74" i="3" s="1"/>
  <c r="O49" i="2"/>
  <c r="AO50" i="3" s="1"/>
  <c r="AR50" i="3" s="1"/>
  <c r="O41" i="2"/>
  <c r="AO42" i="3" s="1"/>
  <c r="AR42" i="3" s="1"/>
  <c r="O25" i="2"/>
  <c r="AO26" i="3" s="1"/>
  <c r="AR26" i="3" s="1"/>
  <c r="O107" i="2"/>
  <c r="AO108" i="3" s="1"/>
  <c r="AR108" i="3" s="1"/>
  <c r="O99" i="2"/>
  <c r="AO395" i="3" s="1"/>
  <c r="AR395" i="3" s="1"/>
  <c r="O91" i="2"/>
  <c r="AO92" i="3" s="1"/>
  <c r="AR92" i="3" s="1"/>
  <c r="O83" i="2"/>
  <c r="AO84" i="3" s="1"/>
  <c r="AR84" i="3" s="1"/>
  <c r="O75" i="2"/>
  <c r="AO76" i="3" s="1"/>
  <c r="AR76" i="3" s="1"/>
  <c r="O67" i="2"/>
  <c r="AO68" i="3" s="1"/>
  <c r="AR68" i="3" s="1"/>
  <c r="O59" i="2"/>
  <c r="AO60" i="3" s="1"/>
  <c r="AR60" i="3" s="1"/>
  <c r="O51" i="2"/>
  <c r="AO52" i="3" s="1"/>
  <c r="AR52" i="3" s="1"/>
  <c r="O43" i="2"/>
  <c r="AO44" i="3" s="1"/>
  <c r="AR44" i="3" s="1"/>
  <c r="O35" i="2"/>
  <c r="AO36" i="3" s="1"/>
  <c r="AR36" i="3" s="1"/>
  <c r="O27" i="2"/>
  <c r="AO28" i="3" s="1"/>
  <c r="AR28" i="3" s="1"/>
  <c r="O19" i="2"/>
  <c r="AO20" i="3" s="1"/>
  <c r="AR20" i="3" s="1"/>
  <c r="O11" i="2"/>
  <c r="AO12" i="3" s="1"/>
  <c r="AR12" i="3" s="1"/>
  <c r="Q66" i="2"/>
  <c r="AT67" i="3" s="1"/>
  <c r="AW67" i="3" s="1"/>
  <c r="Q58" i="2"/>
  <c r="AT59" i="3" s="1"/>
  <c r="AW59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AY195" i="3"/>
  <c r="BB195" i="3" s="1"/>
  <c r="AY377" i="3"/>
  <c r="BB377" i="3" s="1"/>
  <c r="AY187" i="3"/>
  <c r="BB187" i="3" s="1"/>
  <c r="AY369" i="3"/>
  <c r="BB369" i="3" s="1"/>
  <c r="BD195" i="3"/>
  <c r="BG195" i="3" s="1"/>
  <c r="BD377" i="3"/>
  <c r="BG377" i="3" s="1"/>
  <c r="BD187" i="3"/>
  <c r="BG187" i="3" s="1"/>
  <c r="BD369" i="3"/>
  <c r="BG369" i="3" s="1"/>
  <c r="BI662" i="3"/>
  <c r="BL662" i="3" s="1"/>
  <c r="BI367" i="3"/>
  <c r="BL367" i="3" s="1"/>
  <c r="BI654" i="3"/>
  <c r="BL654" i="3" s="1"/>
  <c r="BI359" i="3"/>
  <c r="BL359" i="3" s="1"/>
  <c r="BI646" i="3"/>
  <c r="BL646" i="3" s="1"/>
  <c r="BI351" i="3"/>
  <c r="BL351" i="3" s="1"/>
  <c r="BI638" i="3"/>
  <c r="BL638" i="3" s="1"/>
  <c r="BI343" i="3"/>
  <c r="BL343" i="3" s="1"/>
  <c r="BI630" i="3"/>
  <c r="BL630" i="3" s="1"/>
  <c r="BI335" i="3"/>
  <c r="BL335" i="3" s="1"/>
  <c r="BI622" i="3"/>
  <c r="BL622" i="3" s="1"/>
  <c r="BI327" i="3"/>
  <c r="BL327" i="3" s="1"/>
  <c r="BI614" i="3"/>
  <c r="BL614" i="3" s="1"/>
  <c r="BI319" i="3"/>
  <c r="BL319" i="3" s="1"/>
  <c r="BI606" i="3"/>
  <c r="BL606" i="3" s="1"/>
  <c r="BI311" i="3"/>
  <c r="BL311" i="3" s="1"/>
  <c r="BI598" i="3"/>
  <c r="BL598" i="3" s="1"/>
  <c r="BI303" i="3"/>
  <c r="BL303" i="3" s="1"/>
  <c r="BI590" i="3"/>
  <c r="BL590" i="3" s="1"/>
  <c r="BI295" i="3"/>
  <c r="BL295" i="3" s="1"/>
  <c r="BI582" i="3"/>
  <c r="BL582" i="3" s="1"/>
  <c r="BI287" i="3"/>
  <c r="BL287" i="3" s="1"/>
  <c r="BI574" i="3"/>
  <c r="BL574" i="3" s="1"/>
  <c r="BI279" i="3"/>
  <c r="BL279" i="3" s="1"/>
  <c r="BI566" i="3"/>
  <c r="BL566" i="3" s="1"/>
  <c r="BI271" i="3"/>
  <c r="BL271" i="3" s="1"/>
  <c r="BI558" i="3"/>
  <c r="BL558" i="3" s="1"/>
  <c r="BI263" i="3"/>
  <c r="BL263" i="3" s="1"/>
  <c r="BI550" i="3"/>
  <c r="BL550" i="3" s="1"/>
  <c r="BI255" i="3"/>
  <c r="BL255" i="3" s="1"/>
  <c r="BI542" i="3"/>
  <c r="BL542" i="3" s="1"/>
  <c r="BI247" i="3"/>
  <c r="BL247" i="3" s="1"/>
  <c r="BI534" i="3"/>
  <c r="BL534" i="3" s="1"/>
  <c r="BI239" i="3"/>
  <c r="BL239" i="3" s="1"/>
  <c r="BI526" i="3"/>
  <c r="BL526" i="3" s="1"/>
  <c r="BI231" i="3"/>
  <c r="BL231" i="3" s="1"/>
  <c r="BI518" i="3"/>
  <c r="BL518" i="3" s="1"/>
  <c r="BI223" i="3"/>
  <c r="BL223" i="3" s="1"/>
  <c r="BI510" i="3"/>
  <c r="BL510" i="3" s="1"/>
  <c r="BI215" i="3"/>
  <c r="BL215" i="3" s="1"/>
  <c r="BI502" i="3"/>
  <c r="BL502" i="3" s="1"/>
  <c r="BI207" i="3"/>
  <c r="BL207" i="3" s="1"/>
  <c r="BI494" i="3"/>
  <c r="BL494" i="3" s="1"/>
  <c r="BI199" i="3"/>
  <c r="BL199" i="3" s="1"/>
  <c r="BI486" i="3"/>
  <c r="BL486" i="3" s="1"/>
  <c r="BI191" i="3"/>
  <c r="BL191" i="3" s="1"/>
  <c r="BI373" i="3"/>
  <c r="BL373" i="3" s="1"/>
  <c r="BI478" i="3"/>
  <c r="BL478" i="3" s="1"/>
  <c r="BI183" i="3"/>
  <c r="BL183" i="3" s="1"/>
  <c r="BI470" i="3"/>
  <c r="BL470" i="3" s="1"/>
  <c r="BI175" i="3"/>
  <c r="BL175" i="3" s="1"/>
  <c r="BI462" i="3"/>
  <c r="BL462" i="3" s="1"/>
  <c r="BI167" i="3"/>
  <c r="BL167" i="3" s="1"/>
  <c r="BI454" i="3"/>
  <c r="BL454" i="3" s="1"/>
  <c r="BI159" i="3"/>
  <c r="BL159" i="3" s="1"/>
  <c r="BI446" i="3"/>
  <c r="BL446" i="3" s="1"/>
  <c r="BI151" i="3"/>
  <c r="BL151" i="3" s="1"/>
  <c r="BI438" i="3"/>
  <c r="BL438" i="3" s="1"/>
  <c r="BI143" i="3"/>
  <c r="BL143" i="3" s="1"/>
  <c r="BI430" i="3"/>
  <c r="BL430" i="3" s="1"/>
  <c r="BI135" i="3"/>
  <c r="BL135" i="3" s="1"/>
  <c r="BI422" i="3"/>
  <c r="BL422" i="3" s="1"/>
  <c r="BI127" i="3"/>
  <c r="BL127" i="3" s="1"/>
  <c r="BI414" i="3"/>
  <c r="BL414" i="3" s="1"/>
  <c r="BI119" i="3"/>
  <c r="BL119" i="3" s="1"/>
  <c r="BI406" i="3"/>
  <c r="BL406" i="3" s="1"/>
  <c r="BI111" i="3"/>
  <c r="BL111" i="3" s="1"/>
  <c r="BI398" i="3"/>
  <c r="BL398" i="3" s="1"/>
  <c r="BI103" i="3"/>
  <c r="BL103" i="3" s="1"/>
  <c r="BI390" i="3"/>
  <c r="BL390" i="3" s="1"/>
  <c r="BI95" i="3"/>
  <c r="BL95" i="3" s="1"/>
  <c r="BI382" i="3"/>
  <c r="BL382" i="3" s="1"/>
  <c r="BI87" i="3"/>
  <c r="BL87" i="3" s="1"/>
  <c r="BD567" i="3"/>
  <c r="BG567" i="3" s="1"/>
  <c r="BI1084" i="3"/>
  <c r="BL1084" i="3" s="1"/>
  <c r="BI828" i="3"/>
  <c r="BL828" i="3" s="1"/>
  <c r="O362" i="2"/>
  <c r="AO658" i="3" s="1"/>
  <c r="AR658" i="3" s="1"/>
  <c r="O354" i="2"/>
  <c r="AO650" i="3" s="1"/>
  <c r="AR650" i="3" s="1"/>
  <c r="AO355" i="3"/>
  <c r="AR355" i="3" s="1"/>
  <c r="O346" i="2"/>
  <c r="AO347" i="3" s="1"/>
  <c r="AR347" i="3" s="1"/>
  <c r="O338" i="2"/>
  <c r="O330" i="2"/>
  <c r="AO331" i="3" s="1"/>
  <c r="AR331" i="3" s="1"/>
  <c r="O322" i="2"/>
  <c r="AO323" i="3"/>
  <c r="AR323" i="3" s="1"/>
  <c r="O306" i="2"/>
  <c r="AO602" i="3" s="1"/>
  <c r="AR602" i="3" s="1"/>
  <c r="O298" i="2"/>
  <c r="O290" i="2"/>
  <c r="AO291" i="3" s="1"/>
  <c r="AR291" i="3" s="1"/>
  <c r="O282" i="2"/>
  <c r="AO283" i="3" s="1"/>
  <c r="AR283" i="3" s="1"/>
  <c r="O274" i="2"/>
  <c r="AO570" i="3" s="1"/>
  <c r="AR570" i="3" s="1"/>
  <c r="AO275" i="3"/>
  <c r="AR275" i="3" s="1"/>
  <c r="O266" i="2"/>
  <c r="O258" i="2"/>
  <c r="AO259" i="3" s="1"/>
  <c r="AR259" i="3" s="1"/>
  <c r="O250" i="2"/>
  <c r="AO251" i="3"/>
  <c r="AR251" i="3" s="1"/>
  <c r="O242" i="2"/>
  <c r="AO243" i="3" s="1"/>
  <c r="AR243" i="3" s="1"/>
  <c r="O234" i="2"/>
  <c r="AO235" i="3" s="1"/>
  <c r="AR235" i="3" s="1"/>
  <c r="O226" i="2"/>
  <c r="AO522" i="3" s="1"/>
  <c r="AR522" i="3" s="1"/>
  <c r="AO227" i="3"/>
  <c r="AR227" i="3" s="1"/>
  <c r="O218" i="2"/>
  <c r="AO219" i="3" s="1"/>
  <c r="AR219" i="3" s="1"/>
  <c r="O210" i="2"/>
  <c r="AO506" i="3" s="1"/>
  <c r="AR506" i="3" s="1"/>
  <c r="O202" i="2"/>
  <c r="AO203" i="3" s="1"/>
  <c r="AR203" i="3" s="1"/>
  <c r="O194" i="2"/>
  <c r="AO377" i="3" s="1"/>
  <c r="AR377" i="3" s="1"/>
  <c r="O186" i="2"/>
  <c r="AO482" i="3" s="1"/>
  <c r="AR482" i="3" s="1"/>
  <c r="O178" i="2"/>
  <c r="AO179" i="3" s="1"/>
  <c r="AR179" i="3" s="1"/>
  <c r="O170" i="2"/>
  <c r="AO466" i="3" s="1"/>
  <c r="AR466" i="3" s="1"/>
  <c r="AO171" i="3"/>
  <c r="AR171" i="3" s="1"/>
  <c r="O162" i="2"/>
  <c r="AO163" i="3" s="1"/>
  <c r="AR163" i="3" s="1"/>
  <c r="Q361" i="2"/>
  <c r="AT362" i="3" s="1"/>
  <c r="AW362" i="3" s="1"/>
  <c r="Q353" i="2"/>
  <c r="AT354" i="3" s="1"/>
  <c r="AW354" i="3" s="1"/>
  <c r="Q345" i="2"/>
  <c r="AT641" i="3" s="1"/>
  <c r="AW641" i="3" s="1"/>
  <c r="Q337" i="2"/>
  <c r="AT633" i="3" s="1"/>
  <c r="AW633" i="3" s="1"/>
  <c r="Q329" i="2"/>
  <c r="AT330" i="3" s="1"/>
  <c r="AW330" i="3" s="1"/>
  <c r="Q321" i="2"/>
  <c r="AT322" i="3" s="1"/>
  <c r="AW322" i="3" s="1"/>
  <c r="Q313" i="2"/>
  <c r="AT609" i="3" s="1"/>
  <c r="AW609" i="3" s="1"/>
  <c r="Q305" i="2"/>
  <c r="AT601" i="3" s="1"/>
  <c r="AW601" i="3" s="1"/>
  <c r="Q297" i="2"/>
  <c r="AT298" i="3" s="1"/>
  <c r="AW298" i="3" s="1"/>
  <c r="Q289" i="2"/>
  <c r="AT290" i="3" s="1"/>
  <c r="AW290" i="3" s="1"/>
  <c r="Q281" i="2"/>
  <c r="AT577" i="3" s="1"/>
  <c r="AW577" i="3" s="1"/>
  <c r="AT282" i="3"/>
  <c r="AW282" i="3" s="1"/>
  <c r="Q273" i="2"/>
  <c r="AT274" i="3" s="1"/>
  <c r="AW274" i="3" s="1"/>
  <c r="Q265" i="2"/>
  <c r="AT266" i="3" s="1"/>
  <c r="AW266" i="3" s="1"/>
  <c r="Q257" i="2"/>
  <c r="AT258" i="3" s="1"/>
  <c r="AW258" i="3" s="1"/>
  <c r="Q249" i="2"/>
  <c r="AT545" i="3" s="1"/>
  <c r="AW545" i="3" s="1"/>
  <c r="Q241" i="2"/>
  <c r="AT537" i="3" s="1"/>
  <c r="AW537" i="3" s="1"/>
  <c r="Q233" i="2"/>
  <c r="AT234" i="3" s="1"/>
  <c r="AW234" i="3" s="1"/>
  <c r="Q225" i="2"/>
  <c r="AT226" i="3" s="1"/>
  <c r="AW226" i="3" s="1"/>
  <c r="Q217" i="2"/>
  <c r="AT218" i="3" s="1"/>
  <c r="AW218" i="3" s="1"/>
  <c r="Q209" i="2"/>
  <c r="AT210" i="3" s="1"/>
  <c r="AW210" i="3" s="1"/>
  <c r="Q201" i="2"/>
  <c r="AT202" i="3" s="1"/>
  <c r="AW202" i="3" s="1"/>
  <c r="Q193" i="2"/>
  <c r="AT194" i="3" s="1"/>
  <c r="AW194" i="3" s="1"/>
  <c r="AT376" i="3"/>
  <c r="AW376" i="3" s="1"/>
  <c r="Q185" i="2"/>
  <c r="AT186" i="3" s="1"/>
  <c r="AW186" i="3" s="1"/>
  <c r="Q177" i="2"/>
  <c r="AT178" i="3" s="1"/>
  <c r="AW178" i="3" s="1"/>
  <c r="Q169" i="2"/>
  <c r="AT170" i="3" s="1"/>
  <c r="AW170" i="3" s="1"/>
  <c r="Q161" i="2"/>
  <c r="AT162" i="3" s="1"/>
  <c r="AW162" i="3" s="1"/>
  <c r="Q153" i="2"/>
  <c r="AT154" i="3" s="1"/>
  <c r="AW154" i="3" s="1"/>
  <c r="Q145" i="2"/>
  <c r="Q137" i="2"/>
  <c r="AT138" i="3"/>
  <c r="AW138" i="3" s="1"/>
  <c r="Q129" i="2"/>
  <c r="AT130" i="3" s="1"/>
  <c r="AW130" i="3" s="1"/>
  <c r="Q121" i="2"/>
  <c r="Q113" i="2"/>
  <c r="Q105" i="2"/>
  <c r="AT106" i="3"/>
  <c r="AW106" i="3" s="1"/>
  <c r="Q97" i="2"/>
  <c r="AT393" i="3" s="1"/>
  <c r="AW393" i="3" s="1"/>
  <c r="AT98" i="3"/>
  <c r="AW98" i="3" s="1"/>
  <c r="Q89" i="2"/>
  <c r="AT385" i="3" s="1"/>
  <c r="AW385" i="3" s="1"/>
  <c r="Q81" i="2"/>
  <c r="AT82" i="3" s="1"/>
  <c r="AW82" i="3" s="1"/>
  <c r="Q73" i="2"/>
  <c r="AT74" i="3"/>
  <c r="AW74" i="3" s="1"/>
  <c r="Q65" i="2"/>
  <c r="AT66" i="3"/>
  <c r="AW66" i="3" s="1"/>
  <c r="Q57" i="2"/>
  <c r="AT58" i="3"/>
  <c r="AW58" i="3" s="1"/>
  <c r="Q49" i="2"/>
  <c r="AT50" i="3" s="1"/>
  <c r="AW50" i="3" s="1"/>
  <c r="Q41" i="2"/>
  <c r="AT42" i="3" s="1"/>
  <c r="AW42" i="3" s="1"/>
  <c r="Q33" i="2"/>
  <c r="AT34" i="3"/>
  <c r="AW34" i="3" s="1"/>
  <c r="Q25" i="2"/>
  <c r="AT26" i="3" s="1"/>
  <c r="AW26" i="3" s="1"/>
  <c r="Q17" i="2"/>
  <c r="AT18" i="3" s="1"/>
  <c r="AW18" i="3" s="1"/>
  <c r="AY194" i="3"/>
  <c r="BB194" i="3" s="1"/>
  <c r="AY376" i="3"/>
  <c r="BB376" i="3" s="1"/>
  <c r="S25" i="2"/>
  <c r="AY26" i="3"/>
  <c r="BB26" i="3" s="1"/>
  <c r="S17" i="2"/>
  <c r="AY18" i="3"/>
  <c r="BB18" i="3" s="1"/>
  <c r="BD194" i="3"/>
  <c r="BG194" i="3" s="1"/>
  <c r="BD376" i="3"/>
  <c r="BG376" i="3" s="1"/>
  <c r="U303" i="2"/>
  <c r="U47" i="2"/>
  <c r="BI661" i="3"/>
  <c r="BL661" i="3" s="1"/>
  <c r="BI366" i="3"/>
  <c r="BL366" i="3" s="1"/>
  <c r="BI653" i="3"/>
  <c r="BL653" i="3" s="1"/>
  <c r="BI358" i="3"/>
  <c r="BL358" i="3" s="1"/>
  <c r="BI645" i="3"/>
  <c r="BL645" i="3" s="1"/>
  <c r="BI350" i="3"/>
  <c r="BL350" i="3" s="1"/>
  <c r="BI637" i="3"/>
  <c r="BL637" i="3" s="1"/>
  <c r="BI342" i="3"/>
  <c r="BL342" i="3" s="1"/>
  <c r="BI629" i="3"/>
  <c r="BL629" i="3" s="1"/>
  <c r="BI334" i="3"/>
  <c r="BL334" i="3" s="1"/>
  <c r="BI621" i="3"/>
  <c r="BL621" i="3" s="1"/>
  <c r="BI326" i="3"/>
  <c r="BL326" i="3" s="1"/>
  <c r="BI613" i="3"/>
  <c r="BL613" i="3" s="1"/>
  <c r="BI318" i="3"/>
  <c r="BL318" i="3" s="1"/>
  <c r="BI605" i="3"/>
  <c r="BL605" i="3" s="1"/>
  <c r="BI310" i="3"/>
  <c r="BL310" i="3" s="1"/>
  <c r="BI597" i="3"/>
  <c r="BL597" i="3" s="1"/>
  <c r="BI302" i="3"/>
  <c r="BL302" i="3" s="1"/>
  <c r="BI589" i="3"/>
  <c r="BL589" i="3" s="1"/>
  <c r="BI294" i="3"/>
  <c r="BL294" i="3" s="1"/>
  <c r="BI581" i="3"/>
  <c r="BL581" i="3" s="1"/>
  <c r="BI286" i="3"/>
  <c r="BL286" i="3" s="1"/>
  <c r="BI573" i="3"/>
  <c r="BL573" i="3" s="1"/>
  <c r="BI278" i="3"/>
  <c r="BL278" i="3" s="1"/>
  <c r="BI565" i="3"/>
  <c r="BL565" i="3" s="1"/>
  <c r="BI270" i="3"/>
  <c r="BL270" i="3" s="1"/>
  <c r="BI557" i="3"/>
  <c r="BL557" i="3" s="1"/>
  <c r="BI262" i="3"/>
  <c r="BL262" i="3" s="1"/>
  <c r="BI549" i="3"/>
  <c r="BL549" i="3" s="1"/>
  <c r="BI254" i="3"/>
  <c r="BL254" i="3" s="1"/>
  <c r="BI541" i="3"/>
  <c r="BL541" i="3" s="1"/>
  <c r="BI246" i="3"/>
  <c r="BL246" i="3" s="1"/>
  <c r="BI533" i="3"/>
  <c r="BL533" i="3" s="1"/>
  <c r="BI238" i="3"/>
  <c r="BL238" i="3" s="1"/>
  <c r="BI525" i="3"/>
  <c r="BL525" i="3" s="1"/>
  <c r="BI230" i="3"/>
  <c r="BL230" i="3" s="1"/>
  <c r="BI517" i="3"/>
  <c r="BL517" i="3" s="1"/>
  <c r="BI222" i="3"/>
  <c r="BL222" i="3" s="1"/>
  <c r="BI509" i="3"/>
  <c r="BL509" i="3" s="1"/>
  <c r="BI214" i="3"/>
  <c r="BL214" i="3" s="1"/>
  <c r="BI501" i="3"/>
  <c r="BL501" i="3" s="1"/>
  <c r="BI206" i="3"/>
  <c r="BL206" i="3" s="1"/>
  <c r="BI493" i="3"/>
  <c r="BL493" i="3" s="1"/>
  <c r="BI198" i="3"/>
  <c r="BL198" i="3" s="1"/>
  <c r="BI485" i="3"/>
  <c r="BL485" i="3" s="1"/>
  <c r="BI190" i="3"/>
  <c r="BL190" i="3" s="1"/>
  <c r="BI372" i="3"/>
  <c r="BL372" i="3" s="1"/>
  <c r="BI477" i="3"/>
  <c r="BL477" i="3" s="1"/>
  <c r="BI182" i="3"/>
  <c r="BL182" i="3" s="1"/>
  <c r="BI469" i="3"/>
  <c r="BL469" i="3" s="1"/>
  <c r="BI174" i="3"/>
  <c r="BL174" i="3" s="1"/>
  <c r="BI461" i="3"/>
  <c r="BL461" i="3" s="1"/>
  <c r="BI166" i="3"/>
  <c r="BL166" i="3" s="1"/>
  <c r="BI453" i="3"/>
  <c r="BL453" i="3" s="1"/>
  <c r="BI158" i="3"/>
  <c r="BL158" i="3" s="1"/>
  <c r="BI445" i="3"/>
  <c r="BL445" i="3" s="1"/>
  <c r="BI150" i="3"/>
  <c r="BL150" i="3" s="1"/>
  <c r="BI437" i="3"/>
  <c r="BL437" i="3" s="1"/>
  <c r="BI142" i="3"/>
  <c r="BL142" i="3" s="1"/>
  <c r="BI429" i="3"/>
  <c r="BL429" i="3" s="1"/>
  <c r="BI134" i="3"/>
  <c r="BL134" i="3" s="1"/>
  <c r="BI421" i="3"/>
  <c r="BL421" i="3" s="1"/>
  <c r="BI126" i="3"/>
  <c r="BL126" i="3" s="1"/>
  <c r="BI413" i="3"/>
  <c r="BL413" i="3" s="1"/>
  <c r="BI118" i="3"/>
  <c r="BL118" i="3" s="1"/>
  <c r="BI405" i="3"/>
  <c r="BL405" i="3" s="1"/>
  <c r="BI110" i="3"/>
  <c r="BL110" i="3" s="1"/>
  <c r="BI397" i="3"/>
  <c r="BL397" i="3" s="1"/>
  <c r="BI102" i="3"/>
  <c r="BL102" i="3" s="1"/>
  <c r="BI389" i="3"/>
  <c r="BL389" i="3" s="1"/>
  <c r="BI94" i="3"/>
  <c r="BL94" i="3" s="1"/>
  <c r="BI381" i="3"/>
  <c r="BL381" i="3" s="1"/>
  <c r="BI86" i="3"/>
  <c r="BL86" i="3" s="1"/>
  <c r="BD1047" i="3"/>
  <c r="BG1047" i="3" s="1"/>
  <c r="BD791" i="3"/>
  <c r="BG791" i="3" s="1"/>
  <c r="BD535" i="3"/>
  <c r="BG535" i="3" s="1"/>
  <c r="BI1075" i="3"/>
  <c r="BL1075" i="3" s="1"/>
  <c r="BI819" i="3"/>
  <c r="BL819" i="3" s="1"/>
  <c r="Q72" i="2"/>
  <c r="AT73" i="3" s="1"/>
  <c r="AW73" i="3" s="1"/>
  <c r="S360" i="2"/>
  <c r="AY361" i="3"/>
  <c r="BB361" i="3" s="1"/>
  <c r="S336" i="2"/>
  <c r="AY337" i="3"/>
  <c r="BB337" i="3" s="1"/>
  <c r="S312" i="2"/>
  <c r="AY313" i="3"/>
  <c r="BB313" i="3" s="1"/>
  <c r="S288" i="2"/>
  <c r="AY289" i="3"/>
  <c r="BB289" i="3" s="1"/>
  <c r="S264" i="2"/>
  <c r="AY265" i="3"/>
  <c r="BB265" i="3" s="1"/>
  <c r="S240" i="2"/>
  <c r="AY241" i="3"/>
  <c r="BB241" i="3" s="1"/>
  <c r="S216" i="2"/>
  <c r="AY217" i="3"/>
  <c r="BB217" i="3" s="1"/>
  <c r="S192" i="2"/>
  <c r="AY193" i="3"/>
  <c r="BB193" i="3" s="1"/>
  <c r="AY375" i="3"/>
  <c r="BB375" i="3" s="1"/>
  <c r="S168" i="2"/>
  <c r="AY169" i="3"/>
  <c r="BB169" i="3" s="1"/>
  <c r="S144" i="2"/>
  <c r="AY145" i="3"/>
  <c r="BB145" i="3" s="1"/>
  <c r="S128" i="2"/>
  <c r="AY129" i="3"/>
  <c r="BB129" i="3" s="1"/>
  <c r="S104" i="2"/>
  <c r="AY105" i="3"/>
  <c r="BB105" i="3" s="1"/>
  <c r="S88" i="2"/>
  <c r="AY89" i="3"/>
  <c r="BB89" i="3" s="1"/>
  <c r="S56" i="2"/>
  <c r="AY57" i="3"/>
  <c r="BB57" i="3" s="1"/>
  <c r="S40" i="2"/>
  <c r="AY41" i="3"/>
  <c r="BB41" i="3" s="1"/>
  <c r="W356" i="2"/>
  <c r="BI357" i="3"/>
  <c r="BL357" i="3" s="1"/>
  <c r="W340" i="2"/>
  <c r="BI341" i="3"/>
  <c r="BL341" i="3" s="1"/>
  <c r="W324" i="2"/>
  <c r="BI325" i="3"/>
  <c r="BL325" i="3" s="1"/>
  <c r="W196" i="2"/>
  <c r="BI197" i="3"/>
  <c r="BL197" i="3" s="1"/>
  <c r="BI379" i="3"/>
  <c r="BL379" i="3" s="1"/>
  <c r="W180" i="2"/>
  <c r="BI181" i="3"/>
  <c r="BL181" i="3" s="1"/>
  <c r="W100" i="2"/>
  <c r="BI101" i="3"/>
  <c r="BL101" i="3" s="1"/>
  <c r="W84" i="2"/>
  <c r="BI85" i="3"/>
  <c r="BL85" i="3" s="1"/>
  <c r="O336" i="2"/>
  <c r="AO337" i="3" s="1"/>
  <c r="AR337" i="3" s="1"/>
  <c r="O312" i="2"/>
  <c r="AO313" i="3" s="1"/>
  <c r="AR313" i="3" s="1"/>
  <c r="O288" i="2"/>
  <c r="O232" i="2"/>
  <c r="AO528" i="3" s="1"/>
  <c r="AR528" i="3" s="1"/>
  <c r="AO233" i="3"/>
  <c r="AR233" i="3" s="1"/>
  <c r="O208" i="2"/>
  <c r="AO504" i="3" s="1"/>
  <c r="AR504" i="3" s="1"/>
  <c r="O184" i="2"/>
  <c r="AO185" i="3" s="1"/>
  <c r="AR185" i="3" s="1"/>
  <c r="O160" i="2"/>
  <c r="O144" i="2"/>
  <c r="AO145" i="3" s="1"/>
  <c r="AR145" i="3" s="1"/>
  <c r="O120" i="2"/>
  <c r="AO416" i="3" s="1"/>
  <c r="AR416" i="3" s="1"/>
  <c r="O104" i="2"/>
  <c r="AO105" i="3" s="1"/>
  <c r="AR105" i="3" s="1"/>
  <c r="O80" i="2"/>
  <c r="AO81" i="3" s="1"/>
  <c r="AR81" i="3" s="1"/>
  <c r="O48" i="2"/>
  <c r="AO49" i="3" s="1"/>
  <c r="AR49" i="3" s="1"/>
  <c r="Q71" i="2"/>
  <c r="AT72" i="3" s="1"/>
  <c r="AW72" i="3" s="1"/>
  <c r="AY399" i="3"/>
  <c r="BB399" i="3" s="1"/>
  <c r="AY104" i="3"/>
  <c r="BB104" i="3" s="1"/>
  <c r="U359" i="2"/>
  <c r="BD360" i="3"/>
  <c r="BG360" i="3" s="1"/>
  <c r="U343" i="2"/>
  <c r="BD344" i="3"/>
  <c r="BG344" i="3" s="1"/>
  <c r="BD583" i="3"/>
  <c r="BG583" i="3" s="1"/>
  <c r="BD288" i="3"/>
  <c r="BG288" i="3" s="1"/>
  <c r="BD551" i="3"/>
  <c r="BG551" i="3" s="1"/>
  <c r="BD256" i="3"/>
  <c r="BG256" i="3" s="1"/>
  <c r="U151" i="2"/>
  <c r="BD152" i="3"/>
  <c r="BG152" i="3" s="1"/>
  <c r="U103" i="2"/>
  <c r="BD104" i="3"/>
  <c r="BG104" i="3" s="1"/>
  <c r="U87" i="2"/>
  <c r="BD88" i="3"/>
  <c r="BG88" i="3" s="1"/>
  <c r="U71" i="2"/>
  <c r="BD72" i="3"/>
  <c r="BG72" i="3" s="1"/>
  <c r="U239" i="2"/>
  <c r="W363" i="2"/>
  <c r="BI364" i="3"/>
  <c r="BL364" i="3" s="1"/>
  <c r="BI635" i="3"/>
  <c r="BL635" i="3" s="1"/>
  <c r="BI340" i="3"/>
  <c r="BL340" i="3" s="1"/>
  <c r="BI611" i="3"/>
  <c r="BL611" i="3" s="1"/>
  <c r="BI316" i="3"/>
  <c r="BL316" i="3" s="1"/>
  <c r="BI579" i="3"/>
  <c r="BL579" i="3" s="1"/>
  <c r="BI284" i="3"/>
  <c r="BL284" i="3" s="1"/>
  <c r="W235" i="2"/>
  <c r="BI236" i="3"/>
  <c r="BL236" i="3" s="1"/>
  <c r="W219" i="2"/>
  <c r="BI220" i="3"/>
  <c r="BL220" i="3" s="1"/>
  <c r="BD983" i="3"/>
  <c r="BG983" i="3" s="1"/>
  <c r="O367" i="2"/>
  <c r="AO368" i="3" s="1"/>
  <c r="AR368" i="3" s="1"/>
  <c r="O359" i="2"/>
  <c r="AO360" i="3" s="1"/>
  <c r="AR360" i="3" s="1"/>
  <c r="O351" i="2"/>
  <c r="AO647" i="3" s="1"/>
  <c r="AR647" i="3" s="1"/>
  <c r="O343" i="2"/>
  <c r="AO639" i="3" s="1"/>
  <c r="AR639" i="3" s="1"/>
  <c r="O335" i="2"/>
  <c r="AO336" i="3" s="1"/>
  <c r="AR336" i="3" s="1"/>
  <c r="O327" i="2"/>
  <c r="AO328" i="3" s="1"/>
  <c r="AR328" i="3" s="1"/>
  <c r="O319" i="2"/>
  <c r="AO615" i="3" s="1"/>
  <c r="AR615" i="3" s="1"/>
  <c r="O311" i="2"/>
  <c r="AO607" i="3" s="1"/>
  <c r="AR607" i="3" s="1"/>
  <c r="O303" i="2"/>
  <c r="AO304" i="3" s="1"/>
  <c r="AR304" i="3" s="1"/>
  <c r="O295" i="2"/>
  <c r="AO296" i="3" s="1"/>
  <c r="AR296" i="3" s="1"/>
  <c r="O287" i="2"/>
  <c r="AO583" i="3" s="1"/>
  <c r="AR583" i="3" s="1"/>
  <c r="O279" i="2"/>
  <c r="AO575" i="3" s="1"/>
  <c r="AR575" i="3" s="1"/>
  <c r="O271" i="2"/>
  <c r="AO272" i="3" s="1"/>
  <c r="AR272" i="3" s="1"/>
  <c r="O263" i="2"/>
  <c r="AO264" i="3" s="1"/>
  <c r="AR264" i="3" s="1"/>
  <c r="O255" i="2"/>
  <c r="AO551" i="3" s="1"/>
  <c r="AR551" i="3" s="1"/>
  <c r="O247" i="2"/>
  <c r="AO543" i="3" s="1"/>
  <c r="AR543" i="3" s="1"/>
  <c r="AO248" i="3"/>
  <c r="AR248" i="3" s="1"/>
  <c r="O239" i="2"/>
  <c r="AO240" i="3" s="1"/>
  <c r="AR240" i="3" s="1"/>
  <c r="O231" i="2"/>
  <c r="AO232" i="3" s="1"/>
  <c r="AR232" i="3" s="1"/>
  <c r="O223" i="2"/>
  <c r="AO519" i="3" s="1"/>
  <c r="AR519" i="3" s="1"/>
  <c r="O215" i="2"/>
  <c r="AO511" i="3" s="1"/>
  <c r="AR511" i="3" s="1"/>
  <c r="O207" i="2"/>
  <c r="AO208" i="3" s="1"/>
  <c r="AR208" i="3" s="1"/>
  <c r="O199" i="2"/>
  <c r="AO200" i="3" s="1"/>
  <c r="AR200" i="3" s="1"/>
  <c r="O191" i="2"/>
  <c r="AO487" i="3" s="1"/>
  <c r="AR487" i="3" s="1"/>
  <c r="O183" i="2"/>
  <c r="O175" i="2"/>
  <c r="AO176" i="3" s="1"/>
  <c r="AR176" i="3" s="1"/>
  <c r="O167" i="2"/>
  <c r="AO463" i="3" s="1"/>
  <c r="AR463" i="3" s="1"/>
  <c r="AO168" i="3"/>
  <c r="AR168" i="3" s="1"/>
  <c r="O159" i="2"/>
  <c r="AO455" i="3" s="1"/>
  <c r="AR455" i="3" s="1"/>
  <c r="AO160" i="3"/>
  <c r="AR160" i="3" s="1"/>
  <c r="O151" i="2"/>
  <c r="O143" i="2"/>
  <c r="AO144" i="3"/>
  <c r="AR144" i="3" s="1"/>
  <c r="O135" i="2"/>
  <c r="AO431" i="3" s="1"/>
  <c r="AR431" i="3" s="1"/>
  <c r="O127" i="2"/>
  <c r="AO423" i="3" s="1"/>
  <c r="AR423" i="3" s="1"/>
  <c r="O119" i="2"/>
  <c r="O111" i="2"/>
  <c r="AO112" i="3" s="1"/>
  <c r="AR112" i="3" s="1"/>
  <c r="O103" i="2"/>
  <c r="AO104" i="3" s="1"/>
  <c r="AR104" i="3" s="1"/>
  <c r="O95" i="2"/>
  <c r="AO391" i="3" s="1"/>
  <c r="AR391" i="3" s="1"/>
  <c r="O87" i="2"/>
  <c r="O79" i="2"/>
  <c r="AO80" i="3" s="1"/>
  <c r="AR80" i="3" s="1"/>
  <c r="O71" i="2"/>
  <c r="AO72" i="3" s="1"/>
  <c r="AR72" i="3" s="1"/>
  <c r="O63" i="2"/>
  <c r="AO64" i="3" s="1"/>
  <c r="AR64" i="3" s="1"/>
  <c r="O55" i="2"/>
  <c r="AO56" i="3" s="1"/>
  <c r="AR56" i="3" s="1"/>
  <c r="O47" i="2"/>
  <c r="AO48" i="3"/>
  <c r="AR48" i="3" s="1"/>
  <c r="O39" i="2"/>
  <c r="AO40" i="3" s="1"/>
  <c r="AR40" i="3" s="1"/>
  <c r="O31" i="2"/>
  <c r="AO32" i="3" s="1"/>
  <c r="AR32" i="3" s="1"/>
  <c r="O23" i="2"/>
  <c r="AO24" i="3" s="1"/>
  <c r="AR24" i="3" s="1"/>
  <c r="O15" i="2"/>
  <c r="AO16" i="3" s="1"/>
  <c r="AR16" i="3" s="1"/>
  <c r="Q70" i="2"/>
  <c r="AT71" i="3" s="1"/>
  <c r="AW71" i="3" s="1"/>
  <c r="Q62" i="2"/>
  <c r="AT63" i="3" s="1"/>
  <c r="AW63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14" i="2"/>
  <c r="AT15" i="3" s="1"/>
  <c r="AW15" i="3" s="1"/>
  <c r="AY191" i="3"/>
  <c r="BB191" i="3" s="1"/>
  <c r="AY373" i="3"/>
  <c r="BB373" i="3" s="1"/>
  <c r="S22" i="2"/>
  <c r="AY23" i="3"/>
  <c r="BB23" i="3" s="1"/>
  <c r="S14" i="2"/>
  <c r="AY15" i="3"/>
  <c r="BB15" i="3" s="1"/>
  <c r="BD191" i="3"/>
  <c r="BG191" i="3" s="1"/>
  <c r="BD373" i="3"/>
  <c r="BG373" i="3" s="1"/>
  <c r="U22" i="2"/>
  <c r="BD23" i="3"/>
  <c r="BG23" i="3" s="1"/>
  <c r="U14" i="2"/>
  <c r="BD15" i="3"/>
  <c r="BG15" i="3" s="1"/>
  <c r="U207" i="2"/>
  <c r="BI658" i="3"/>
  <c r="BL658" i="3" s="1"/>
  <c r="BI363" i="3"/>
  <c r="BL363" i="3" s="1"/>
  <c r="BI650" i="3"/>
  <c r="BL650" i="3" s="1"/>
  <c r="BI355" i="3"/>
  <c r="BL355" i="3" s="1"/>
  <c r="BI642" i="3"/>
  <c r="BL642" i="3" s="1"/>
  <c r="BI347" i="3"/>
  <c r="BL347" i="3" s="1"/>
  <c r="BI634" i="3"/>
  <c r="BL634" i="3" s="1"/>
  <c r="BI339" i="3"/>
  <c r="BL339" i="3" s="1"/>
  <c r="BI626" i="3"/>
  <c r="BL626" i="3" s="1"/>
  <c r="BI331" i="3"/>
  <c r="BL331" i="3" s="1"/>
  <c r="BI618" i="3"/>
  <c r="BL618" i="3" s="1"/>
  <c r="BI323" i="3"/>
  <c r="BL323" i="3" s="1"/>
  <c r="BI610" i="3"/>
  <c r="BL610" i="3" s="1"/>
  <c r="BI315" i="3"/>
  <c r="BL315" i="3" s="1"/>
  <c r="BI602" i="3"/>
  <c r="BL602" i="3" s="1"/>
  <c r="BI307" i="3"/>
  <c r="BL307" i="3" s="1"/>
  <c r="BI594" i="3"/>
  <c r="BL594" i="3" s="1"/>
  <c r="BI299" i="3"/>
  <c r="BL299" i="3" s="1"/>
  <c r="BI586" i="3"/>
  <c r="BL586" i="3" s="1"/>
  <c r="BI291" i="3"/>
  <c r="BL291" i="3" s="1"/>
  <c r="BI578" i="3"/>
  <c r="BL578" i="3" s="1"/>
  <c r="BI283" i="3"/>
  <c r="BL283" i="3" s="1"/>
  <c r="BI570" i="3"/>
  <c r="BL570" i="3" s="1"/>
  <c r="BI275" i="3"/>
  <c r="BL275" i="3" s="1"/>
  <c r="BI562" i="3"/>
  <c r="BL562" i="3" s="1"/>
  <c r="BI267" i="3"/>
  <c r="BL267" i="3" s="1"/>
  <c r="BI554" i="3"/>
  <c r="BL554" i="3" s="1"/>
  <c r="BI259" i="3"/>
  <c r="BL259" i="3" s="1"/>
  <c r="BI546" i="3"/>
  <c r="BL546" i="3" s="1"/>
  <c r="BI251" i="3"/>
  <c r="BL251" i="3" s="1"/>
  <c r="BI538" i="3"/>
  <c r="BL538" i="3" s="1"/>
  <c r="BI243" i="3"/>
  <c r="BL243" i="3" s="1"/>
  <c r="BI530" i="3"/>
  <c r="BL530" i="3" s="1"/>
  <c r="BI235" i="3"/>
  <c r="BL235" i="3" s="1"/>
  <c r="BI522" i="3"/>
  <c r="BL522" i="3" s="1"/>
  <c r="BI227" i="3"/>
  <c r="BL227" i="3" s="1"/>
  <c r="BI514" i="3"/>
  <c r="BL514" i="3" s="1"/>
  <c r="BI219" i="3"/>
  <c r="BL219" i="3" s="1"/>
  <c r="BI506" i="3"/>
  <c r="BL506" i="3" s="1"/>
  <c r="BI211" i="3"/>
  <c r="BL211" i="3" s="1"/>
  <c r="BI498" i="3"/>
  <c r="BL498" i="3" s="1"/>
  <c r="BI203" i="3"/>
  <c r="BL203" i="3" s="1"/>
  <c r="BI490" i="3"/>
  <c r="BL490" i="3" s="1"/>
  <c r="BI195" i="3"/>
  <c r="BL195" i="3" s="1"/>
  <c r="BI377" i="3"/>
  <c r="BL377" i="3" s="1"/>
  <c r="BI482" i="3"/>
  <c r="BL482" i="3" s="1"/>
  <c r="BI187" i="3"/>
  <c r="BL187" i="3" s="1"/>
  <c r="BI369" i="3"/>
  <c r="BL369" i="3" s="1"/>
  <c r="BI474" i="3"/>
  <c r="BL474" i="3" s="1"/>
  <c r="BI179" i="3"/>
  <c r="BL179" i="3" s="1"/>
  <c r="BI466" i="3"/>
  <c r="BL466" i="3" s="1"/>
  <c r="BI171" i="3"/>
  <c r="BL171" i="3" s="1"/>
  <c r="BI458" i="3"/>
  <c r="BL458" i="3" s="1"/>
  <c r="BI163" i="3"/>
  <c r="BL163" i="3" s="1"/>
  <c r="BI450" i="3"/>
  <c r="BL450" i="3" s="1"/>
  <c r="BI155" i="3"/>
  <c r="BL155" i="3" s="1"/>
  <c r="BI442" i="3"/>
  <c r="BL442" i="3" s="1"/>
  <c r="BI147" i="3"/>
  <c r="BL147" i="3" s="1"/>
  <c r="BI434" i="3"/>
  <c r="BL434" i="3" s="1"/>
  <c r="BI139" i="3"/>
  <c r="BL139" i="3" s="1"/>
  <c r="BI426" i="3"/>
  <c r="BL426" i="3" s="1"/>
  <c r="BI131" i="3"/>
  <c r="BL131" i="3" s="1"/>
  <c r="BI418" i="3"/>
  <c r="BL418" i="3" s="1"/>
  <c r="BI123" i="3"/>
  <c r="BL123" i="3" s="1"/>
  <c r="BI410" i="3"/>
  <c r="BL410" i="3" s="1"/>
  <c r="BI115" i="3"/>
  <c r="BL115" i="3" s="1"/>
  <c r="BI402" i="3"/>
  <c r="BL402" i="3" s="1"/>
  <c r="BI107" i="3"/>
  <c r="BL107" i="3" s="1"/>
  <c r="BI394" i="3"/>
  <c r="BL394" i="3" s="1"/>
  <c r="BI99" i="3"/>
  <c r="BL99" i="3" s="1"/>
  <c r="BI386" i="3"/>
  <c r="BL386" i="3" s="1"/>
  <c r="BI91" i="3"/>
  <c r="BL91" i="3" s="1"/>
  <c r="BD951" i="3"/>
  <c r="BG951" i="3" s="1"/>
  <c r="BD695" i="3"/>
  <c r="BG695" i="3" s="1"/>
  <c r="BD439" i="3"/>
  <c r="BG439" i="3" s="1"/>
  <c r="BI956" i="3"/>
  <c r="BL956" i="3" s="1"/>
  <c r="BI700" i="3"/>
  <c r="BL700" i="3" s="1"/>
  <c r="Q56" i="2"/>
  <c r="AT57" i="3" s="1"/>
  <c r="AW57" i="3" s="1"/>
  <c r="Q40" i="2"/>
  <c r="AT41" i="3" s="1"/>
  <c r="AW41" i="3" s="1"/>
  <c r="Q24" i="2"/>
  <c r="AT25" i="3" s="1"/>
  <c r="AW25" i="3" s="1"/>
  <c r="S352" i="2"/>
  <c r="AY353" i="3"/>
  <c r="BB353" i="3" s="1"/>
  <c r="S328" i="2"/>
  <c r="AY329" i="3"/>
  <c r="BB329" i="3" s="1"/>
  <c r="S304" i="2"/>
  <c r="AY305" i="3"/>
  <c r="BB305" i="3" s="1"/>
  <c r="S280" i="2"/>
  <c r="AY281" i="3"/>
  <c r="BB281" i="3" s="1"/>
  <c r="S256" i="2"/>
  <c r="AY257" i="3"/>
  <c r="BB257" i="3" s="1"/>
  <c r="S232" i="2"/>
  <c r="AY233" i="3"/>
  <c r="BB233" i="3" s="1"/>
  <c r="S208" i="2"/>
  <c r="AY209" i="3"/>
  <c r="BB209" i="3" s="1"/>
  <c r="S184" i="2"/>
  <c r="AY185" i="3"/>
  <c r="BB185" i="3" s="1"/>
  <c r="S152" i="2"/>
  <c r="AY153" i="3"/>
  <c r="BB153" i="3" s="1"/>
  <c r="S120" i="2"/>
  <c r="AY121" i="3"/>
  <c r="BB121" i="3" s="1"/>
  <c r="S72" i="2"/>
  <c r="AY73" i="3"/>
  <c r="BB73" i="3" s="1"/>
  <c r="W308" i="2"/>
  <c r="BI309" i="3"/>
  <c r="BL309" i="3" s="1"/>
  <c r="W244" i="2"/>
  <c r="BI245" i="3"/>
  <c r="BL245" i="3" s="1"/>
  <c r="W164" i="2"/>
  <c r="BI165" i="3"/>
  <c r="BL165" i="3" s="1"/>
  <c r="W116" i="2"/>
  <c r="BI117" i="3"/>
  <c r="BL117" i="3" s="1"/>
  <c r="W68" i="2"/>
  <c r="BI69" i="3"/>
  <c r="BL69" i="3" s="1"/>
  <c r="W20" i="2"/>
  <c r="BI21" i="3"/>
  <c r="BL21" i="3" s="1"/>
  <c r="BI1020" i="3"/>
  <c r="BL1020" i="3" s="1"/>
  <c r="O344" i="2"/>
  <c r="AO345" i="3" s="1"/>
  <c r="AR345" i="3" s="1"/>
  <c r="O328" i="2"/>
  <c r="O304" i="2"/>
  <c r="AO600" i="3" s="1"/>
  <c r="AR600" i="3" s="1"/>
  <c r="O296" i="2"/>
  <c r="AO592" i="3" s="1"/>
  <c r="AR592" i="3" s="1"/>
  <c r="O272" i="2"/>
  <c r="AO273" i="3" s="1"/>
  <c r="AR273" i="3" s="1"/>
  <c r="O248" i="2"/>
  <c r="O224" i="2"/>
  <c r="AO520" i="3" s="1"/>
  <c r="AR520" i="3" s="1"/>
  <c r="O200" i="2"/>
  <c r="AO201" i="3"/>
  <c r="AR201" i="3" s="1"/>
  <c r="O168" i="2"/>
  <c r="AO169" i="3" s="1"/>
  <c r="AR169" i="3" s="1"/>
  <c r="O136" i="2"/>
  <c r="AO137" i="3" s="1"/>
  <c r="AR137" i="3" s="1"/>
  <c r="O64" i="2"/>
  <c r="AO65" i="3" s="1"/>
  <c r="AR65" i="3" s="1"/>
  <c r="O56" i="2"/>
  <c r="AO57" i="3" s="1"/>
  <c r="AR57" i="3" s="1"/>
  <c r="O40" i="2"/>
  <c r="AO41" i="3" s="1"/>
  <c r="AR41" i="3" s="1"/>
  <c r="AY655" i="3"/>
  <c r="BB655" i="3" s="1"/>
  <c r="AY360" i="3"/>
  <c r="BB360" i="3" s="1"/>
  <c r="AY487" i="3"/>
  <c r="BB487" i="3" s="1"/>
  <c r="AY192" i="3"/>
  <c r="BB192" i="3" s="1"/>
  <c r="AY374" i="3"/>
  <c r="BB374" i="3" s="1"/>
  <c r="U311" i="2"/>
  <c r="BD312" i="3"/>
  <c r="BG312" i="3" s="1"/>
  <c r="U263" i="2"/>
  <c r="BD264" i="3"/>
  <c r="BG264" i="3" s="1"/>
  <c r="U247" i="2"/>
  <c r="BD248" i="3"/>
  <c r="BG248" i="3" s="1"/>
  <c r="U231" i="2"/>
  <c r="BD232" i="3"/>
  <c r="BG232" i="3" s="1"/>
  <c r="U215" i="2"/>
  <c r="BD216" i="3"/>
  <c r="BG216" i="3" s="1"/>
  <c r="U199" i="2"/>
  <c r="BD200" i="3"/>
  <c r="BG200" i="3" s="1"/>
  <c r="U183" i="2"/>
  <c r="BD184" i="3"/>
  <c r="BG184" i="3" s="1"/>
  <c r="U167" i="2"/>
  <c r="BD168" i="3"/>
  <c r="BG168" i="3" s="1"/>
  <c r="BD455" i="3"/>
  <c r="BG455" i="3" s="1"/>
  <c r="BD160" i="3"/>
  <c r="BG160" i="3" s="1"/>
  <c r="U135" i="2"/>
  <c r="BD136" i="3"/>
  <c r="BG136" i="3" s="1"/>
  <c r="U119" i="2"/>
  <c r="BD120" i="3"/>
  <c r="BG120" i="3" s="1"/>
  <c r="BD391" i="3"/>
  <c r="BG391" i="3" s="1"/>
  <c r="BD96" i="3"/>
  <c r="BG96" i="3" s="1"/>
  <c r="U55" i="2"/>
  <c r="BD56" i="3"/>
  <c r="BG56" i="3" s="1"/>
  <c r="U39" i="2"/>
  <c r="BD40" i="3"/>
  <c r="BG40" i="3" s="1"/>
  <c r="BI651" i="3"/>
  <c r="BL651" i="3" s="1"/>
  <c r="BI356" i="3"/>
  <c r="BL356" i="3" s="1"/>
  <c r="W331" i="2"/>
  <c r="BI332" i="3"/>
  <c r="BL332" i="3" s="1"/>
  <c r="W299" i="2"/>
  <c r="BI300" i="3"/>
  <c r="BL300" i="3" s="1"/>
  <c r="BI571" i="3"/>
  <c r="BL571" i="3" s="1"/>
  <c r="BI276" i="3"/>
  <c r="BL276" i="3" s="1"/>
  <c r="BI555" i="3"/>
  <c r="BL555" i="3" s="1"/>
  <c r="BI260" i="3"/>
  <c r="BL260" i="3" s="1"/>
  <c r="W203" i="2"/>
  <c r="BI204" i="3"/>
  <c r="BL204" i="3" s="1"/>
  <c r="W187" i="2"/>
  <c r="BI188" i="3"/>
  <c r="BL188" i="3" s="1"/>
  <c r="BI370" i="3"/>
  <c r="BL370" i="3" s="1"/>
  <c r="W171" i="2"/>
  <c r="BI172" i="3"/>
  <c r="BL172" i="3" s="1"/>
  <c r="W91" i="2"/>
  <c r="BI92" i="3"/>
  <c r="BL92" i="3" s="1"/>
  <c r="W43" i="2"/>
  <c r="BI44" i="3"/>
  <c r="BL44" i="3" s="1"/>
  <c r="BD727" i="3"/>
  <c r="BG727" i="3" s="1"/>
  <c r="BI755" i="3"/>
  <c r="BL755" i="3" s="1"/>
  <c r="O366" i="2"/>
  <c r="AO662" i="3" s="1"/>
  <c r="AR662" i="3" s="1"/>
  <c r="O358" i="2"/>
  <c r="AO359" i="3" s="1"/>
  <c r="AR359" i="3" s="1"/>
  <c r="O350" i="2"/>
  <c r="AO351" i="3" s="1"/>
  <c r="AR351" i="3" s="1"/>
  <c r="O342" i="2"/>
  <c r="AO343" i="3" s="1"/>
  <c r="AR343" i="3" s="1"/>
  <c r="O334" i="2"/>
  <c r="AO630" i="3" s="1"/>
  <c r="AR630" i="3" s="1"/>
  <c r="AO335" i="3"/>
  <c r="AR335" i="3" s="1"/>
  <c r="O326" i="2"/>
  <c r="AO622" i="3" s="1"/>
  <c r="AR622" i="3" s="1"/>
  <c r="AO327" i="3"/>
  <c r="AR327" i="3" s="1"/>
  <c r="O318" i="2"/>
  <c r="AO319" i="3" s="1"/>
  <c r="AR319" i="3" s="1"/>
  <c r="O302" i="2"/>
  <c r="O294" i="2"/>
  <c r="AO590" i="3" s="1"/>
  <c r="AR590" i="3" s="1"/>
  <c r="O286" i="2"/>
  <c r="AO582" i="3" s="1"/>
  <c r="AR582" i="3" s="1"/>
  <c r="O278" i="2"/>
  <c r="AO279" i="3" s="1"/>
  <c r="AR279" i="3" s="1"/>
  <c r="O270" i="2"/>
  <c r="O262" i="2"/>
  <c r="AO558" i="3" s="1"/>
  <c r="AR558" i="3" s="1"/>
  <c r="O254" i="2"/>
  <c r="AO255" i="3" s="1"/>
  <c r="AR255" i="3" s="1"/>
  <c r="O246" i="2"/>
  <c r="AO247" i="3" s="1"/>
  <c r="AR247" i="3" s="1"/>
  <c r="O238" i="2"/>
  <c r="AO239" i="3" s="1"/>
  <c r="AR239" i="3" s="1"/>
  <c r="O230" i="2"/>
  <c r="AO526" i="3" s="1"/>
  <c r="AR526" i="3" s="1"/>
  <c r="O222" i="2"/>
  <c r="AO518" i="3" s="1"/>
  <c r="AR518" i="3" s="1"/>
  <c r="AO223" i="3"/>
  <c r="AR223" i="3" s="1"/>
  <c r="O214" i="2"/>
  <c r="AO215" i="3" s="1"/>
  <c r="AR215" i="3" s="1"/>
  <c r="O206" i="2"/>
  <c r="AO207" i="3" s="1"/>
  <c r="AR207" i="3" s="1"/>
  <c r="O198" i="2"/>
  <c r="AO199" i="3"/>
  <c r="AR199" i="3" s="1"/>
  <c r="O190" i="2"/>
  <c r="AO191" i="3" s="1"/>
  <c r="AR191" i="3" s="1"/>
  <c r="O182" i="2"/>
  <c r="AO478" i="3" s="1"/>
  <c r="AR478" i="3" s="1"/>
  <c r="O174" i="2"/>
  <c r="AO175" i="3" s="1"/>
  <c r="AR175" i="3" s="1"/>
  <c r="O166" i="2"/>
  <c r="AO462" i="3" s="1"/>
  <c r="AR462" i="3" s="1"/>
  <c r="O118" i="2"/>
  <c r="Q365" i="2"/>
  <c r="AT366" i="3" s="1"/>
  <c r="AW366" i="3" s="1"/>
  <c r="Q357" i="2"/>
  <c r="Q349" i="2"/>
  <c r="AT350" i="3" s="1"/>
  <c r="AW350" i="3" s="1"/>
  <c r="Q341" i="2"/>
  <c r="AT342" i="3"/>
  <c r="AW342" i="3" s="1"/>
  <c r="Q333" i="2"/>
  <c r="AT334" i="3" s="1"/>
  <c r="AW334" i="3" s="1"/>
  <c r="Q325" i="2"/>
  <c r="AT326" i="3" s="1"/>
  <c r="AW326" i="3" s="1"/>
  <c r="Q317" i="2"/>
  <c r="AT318" i="3" s="1"/>
  <c r="AW318" i="3" s="1"/>
  <c r="Q309" i="2"/>
  <c r="AT310" i="3" s="1"/>
  <c r="AW310" i="3" s="1"/>
  <c r="Q301" i="2"/>
  <c r="AT597" i="3" s="1"/>
  <c r="AW597" i="3" s="1"/>
  <c r="AT302" i="3"/>
  <c r="AW302" i="3" s="1"/>
  <c r="Q293" i="2"/>
  <c r="AT294" i="3" s="1"/>
  <c r="AW294" i="3" s="1"/>
  <c r="Q285" i="2"/>
  <c r="AT286" i="3" s="1"/>
  <c r="AW286" i="3" s="1"/>
  <c r="Q277" i="2"/>
  <c r="AT278" i="3" s="1"/>
  <c r="AW278" i="3" s="1"/>
  <c r="Q269" i="2"/>
  <c r="AT270" i="3" s="1"/>
  <c r="AW270" i="3" s="1"/>
  <c r="Q261" i="2"/>
  <c r="AT262" i="3" s="1"/>
  <c r="AW262" i="3" s="1"/>
  <c r="Q253" i="2"/>
  <c r="AT549" i="3" s="1"/>
  <c r="AW549" i="3" s="1"/>
  <c r="AT254" i="3"/>
  <c r="AW254" i="3" s="1"/>
  <c r="Q245" i="2"/>
  <c r="AT541" i="3" s="1"/>
  <c r="AW541" i="3" s="1"/>
  <c r="AT246" i="3"/>
  <c r="AW246" i="3" s="1"/>
  <c r="Q237" i="2"/>
  <c r="AT238" i="3" s="1"/>
  <c r="AW238" i="3" s="1"/>
  <c r="Q229" i="2"/>
  <c r="AT230" i="3" s="1"/>
  <c r="AW230" i="3" s="1"/>
  <c r="Q221" i="2"/>
  <c r="AT222" i="3" s="1"/>
  <c r="AW222" i="3" s="1"/>
  <c r="Q213" i="2"/>
  <c r="AT214" i="3"/>
  <c r="AW214" i="3" s="1"/>
  <c r="Q205" i="2"/>
  <c r="AT206" i="3" s="1"/>
  <c r="AW206" i="3" s="1"/>
  <c r="Q197" i="2"/>
  <c r="AT198" i="3" s="1"/>
  <c r="AW198" i="3" s="1"/>
  <c r="Q189" i="2"/>
  <c r="AT372" i="3" s="1"/>
  <c r="AW372" i="3" s="1"/>
  <c r="Q181" i="2"/>
  <c r="AT182" i="3"/>
  <c r="AW182" i="3" s="1"/>
  <c r="Q173" i="2"/>
  <c r="AT469" i="3" s="1"/>
  <c r="AW469" i="3" s="1"/>
  <c r="AT174" i="3"/>
  <c r="AW174" i="3" s="1"/>
  <c r="Q165" i="2"/>
  <c r="AT461" i="3" s="1"/>
  <c r="AW461" i="3" s="1"/>
  <c r="AT166" i="3"/>
  <c r="AW166" i="3" s="1"/>
  <c r="Q157" i="2"/>
  <c r="AT158" i="3" s="1"/>
  <c r="AW158" i="3" s="1"/>
  <c r="Q149" i="2"/>
  <c r="AT150" i="3" s="1"/>
  <c r="AW150" i="3" s="1"/>
  <c r="Q141" i="2"/>
  <c r="AT437" i="3" s="1"/>
  <c r="AW437" i="3" s="1"/>
  <c r="AT142" i="3"/>
  <c r="AW142" i="3" s="1"/>
  <c r="Q133" i="2"/>
  <c r="AT134" i="3"/>
  <c r="AW134" i="3" s="1"/>
  <c r="Q125" i="2"/>
  <c r="AT126" i="3" s="1"/>
  <c r="AW126" i="3" s="1"/>
  <c r="Q117" i="2"/>
  <c r="AT118" i="3" s="1"/>
  <c r="AW118" i="3" s="1"/>
  <c r="Q109" i="2"/>
  <c r="AT110" i="3" s="1"/>
  <c r="AW110" i="3" s="1"/>
  <c r="Q101" i="2"/>
  <c r="AT102" i="3" s="1"/>
  <c r="AW102" i="3" s="1"/>
  <c r="Q93" i="2"/>
  <c r="AT94" i="3" s="1"/>
  <c r="AW94" i="3" s="1"/>
  <c r="Q85" i="2"/>
  <c r="AT86" i="3" s="1"/>
  <c r="AW86" i="3" s="1"/>
  <c r="Q77" i="2"/>
  <c r="AT78" i="3" s="1"/>
  <c r="AW78" i="3" s="1"/>
  <c r="Q69" i="2"/>
  <c r="AT70" i="3" s="1"/>
  <c r="AW70" i="3" s="1"/>
  <c r="Q61" i="2"/>
  <c r="AT62" i="3" s="1"/>
  <c r="AW62" i="3" s="1"/>
  <c r="Q53" i="2"/>
  <c r="AT54" i="3" s="1"/>
  <c r="AW54" i="3" s="1"/>
  <c r="Q45" i="2"/>
  <c r="AT46" i="3" s="1"/>
  <c r="AW46" i="3" s="1"/>
  <c r="Q37" i="2"/>
  <c r="AT38" i="3" s="1"/>
  <c r="AW38" i="3" s="1"/>
  <c r="Q29" i="2"/>
  <c r="AT30" i="3" s="1"/>
  <c r="AW30" i="3" s="1"/>
  <c r="Q21" i="2"/>
  <c r="AT22" i="3" s="1"/>
  <c r="AW22" i="3" s="1"/>
  <c r="Q13" i="2"/>
  <c r="AT14" i="3" s="1"/>
  <c r="AW14" i="3" s="1"/>
  <c r="AY190" i="3"/>
  <c r="BB190" i="3" s="1"/>
  <c r="AY372" i="3"/>
  <c r="BB372" i="3" s="1"/>
  <c r="S21" i="2"/>
  <c r="AY22" i="3"/>
  <c r="BB22" i="3" s="1"/>
  <c r="S13" i="2"/>
  <c r="AY14" i="3"/>
  <c r="BB14" i="3" s="1"/>
  <c r="BD190" i="3"/>
  <c r="BG190" i="3" s="1"/>
  <c r="BD372" i="3"/>
  <c r="BG372" i="3" s="1"/>
  <c r="U21" i="2"/>
  <c r="BD22" i="3"/>
  <c r="BG22" i="3" s="1"/>
  <c r="U175" i="2"/>
  <c r="BI657" i="3"/>
  <c r="BL657" i="3" s="1"/>
  <c r="BI362" i="3"/>
  <c r="BL362" i="3" s="1"/>
  <c r="BI649" i="3"/>
  <c r="BL649" i="3" s="1"/>
  <c r="BI354" i="3"/>
  <c r="BL354" i="3" s="1"/>
  <c r="BI641" i="3"/>
  <c r="BL641" i="3" s="1"/>
  <c r="BI346" i="3"/>
  <c r="BL346" i="3" s="1"/>
  <c r="BI633" i="3"/>
  <c r="BL633" i="3" s="1"/>
  <c r="BI338" i="3"/>
  <c r="BL338" i="3" s="1"/>
  <c r="BI625" i="3"/>
  <c r="BL625" i="3" s="1"/>
  <c r="BI330" i="3"/>
  <c r="BL330" i="3" s="1"/>
  <c r="BI617" i="3"/>
  <c r="BL617" i="3" s="1"/>
  <c r="BI322" i="3"/>
  <c r="BL322" i="3" s="1"/>
  <c r="BI609" i="3"/>
  <c r="BL609" i="3" s="1"/>
  <c r="BI314" i="3"/>
  <c r="BL314" i="3" s="1"/>
  <c r="BI601" i="3"/>
  <c r="BL601" i="3" s="1"/>
  <c r="BI306" i="3"/>
  <c r="BL306" i="3" s="1"/>
  <c r="BI593" i="3"/>
  <c r="BL593" i="3" s="1"/>
  <c r="BI298" i="3"/>
  <c r="BL298" i="3" s="1"/>
  <c r="BI585" i="3"/>
  <c r="BL585" i="3" s="1"/>
  <c r="BI290" i="3"/>
  <c r="BL290" i="3" s="1"/>
  <c r="BI577" i="3"/>
  <c r="BL577" i="3" s="1"/>
  <c r="BI282" i="3"/>
  <c r="BL282" i="3" s="1"/>
  <c r="BI569" i="3"/>
  <c r="BL569" i="3" s="1"/>
  <c r="BI274" i="3"/>
  <c r="BL274" i="3" s="1"/>
  <c r="BI561" i="3"/>
  <c r="BL561" i="3" s="1"/>
  <c r="BI266" i="3"/>
  <c r="BL266" i="3" s="1"/>
  <c r="BI553" i="3"/>
  <c r="BL553" i="3" s="1"/>
  <c r="BI258" i="3"/>
  <c r="BL258" i="3" s="1"/>
  <c r="BI545" i="3"/>
  <c r="BL545" i="3" s="1"/>
  <c r="BI250" i="3"/>
  <c r="BL250" i="3" s="1"/>
  <c r="BI537" i="3"/>
  <c r="BL537" i="3" s="1"/>
  <c r="BI242" i="3"/>
  <c r="BL242" i="3" s="1"/>
  <c r="BI529" i="3"/>
  <c r="BL529" i="3" s="1"/>
  <c r="BI234" i="3"/>
  <c r="BL234" i="3" s="1"/>
  <c r="BI521" i="3"/>
  <c r="BL521" i="3" s="1"/>
  <c r="BI226" i="3"/>
  <c r="BL226" i="3" s="1"/>
  <c r="BI513" i="3"/>
  <c r="BL513" i="3" s="1"/>
  <c r="BI218" i="3"/>
  <c r="BL218" i="3" s="1"/>
  <c r="BI505" i="3"/>
  <c r="BL505" i="3" s="1"/>
  <c r="BI210" i="3"/>
  <c r="BL210" i="3" s="1"/>
  <c r="BI497" i="3"/>
  <c r="BL497" i="3" s="1"/>
  <c r="BI202" i="3"/>
  <c r="BL202" i="3" s="1"/>
  <c r="BI489" i="3"/>
  <c r="BL489" i="3" s="1"/>
  <c r="BI194" i="3"/>
  <c r="BL194" i="3" s="1"/>
  <c r="BI376" i="3"/>
  <c r="BL376" i="3" s="1"/>
  <c r="BI481" i="3"/>
  <c r="BL481" i="3" s="1"/>
  <c r="BI186" i="3"/>
  <c r="BL186" i="3" s="1"/>
  <c r="BI473" i="3"/>
  <c r="BL473" i="3" s="1"/>
  <c r="BI178" i="3"/>
  <c r="BL178" i="3" s="1"/>
  <c r="BI465" i="3"/>
  <c r="BL465" i="3" s="1"/>
  <c r="BI170" i="3"/>
  <c r="BL170" i="3" s="1"/>
  <c r="BI457" i="3"/>
  <c r="BL457" i="3" s="1"/>
  <c r="BI162" i="3"/>
  <c r="BL162" i="3" s="1"/>
  <c r="BI449" i="3"/>
  <c r="BL449" i="3" s="1"/>
  <c r="BI154" i="3"/>
  <c r="BL154" i="3" s="1"/>
  <c r="BI441" i="3"/>
  <c r="BL441" i="3" s="1"/>
  <c r="BI146" i="3"/>
  <c r="BL146" i="3" s="1"/>
  <c r="BI433" i="3"/>
  <c r="BL433" i="3" s="1"/>
  <c r="BI138" i="3"/>
  <c r="BL138" i="3" s="1"/>
  <c r="BI425" i="3"/>
  <c r="BL425" i="3" s="1"/>
  <c r="BI130" i="3"/>
  <c r="BL130" i="3" s="1"/>
  <c r="BI417" i="3"/>
  <c r="BL417" i="3" s="1"/>
  <c r="BI122" i="3"/>
  <c r="BL122" i="3" s="1"/>
  <c r="BI409" i="3"/>
  <c r="BL409" i="3" s="1"/>
  <c r="BI114" i="3"/>
  <c r="BL114" i="3" s="1"/>
  <c r="BI401" i="3"/>
  <c r="BL401" i="3" s="1"/>
  <c r="BI106" i="3"/>
  <c r="BL106" i="3" s="1"/>
  <c r="BI393" i="3"/>
  <c r="BL393" i="3" s="1"/>
  <c r="BI98" i="3"/>
  <c r="BL98" i="3" s="1"/>
  <c r="BI385" i="3"/>
  <c r="BL385" i="3" s="1"/>
  <c r="BI90" i="3"/>
  <c r="BL90" i="3" s="1"/>
  <c r="W11" i="2"/>
  <c r="BD663" i="3"/>
  <c r="BG663" i="3" s="1"/>
  <c r="BD407" i="3"/>
  <c r="BG407" i="3" s="1"/>
  <c r="BI947" i="3"/>
  <c r="BL947" i="3" s="1"/>
  <c r="BI691" i="3"/>
  <c r="BL691" i="3" s="1"/>
  <c r="Q64" i="2"/>
  <c r="AT65" i="3" s="1"/>
  <c r="AW65" i="3" s="1"/>
  <c r="Q48" i="2"/>
  <c r="AT49" i="3" s="1"/>
  <c r="AW49" i="3" s="1"/>
  <c r="Q32" i="2"/>
  <c r="AT33" i="3"/>
  <c r="AW33" i="3" s="1"/>
  <c r="Q16" i="2"/>
  <c r="AT17" i="3" s="1"/>
  <c r="AW17" i="3" s="1"/>
  <c r="S344" i="2"/>
  <c r="AY345" i="3"/>
  <c r="BB345" i="3" s="1"/>
  <c r="S320" i="2"/>
  <c r="AY321" i="3"/>
  <c r="BB321" i="3" s="1"/>
  <c r="S296" i="2"/>
  <c r="AY297" i="3"/>
  <c r="BB297" i="3" s="1"/>
  <c r="S272" i="2"/>
  <c r="AY273" i="3"/>
  <c r="BB273" i="3" s="1"/>
  <c r="S248" i="2"/>
  <c r="AY249" i="3"/>
  <c r="BB249" i="3" s="1"/>
  <c r="S224" i="2"/>
  <c r="AY225" i="3"/>
  <c r="BB225" i="3" s="1"/>
  <c r="S200" i="2"/>
  <c r="AY201" i="3"/>
  <c r="BB201" i="3" s="1"/>
  <c r="S176" i="2"/>
  <c r="AY177" i="3"/>
  <c r="BB177" i="3" s="1"/>
  <c r="S160" i="2"/>
  <c r="AY161" i="3"/>
  <c r="BB161" i="3" s="1"/>
  <c r="S136" i="2"/>
  <c r="AY137" i="3"/>
  <c r="BB137" i="3" s="1"/>
  <c r="S112" i="2"/>
  <c r="AY113" i="3"/>
  <c r="BB113" i="3" s="1"/>
  <c r="S96" i="2"/>
  <c r="AY97" i="3"/>
  <c r="BB97" i="3" s="1"/>
  <c r="S80" i="2"/>
  <c r="AY81" i="3"/>
  <c r="BB81" i="3" s="1"/>
  <c r="S64" i="2"/>
  <c r="AY65" i="3"/>
  <c r="BB65" i="3" s="1"/>
  <c r="S48" i="2"/>
  <c r="AY49" i="3"/>
  <c r="BB49" i="3" s="1"/>
  <c r="S32" i="2"/>
  <c r="AY33" i="3"/>
  <c r="BB33" i="3" s="1"/>
  <c r="BD193" i="3"/>
  <c r="BG193" i="3" s="1"/>
  <c r="BD375" i="3"/>
  <c r="BG375" i="3" s="1"/>
  <c r="W292" i="2"/>
  <c r="BI293" i="3"/>
  <c r="BL293" i="3" s="1"/>
  <c r="W276" i="2"/>
  <c r="BI277" i="3"/>
  <c r="BL277" i="3" s="1"/>
  <c r="W260" i="2"/>
  <c r="BI261" i="3"/>
  <c r="BL261" i="3" s="1"/>
  <c r="W228" i="2"/>
  <c r="BI229" i="3"/>
  <c r="BL229" i="3" s="1"/>
  <c r="W212" i="2"/>
  <c r="BI213" i="3"/>
  <c r="BL213" i="3" s="1"/>
  <c r="BI189" i="3"/>
  <c r="BL189" i="3" s="1"/>
  <c r="BI371" i="3"/>
  <c r="BL371" i="3" s="1"/>
  <c r="W148" i="2"/>
  <c r="BI149" i="3"/>
  <c r="BL149" i="3" s="1"/>
  <c r="W132" i="2"/>
  <c r="BI133" i="3"/>
  <c r="BL133" i="3" s="1"/>
  <c r="W52" i="2"/>
  <c r="BI53" i="3"/>
  <c r="BL53" i="3" s="1"/>
  <c r="W36" i="2"/>
  <c r="BI37" i="3"/>
  <c r="BL37" i="3" s="1"/>
  <c r="BI764" i="3"/>
  <c r="BL764" i="3" s="1"/>
  <c r="O320" i="2"/>
  <c r="O264" i="2"/>
  <c r="AO560" i="3" s="1"/>
  <c r="AR560" i="3" s="1"/>
  <c r="O240" i="2"/>
  <c r="AO241" i="3" s="1"/>
  <c r="AR241" i="3" s="1"/>
  <c r="O216" i="2"/>
  <c r="AO217" i="3" s="1"/>
  <c r="AR217" i="3" s="1"/>
  <c r="O192" i="2"/>
  <c r="AO375" i="3" s="1"/>
  <c r="AR375" i="3" s="1"/>
  <c r="O176" i="2"/>
  <c r="AO472" i="3" s="1"/>
  <c r="AR472" i="3" s="1"/>
  <c r="O152" i="2"/>
  <c r="O128" i="2"/>
  <c r="AO129" i="3" s="1"/>
  <c r="AR129" i="3" s="1"/>
  <c r="O112" i="2"/>
  <c r="AO408" i="3" s="1"/>
  <c r="AR408" i="3" s="1"/>
  <c r="O96" i="2"/>
  <c r="AO392" i="3" s="1"/>
  <c r="AR392" i="3" s="1"/>
  <c r="O72" i="2"/>
  <c r="AO73" i="3" s="1"/>
  <c r="AR73" i="3" s="1"/>
  <c r="O24" i="2"/>
  <c r="AO25" i="3" s="1"/>
  <c r="AR25" i="3" s="1"/>
  <c r="Q39" i="2"/>
  <c r="AT40" i="3" s="1"/>
  <c r="AW40" i="3" s="1"/>
  <c r="AY663" i="3"/>
  <c r="BB663" i="3" s="1"/>
  <c r="AY368" i="3"/>
  <c r="BB368" i="3" s="1"/>
  <c r="AY631" i="3"/>
  <c r="BB631" i="3" s="1"/>
  <c r="AY336" i="3"/>
  <c r="BB336" i="3" s="1"/>
  <c r="AY599" i="3"/>
  <c r="BB599" i="3" s="1"/>
  <c r="AY304" i="3"/>
  <c r="BB304" i="3" s="1"/>
  <c r="AY583" i="3"/>
  <c r="BB583" i="3" s="1"/>
  <c r="AY288" i="3"/>
  <c r="BB288" i="3" s="1"/>
  <c r="AY519" i="3"/>
  <c r="BB519" i="3" s="1"/>
  <c r="AY224" i="3"/>
  <c r="BB224" i="3" s="1"/>
  <c r="AY463" i="3"/>
  <c r="BB463" i="3" s="1"/>
  <c r="AY168" i="3"/>
  <c r="BB168" i="3" s="1"/>
  <c r="AY431" i="3"/>
  <c r="BB431" i="3" s="1"/>
  <c r="AY136" i="3"/>
  <c r="BB136" i="3" s="1"/>
  <c r="AY407" i="3"/>
  <c r="BB407" i="3" s="1"/>
  <c r="AY112" i="3"/>
  <c r="BB112" i="3" s="1"/>
  <c r="S23" i="2"/>
  <c r="AY24" i="3"/>
  <c r="BB24" i="3" s="1"/>
  <c r="S15" i="2"/>
  <c r="AY16" i="3"/>
  <c r="BB16" i="3" s="1"/>
  <c r="BD647" i="3"/>
  <c r="BG647" i="3" s="1"/>
  <c r="BD352" i="3"/>
  <c r="BG352" i="3" s="1"/>
  <c r="U327" i="2"/>
  <c r="BD328" i="3"/>
  <c r="BG328" i="3" s="1"/>
  <c r="BD615" i="3"/>
  <c r="BG615" i="3" s="1"/>
  <c r="BD320" i="3"/>
  <c r="BG320" i="3" s="1"/>
  <c r="U295" i="2"/>
  <c r="BD296" i="3"/>
  <c r="BG296" i="3" s="1"/>
  <c r="U279" i="2"/>
  <c r="BD280" i="3"/>
  <c r="BG280" i="3" s="1"/>
  <c r="BD519" i="3"/>
  <c r="BG519" i="3" s="1"/>
  <c r="BD224" i="3"/>
  <c r="BG224" i="3" s="1"/>
  <c r="BD487" i="3"/>
  <c r="BG487" i="3" s="1"/>
  <c r="BD374" i="3"/>
  <c r="BG374" i="3" s="1"/>
  <c r="BD192" i="3"/>
  <c r="BG192" i="3" s="1"/>
  <c r="BD423" i="3"/>
  <c r="BG423" i="3" s="1"/>
  <c r="BD128" i="3"/>
  <c r="BG128" i="3" s="1"/>
  <c r="U23" i="2"/>
  <c r="BD24" i="3"/>
  <c r="BG24" i="3" s="1"/>
  <c r="BI643" i="3"/>
  <c r="BL643" i="3" s="1"/>
  <c r="BI348" i="3"/>
  <c r="BL348" i="3" s="1"/>
  <c r="BI619" i="3"/>
  <c r="BL619" i="3" s="1"/>
  <c r="BI324" i="3"/>
  <c r="BL324" i="3" s="1"/>
  <c r="BI603" i="3"/>
  <c r="BL603" i="3" s="1"/>
  <c r="BI308" i="3"/>
  <c r="BL308" i="3" s="1"/>
  <c r="BI587" i="3"/>
  <c r="BL587" i="3" s="1"/>
  <c r="BI292" i="3"/>
  <c r="BL292" i="3" s="1"/>
  <c r="W267" i="2"/>
  <c r="BI268" i="3"/>
  <c r="BL268" i="3" s="1"/>
  <c r="BI547" i="3"/>
  <c r="BL547" i="3" s="1"/>
  <c r="BI252" i="3"/>
  <c r="BL252" i="3" s="1"/>
  <c r="BI196" i="3"/>
  <c r="BL196" i="3" s="1"/>
  <c r="BI378" i="3"/>
  <c r="BL378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75" i="2"/>
  <c r="BI76" i="3"/>
  <c r="BL76" i="3" s="1"/>
  <c r="W59" i="2"/>
  <c r="BI60" i="3"/>
  <c r="BL60" i="3" s="1"/>
  <c r="BD471" i="3"/>
  <c r="BG471" i="3" s="1"/>
  <c r="BI1011" i="3"/>
  <c r="BL1011" i="3" s="1"/>
  <c r="O365" i="2"/>
  <c r="AO366" i="3" s="1"/>
  <c r="AR366" i="3" s="1"/>
  <c r="O357" i="2"/>
  <c r="O341" i="2"/>
  <c r="AO637" i="3" s="1"/>
  <c r="AR637" i="3" s="1"/>
  <c r="O325" i="2"/>
  <c r="AO621" i="3" s="1"/>
  <c r="AR621" i="3" s="1"/>
  <c r="O317" i="2"/>
  <c r="AO318" i="3" s="1"/>
  <c r="AR318" i="3" s="1"/>
  <c r="O309" i="2"/>
  <c r="AO310" i="3" s="1"/>
  <c r="AR310" i="3" s="1"/>
  <c r="O293" i="2"/>
  <c r="AO589" i="3" s="1"/>
  <c r="AR589" i="3" s="1"/>
  <c r="AO294" i="3"/>
  <c r="AR294" i="3" s="1"/>
  <c r="O277" i="2"/>
  <c r="AO573" i="3" s="1"/>
  <c r="AR573" i="3" s="1"/>
  <c r="O261" i="2"/>
  <c r="AO262" i="3" s="1"/>
  <c r="AR262" i="3" s="1"/>
  <c r="O245" i="2"/>
  <c r="O221" i="2"/>
  <c r="AO222" i="3" s="1"/>
  <c r="AR222" i="3" s="1"/>
  <c r="O213" i="2"/>
  <c r="AO509" i="3" s="1"/>
  <c r="AR509" i="3" s="1"/>
  <c r="AO214" i="3"/>
  <c r="AR214" i="3" s="1"/>
  <c r="O189" i="2"/>
  <c r="AO190" i="3" s="1"/>
  <c r="AR190" i="3" s="1"/>
  <c r="O181" i="2"/>
  <c r="AO477" i="3" s="1"/>
  <c r="AR477" i="3" s="1"/>
  <c r="O165" i="2"/>
  <c r="AO166" i="3" s="1"/>
  <c r="AR166" i="3" s="1"/>
  <c r="O149" i="2"/>
  <c r="AO150" i="3" s="1"/>
  <c r="AR150" i="3" s="1"/>
  <c r="O141" i="2"/>
  <c r="AO142" i="3" s="1"/>
  <c r="AR142" i="3" s="1"/>
  <c r="O133" i="2"/>
  <c r="AO134" i="3" s="1"/>
  <c r="AR134" i="3" s="1"/>
  <c r="O117" i="2"/>
  <c r="AO413" i="3" s="1"/>
  <c r="AR413" i="3" s="1"/>
  <c r="O109" i="2"/>
  <c r="AO110" i="3" s="1"/>
  <c r="AR110" i="3" s="1"/>
  <c r="O101" i="2"/>
  <c r="AO102" i="3"/>
  <c r="AR102" i="3" s="1"/>
  <c r="O93" i="2"/>
  <c r="AO94" i="3" s="1"/>
  <c r="AR94" i="3" s="1"/>
  <c r="O85" i="2"/>
  <c r="AO381" i="3" s="1"/>
  <c r="AR381" i="3" s="1"/>
  <c r="O77" i="2"/>
  <c r="AO78" i="3" s="1"/>
  <c r="AR78" i="3" s="1"/>
  <c r="O69" i="2"/>
  <c r="AO70" i="3" s="1"/>
  <c r="AR70" i="3" s="1"/>
  <c r="O61" i="2"/>
  <c r="AO62" i="3" s="1"/>
  <c r="AR62" i="3" s="1"/>
  <c r="O53" i="2"/>
  <c r="AO54" i="3" s="1"/>
  <c r="AR54" i="3" s="1"/>
  <c r="O45" i="2"/>
  <c r="AO46" i="3" s="1"/>
  <c r="AR46" i="3" s="1"/>
  <c r="O37" i="2"/>
  <c r="AO38" i="3"/>
  <c r="AR38" i="3" s="1"/>
  <c r="O29" i="2"/>
  <c r="AO30" i="3"/>
  <c r="AR30" i="3" s="1"/>
  <c r="O13" i="2"/>
  <c r="AO14" i="3" s="1"/>
  <c r="AR14" i="3" s="1"/>
  <c r="Q68" i="2"/>
  <c r="AT69" i="3" s="1"/>
  <c r="AW69" i="3" s="1"/>
  <c r="Q60" i="2"/>
  <c r="AT61" i="3" s="1"/>
  <c r="AW61" i="3" s="1"/>
  <c r="Q52" i="2"/>
  <c r="AT53" i="3" s="1"/>
  <c r="AW53" i="3" s="1"/>
  <c r="Q44" i="2"/>
  <c r="AT45" i="3"/>
  <c r="AW45" i="3" s="1"/>
  <c r="Q36" i="2"/>
  <c r="AT37" i="3" s="1"/>
  <c r="AW37" i="3" s="1"/>
  <c r="Q28" i="2"/>
  <c r="AT29" i="3"/>
  <c r="AW29" i="3" s="1"/>
  <c r="Q20" i="2"/>
  <c r="AT21" i="3" s="1"/>
  <c r="AW21" i="3" s="1"/>
  <c r="AY197" i="3"/>
  <c r="BB197" i="3" s="1"/>
  <c r="AY379" i="3"/>
  <c r="BB379" i="3" s="1"/>
  <c r="AY371" i="3"/>
  <c r="BB371" i="3" s="1"/>
  <c r="AY189" i="3"/>
  <c r="BB189" i="3" s="1"/>
  <c r="S20" i="2"/>
  <c r="AY21" i="3"/>
  <c r="BB21" i="3" s="1"/>
  <c r="BD197" i="3"/>
  <c r="BG197" i="3" s="1"/>
  <c r="BD379" i="3"/>
  <c r="BG379" i="3" s="1"/>
  <c r="BD189" i="3"/>
  <c r="BG189" i="3" s="1"/>
  <c r="BD371" i="3"/>
  <c r="BG371" i="3" s="1"/>
  <c r="U143" i="2"/>
  <c r="BI193" i="3"/>
  <c r="BL193" i="3" s="1"/>
  <c r="BI375" i="3"/>
  <c r="BL375" i="3" s="1"/>
  <c r="BD631" i="3"/>
  <c r="BG631" i="3" s="1"/>
  <c r="BI1148" i="3"/>
  <c r="BL1148" i="3" s="1"/>
  <c r="BI892" i="3"/>
  <c r="BL892" i="3" s="1"/>
  <c r="BI636" i="3"/>
  <c r="BL636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O385" i="2"/>
  <c r="AO681" i="3" s="1"/>
  <c r="AR681" i="3" s="1"/>
  <c r="O333" i="2"/>
  <c r="O241" i="2"/>
  <c r="AO537" i="3" s="1"/>
  <c r="AR537" i="3" s="1"/>
  <c r="O193" i="2"/>
  <c r="AO194" i="3" s="1"/>
  <c r="AR194" i="3" s="1"/>
  <c r="AO610" i="3"/>
  <c r="AR610" i="3" s="1"/>
  <c r="AO721" i="3"/>
  <c r="AR721" i="3" s="1"/>
  <c r="AO585" i="3"/>
  <c r="AR585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57" i="3"/>
  <c r="AW457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497" i="3"/>
  <c r="AW497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O205" i="2"/>
  <c r="O177" i="2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617" i="3" s="1"/>
  <c r="AR617" i="3" s="1"/>
  <c r="O301" i="2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O125" i="2"/>
  <c r="AO421" i="3" s="1"/>
  <c r="AR421" i="3" s="1"/>
  <c r="O97" i="2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Q859" i="2"/>
  <c r="AT1155" i="3" s="1"/>
  <c r="AW1155" i="3" s="1"/>
  <c r="Q851" i="2"/>
  <c r="AT1147" i="3" s="1"/>
  <c r="AW1147" i="3" s="1"/>
  <c r="Q839" i="2"/>
  <c r="AT1135" i="3"/>
  <c r="AW1135" i="3" s="1"/>
  <c r="Q831" i="2"/>
  <c r="AT1127" i="3" s="1"/>
  <c r="AW1127" i="3" s="1"/>
  <c r="Q823" i="2"/>
  <c r="AT1119" i="3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/>
  <c r="AW1019" i="3" s="1"/>
  <c r="Q715" i="2"/>
  <c r="AT1011" i="3" s="1"/>
  <c r="AW1011" i="3" s="1"/>
  <c r="Q707" i="2"/>
  <c r="AT1003" i="3"/>
  <c r="AW1003" i="3" s="1"/>
  <c r="Q695" i="2"/>
  <c r="AT991" i="3" s="1"/>
  <c r="AW991" i="3" s="1"/>
  <c r="Q687" i="2"/>
  <c r="AT983" i="3"/>
  <c r="AW983" i="3" s="1"/>
  <c r="Q679" i="2"/>
  <c r="AT975" i="3"/>
  <c r="AW975" i="3" s="1"/>
  <c r="Q671" i="2"/>
  <c r="AT967" i="3" s="1"/>
  <c r="AW967" i="3" s="1"/>
  <c r="Q663" i="2"/>
  <c r="AT959" i="3" s="1"/>
  <c r="AW959" i="3" s="1"/>
  <c r="Q655" i="2"/>
  <c r="AT951" i="3"/>
  <c r="AW951" i="3" s="1"/>
  <c r="Q647" i="2"/>
  <c r="AT943" i="3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/>
  <c r="AW907" i="3" s="1"/>
  <c r="Q607" i="2"/>
  <c r="AT903" i="3" s="1"/>
  <c r="AW903" i="3" s="1"/>
  <c r="Q603" i="2"/>
  <c r="AT899" i="3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/>
  <c r="AW883" i="3" s="1"/>
  <c r="Q583" i="2"/>
  <c r="AT879" i="3" s="1"/>
  <c r="AW879" i="3" s="1"/>
  <c r="Q579" i="2"/>
  <c r="AT875" i="3"/>
  <c r="AW875" i="3" s="1"/>
  <c r="Q575" i="2"/>
  <c r="AT871" i="3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/>
  <c r="AW851" i="3" s="1"/>
  <c r="Q551" i="2"/>
  <c r="AT847" i="3"/>
  <c r="AW847" i="3" s="1"/>
  <c r="Q547" i="2"/>
  <c r="AT843" i="3" s="1"/>
  <c r="AW843" i="3" s="1"/>
  <c r="Q543" i="2"/>
  <c r="AT839" i="3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/>
  <c r="AW823" i="3" s="1"/>
  <c r="Q523" i="2"/>
  <c r="AT819" i="3"/>
  <c r="AW819" i="3" s="1"/>
  <c r="Q519" i="2"/>
  <c r="AT815" i="3" s="1"/>
  <c r="AW815" i="3" s="1"/>
  <c r="Q515" i="2"/>
  <c r="AT811" i="3" s="1"/>
  <c r="AW811" i="3" s="1"/>
  <c r="Q511" i="2"/>
  <c r="AT807" i="3"/>
  <c r="AW807" i="3" s="1"/>
  <c r="Q507" i="2"/>
  <c r="AT803" i="3" s="1"/>
  <c r="AW803" i="3" s="1"/>
  <c r="Q503" i="2"/>
  <c r="AT799" i="3"/>
  <c r="AW799" i="3" s="1"/>
  <c r="Q499" i="2"/>
  <c r="AT795" i="3" s="1"/>
  <c r="AW795" i="3" s="1"/>
  <c r="Q495" i="2"/>
  <c r="AT791" i="3" s="1"/>
  <c r="AW791" i="3" s="1"/>
  <c r="Q491" i="2"/>
  <c r="AT787" i="3"/>
  <c r="AW787" i="3" s="1"/>
  <c r="Q487" i="2"/>
  <c r="AT783" i="3" s="1"/>
  <c r="AW783" i="3" s="1"/>
  <c r="Q483" i="2"/>
  <c r="AT779" i="3" s="1"/>
  <c r="AW779" i="3" s="1"/>
  <c r="Q479" i="2"/>
  <c r="AT775" i="3"/>
  <c r="AW775" i="3" s="1"/>
  <c r="Q475" i="2"/>
  <c r="AT771" i="3" s="1"/>
  <c r="AW771" i="3" s="1"/>
  <c r="Q471" i="2"/>
  <c r="AT767" i="3"/>
  <c r="AW767" i="3" s="1"/>
  <c r="Q467" i="2"/>
  <c r="AT763" i="3" s="1"/>
  <c r="AW763" i="3" s="1"/>
  <c r="Q463" i="2"/>
  <c r="AT759" i="3"/>
  <c r="AW759" i="3" s="1"/>
  <c r="Q459" i="2"/>
  <c r="AT755" i="3"/>
  <c r="AW755" i="3" s="1"/>
  <c r="Q455" i="2"/>
  <c r="AT751" i="3" s="1"/>
  <c r="AW751" i="3" s="1"/>
  <c r="Q451" i="2"/>
  <c r="AT747" i="3" s="1"/>
  <c r="AW747" i="3" s="1"/>
  <c r="Q447" i="2"/>
  <c r="AT743" i="3"/>
  <c r="AW743" i="3" s="1"/>
  <c r="Q443" i="2"/>
  <c r="AT739" i="3"/>
  <c r="AW739" i="3" s="1"/>
  <c r="Q439" i="2"/>
  <c r="AT735" i="3" s="1"/>
  <c r="AW735" i="3" s="1"/>
  <c r="Q435" i="2"/>
  <c r="AT731" i="3" s="1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/>
  <c r="AW679" i="3" s="1"/>
  <c r="Q379" i="2"/>
  <c r="AT675" i="3"/>
  <c r="AW675" i="3" s="1"/>
  <c r="Q375" i="2"/>
  <c r="AT671" i="3" s="1"/>
  <c r="AW671" i="3" s="1"/>
  <c r="Q371" i="2"/>
  <c r="AT667" i="3" s="1"/>
  <c r="AW667" i="3" s="1"/>
  <c r="Q367" i="2"/>
  <c r="AT368" i="3" s="1"/>
  <c r="AW368" i="3" s="1"/>
  <c r="Q363" i="2"/>
  <c r="AT364" i="3" s="1"/>
  <c r="AW364" i="3" s="1"/>
  <c r="AT659" i="3"/>
  <c r="AW659" i="3" s="1"/>
  <c r="Q359" i="2"/>
  <c r="AT360" i="3" s="1"/>
  <c r="AW360" i="3" s="1"/>
  <c r="Q355" i="2"/>
  <c r="Q351" i="2"/>
  <c r="AT352" i="3" s="1"/>
  <c r="AW352" i="3" s="1"/>
  <c r="Q347" i="2"/>
  <c r="AT348" i="3" s="1"/>
  <c r="AW348" i="3" s="1"/>
  <c r="Q343" i="2"/>
  <c r="AT344" i="3" s="1"/>
  <c r="AW344" i="3" s="1"/>
  <c r="AT639" i="3"/>
  <c r="AW639" i="3" s="1"/>
  <c r="Q339" i="2"/>
  <c r="AT635" i="3" s="1"/>
  <c r="AW635" i="3" s="1"/>
  <c r="Q335" i="2"/>
  <c r="AT336" i="3" s="1"/>
  <c r="AW336" i="3" s="1"/>
  <c r="Q331" i="2"/>
  <c r="AT332" i="3" s="1"/>
  <c r="AW332" i="3" s="1"/>
  <c r="Q327" i="2"/>
  <c r="AT328" i="3" s="1"/>
  <c r="AW328" i="3" s="1"/>
  <c r="Q323" i="2"/>
  <c r="AT619" i="3" s="1"/>
  <c r="AW619" i="3" s="1"/>
  <c r="Q319" i="2"/>
  <c r="AT615" i="3" s="1"/>
  <c r="AW615" i="3" s="1"/>
  <c r="Q315" i="2"/>
  <c r="AT316" i="3" s="1"/>
  <c r="AW316" i="3" s="1"/>
  <c r="AT611" i="3"/>
  <c r="AW611" i="3" s="1"/>
  <c r="Q311" i="2"/>
  <c r="AT607" i="3" s="1"/>
  <c r="AW607" i="3" s="1"/>
  <c r="Q307" i="2"/>
  <c r="Q303" i="2"/>
  <c r="AT599" i="3" s="1"/>
  <c r="AW599" i="3" s="1"/>
  <c r="Q299" i="2"/>
  <c r="AT300" i="3" s="1"/>
  <c r="AW300" i="3" s="1"/>
  <c r="Q295" i="2"/>
  <c r="AT296" i="3" s="1"/>
  <c r="AW296" i="3" s="1"/>
  <c r="Q291" i="2"/>
  <c r="Q287" i="2"/>
  <c r="AT288" i="3" s="1"/>
  <c r="AW288" i="3" s="1"/>
  <c r="Q283" i="2"/>
  <c r="AT284" i="3" s="1"/>
  <c r="AW284" i="3" s="1"/>
  <c r="AT579" i="3"/>
  <c r="AW579" i="3" s="1"/>
  <c r="Q279" i="2"/>
  <c r="AT280" i="3" s="1"/>
  <c r="AW280" i="3" s="1"/>
  <c r="Q275" i="2"/>
  <c r="Q271" i="2"/>
  <c r="AT272" i="3" s="1"/>
  <c r="AW272" i="3" s="1"/>
  <c r="AT567" i="3"/>
  <c r="AW567" i="3" s="1"/>
  <c r="Q267" i="2"/>
  <c r="AT268" i="3" s="1"/>
  <c r="AW268" i="3" s="1"/>
  <c r="Q263" i="2"/>
  <c r="AT264" i="3" s="1"/>
  <c r="AW264" i="3" s="1"/>
  <c r="AT559" i="3"/>
  <c r="AW559" i="3" s="1"/>
  <c r="Q259" i="2"/>
  <c r="AT555" i="3" s="1"/>
  <c r="AW555" i="3" s="1"/>
  <c r="Q255" i="2"/>
  <c r="AT551" i="3"/>
  <c r="AW551" i="3" s="1"/>
  <c r="Q251" i="2"/>
  <c r="AT252" i="3" s="1"/>
  <c r="AW252" i="3" s="1"/>
  <c r="Q247" i="2"/>
  <c r="AT248" i="3" s="1"/>
  <c r="AW248" i="3" s="1"/>
  <c r="Q243" i="2"/>
  <c r="Q239" i="2"/>
  <c r="AT240" i="3" s="1"/>
  <c r="AW240" i="3" s="1"/>
  <c r="Q235" i="2"/>
  <c r="AT236" i="3" s="1"/>
  <c r="AW236" i="3" s="1"/>
  <c r="AT531" i="3"/>
  <c r="AW531" i="3" s="1"/>
  <c r="Q231" i="2"/>
  <c r="AT232" i="3" s="1"/>
  <c r="AW232" i="3" s="1"/>
  <c r="Q227" i="2"/>
  <c r="AT523" i="3" s="1"/>
  <c r="AW523" i="3" s="1"/>
  <c r="Q223" i="2"/>
  <c r="AT224" i="3" s="1"/>
  <c r="AW224" i="3" s="1"/>
  <c r="Q219" i="2"/>
  <c r="AT220" i="3" s="1"/>
  <c r="AW220" i="3" s="1"/>
  <c r="Q215" i="2"/>
  <c r="AT216" i="3" s="1"/>
  <c r="AW216" i="3" s="1"/>
  <c r="Q211" i="2"/>
  <c r="Q207" i="2"/>
  <c r="AT208" i="3" s="1"/>
  <c r="AW208" i="3" s="1"/>
  <c r="AT503" i="3"/>
  <c r="AW503" i="3" s="1"/>
  <c r="Q203" i="2"/>
  <c r="AT204" i="3" s="1"/>
  <c r="AW204" i="3" s="1"/>
  <c r="AT499" i="3"/>
  <c r="AW499" i="3" s="1"/>
  <c r="Q199" i="2"/>
  <c r="AT200" i="3" s="1"/>
  <c r="AW200" i="3" s="1"/>
  <c r="Q195" i="2"/>
  <c r="AT491" i="3" s="1"/>
  <c r="AW491" i="3" s="1"/>
  <c r="Q191" i="2"/>
  <c r="AT192" i="3" s="1"/>
  <c r="AW192" i="3" s="1"/>
  <c r="Q187" i="2"/>
  <c r="AT188" i="3" s="1"/>
  <c r="AW188" i="3" s="1"/>
  <c r="AT483" i="3"/>
  <c r="AW483" i="3" s="1"/>
  <c r="Q183" i="2"/>
  <c r="AT479" i="3" s="1"/>
  <c r="AW479" i="3" s="1"/>
  <c r="Q179" i="2"/>
  <c r="Q175" i="2"/>
  <c r="AT176" i="3" s="1"/>
  <c r="AW176" i="3" s="1"/>
  <c r="Q171" i="2"/>
  <c r="AT172" i="3" s="1"/>
  <c r="AW172" i="3" s="1"/>
  <c r="Q167" i="2"/>
  <c r="AT168" i="3" s="1"/>
  <c r="AW168" i="3" s="1"/>
  <c r="AT463" i="3"/>
  <c r="AW463" i="3" s="1"/>
  <c r="Q163" i="2"/>
  <c r="Q159" i="2"/>
  <c r="AT455" i="3" s="1"/>
  <c r="AW455" i="3" s="1"/>
  <c r="Q155" i="2"/>
  <c r="AT156" i="3" s="1"/>
  <c r="AW156" i="3" s="1"/>
  <c r="Q151" i="2"/>
  <c r="AT152" i="3" s="1"/>
  <c r="AW152" i="3" s="1"/>
  <c r="Q147" i="2"/>
  <c r="AT443" i="3" s="1"/>
  <c r="AW443" i="3" s="1"/>
  <c r="Q143" i="2"/>
  <c r="Q139" i="2"/>
  <c r="AT435" i="3" s="1"/>
  <c r="AW435" i="3" s="1"/>
  <c r="Q135" i="2"/>
  <c r="AT431" i="3" s="1"/>
  <c r="AW431" i="3" s="1"/>
  <c r="Q131" i="2"/>
  <c r="Q127" i="2"/>
  <c r="Q123" i="2"/>
  <c r="AT419" i="3" s="1"/>
  <c r="AW419" i="3" s="1"/>
  <c r="Q119" i="2"/>
  <c r="Q115" i="2"/>
  <c r="AT411" i="3" s="1"/>
  <c r="AW411" i="3" s="1"/>
  <c r="Q111" i="2"/>
  <c r="AT407" i="3" s="1"/>
  <c r="AW407" i="3" s="1"/>
  <c r="Q107" i="2"/>
  <c r="Q103" i="2"/>
  <c r="AT399" i="3" s="1"/>
  <c r="AW399" i="3" s="1"/>
  <c r="Q99" i="2"/>
  <c r="Q95" i="2"/>
  <c r="Q91" i="2"/>
  <c r="AT387" i="3" s="1"/>
  <c r="AW387" i="3" s="1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/>
  <c r="AW1151" i="3" s="1"/>
  <c r="Q847" i="2"/>
  <c r="AT1143" i="3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/>
  <c r="AW1015" i="3" s="1"/>
  <c r="Q711" i="2"/>
  <c r="AT1007" i="3" s="1"/>
  <c r="AW1007" i="3" s="1"/>
  <c r="Q703" i="2"/>
  <c r="AT999" i="3"/>
  <c r="AW999" i="3" s="1"/>
  <c r="Q699" i="2"/>
  <c r="AT995" i="3" s="1"/>
  <c r="AW995" i="3" s="1"/>
  <c r="Q691" i="2"/>
  <c r="AT987" i="3" s="1"/>
  <c r="AW987" i="3" s="1"/>
  <c r="Q683" i="2"/>
  <c r="AT979" i="3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/>
  <c r="AW1144" i="3" s="1"/>
  <c r="Q844" i="2"/>
  <c r="AT1140" i="3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/>
  <c r="AW1100" i="3" s="1"/>
  <c r="Q800" i="2"/>
  <c r="AT1096" i="3" s="1"/>
  <c r="AW1096" i="3" s="1"/>
  <c r="Q796" i="2"/>
  <c r="AT1092" i="3"/>
  <c r="AW1092" i="3" s="1"/>
  <c r="Q792" i="2"/>
  <c r="AT1088" i="3" s="1"/>
  <c r="AW1088" i="3" s="1"/>
  <c r="Q788" i="2"/>
  <c r="AT1084" i="3"/>
  <c r="AW1084" i="3" s="1"/>
  <c r="Q784" i="2"/>
  <c r="AT1080" i="3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/>
  <c r="AW1064" i="3" s="1"/>
  <c r="Q764" i="2"/>
  <c r="AT1060" i="3"/>
  <c r="AW1060" i="3" s="1"/>
  <c r="Q760" i="2"/>
  <c r="AT1056" i="3" s="1"/>
  <c r="AW1056" i="3" s="1"/>
  <c r="Q756" i="2"/>
  <c r="AT1052" i="3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/>
  <c r="AW1028" i="3" s="1"/>
  <c r="Q728" i="2"/>
  <c r="AT1024" i="3" s="1"/>
  <c r="AW1024" i="3" s="1"/>
  <c r="Q724" i="2"/>
  <c r="AT1020" i="3" s="1"/>
  <c r="AW1020" i="3" s="1"/>
  <c r="Q720" i="2"/>
  <c r="AT1016" i="3"/>
  <c r="AW1016" i="3" s="1"/>
  <c r="Q716" i="2"/>
  <c r="AT1012" i="3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/>
  <c r="AW988" i="3" s="1"/>
  <c r="Q688" i="2"/>
  <c r="AT984" i="3" s="1"/>
  <c r="AW984" i="3" s="1"/>
  <c r="Q684" i="2"/>
  <c r="AT980" i="3"/>
  <c r="AW980" i="3" s="1"/>
  <c r="Q680" i="2"/>
  <c r="AT976" i="3" s="1"/>
  <c r="AW976" i="3" s="1"/>
  <c r="Q676" i="2"/>
  <c r="AT972" i="3"/>
  <c r="AW972" i="3" s="1"/>
  <c r="Q672" i="2"/>
  <c r="AT968" i="3" s="1"/>
  <c r="AW968" i="3" s="1"/>
  <c r="Q668" i="2"/>
  <c r="AT964" i="3"/>
  <c r="AW964" i="3" s="1"/>
  <c r="Q664" i="2"/>
  <c r="AT960" i="3" s="1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 s="1"/>
  <c r="AW944" i="3" s="1"/>
  <c r="Q644" i="2"/>
  <c r="AT940" i="3" s="1"/>
  <c r="AW940" i="3" s="1"/>
  <c r="Q640" i="2"/>
  <c r="AT936" i="3"/>
  <c r="AW936" i="3" s="1"/>
  <c r="Q636" i="2"/>
  <c r="AT932" i="3"/>
  <c r="AW932" i="3" s="1"/>
  <c r="Q632" i="2"/>
  <c r="AT928" i="3" s="1"/>
  <c r="AW928" i="3" s="1"/>
  <c r="Q628" i="2"/>
  <c r="AT924" i="3"/>
  <c r="AW924" i="3" s="1"/>
  <c r="Q624" i="2"/>
  <c r="AT920" i="3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/>
  <c r="AW860" i="3" s="1"/>
  <c r="Q560" i="2"/>
  <c r="AT856" i="3" s="1"/>
  <c r="AW856" i="3" s="1"/>
  <c r="Q556" i="2"/>
  <c r="AT852" i="3"/>
  <c r="AW852" i="3" s="1"/>
  <c r="Q552" i="2"/>
  <c r="AT848" i="3" s="1"/>
  <c r="AW848" i="3" s="1"/>
  <c r="Q548" i="2"/>
  <c r="AT844" i="3"/>
  <c r="AW844" i="3" s="1"/>
  <c r="Q540" i="2"/>
  <c r="AT836" i="3" s="1"/>
  <c r="AW836" i="3" s="1"/>
  <c r="Q532" i="2"/>
  <c r="AT828" i="3"/>
  <c r="AW828" i="3" s="1"/>
  <c r="Q524" i="2"/>
  <c r="AT820" i="3" s="1"/>
  <c r="AW820" i="3" s="1"/>
  <c r="Q516" i="2"/>
  <c r="AT812" i="3" s="1"/>
  <c r="AW812" i="3" s="1"/>
  <c r="Q508" i="2"/>
  <c r="AT804" i="3"/>
  <c r="AW804" i="3" s="1"/>
  <c r="Q500" i="2"/>
  <c r="AT796" i="3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/>
  <c r="AW764" i="3" s="1"/>
  <c r="Q460" i="2"/>
  <c r="AT756" i="3" s="1"/>
  <c r="AW756" i="3" s="1"/>
  <c r="Q452" i="2"/>
  <c r="AT748" i="3"/>
  <c r="AW748" i="3" s="1"/>
  <c r="Q444" i="2"/>
  <c r="AT740" i="3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AT620" i="3"/>
  <c r="AW620" i="3" s="1"/>
  <c r="Q316" i="2"/>
  <c r="AT612" i="3" s="1"/>
  <c r="AW612" i="3" s="1"/>
  <c r="Q308" i="2"/>
  <c r="AT309" i="3" s="1"/>
  <c r="AW309" i="3" s="1"/>
  <c r="AT604" i="3"/>
  <c r="AW604" i="3" s="1"/>
  <c r="Q300" i="2"/>
  <c r="AT301" i="3" s="1"/>
  <c r="AW301" i="3" s="1"/>
  <c r="Q292" i="2"/>
  <c r="AT293" i="3" s="1"/>
  <c r="AW293" i="3" s="1"/>
  <c r="Q284" i="2"/>
  <c r="AT285" i="3" s="1"/>
  <c r="AW285" i="3" s="1"/>
  <c r="Q276" i="2"/>
  <c r="AT277" i="3" s="1"/>
  <c r="AW277" i="3" s="1"/>
  <c r="Q268" i="2"/>
  <c r="AT269" i="3" s="1"/>
  <c r="AW269" i="3" s="1"/>
  <c r="Q260" i="2"/>
  <c r="AT261" i="3" s="1"/>
  <c r="AW261" i="3" s="1"/>
  <c r="AT556" i="3"/>
  <c r="AW556" i="3" s="1"/>
  <c r="Q252" i="2"/>
  <c r="AT253" i="3" s="1"/>
  <c r="AW253" i="3" s="1"/>
  <c r="Q244" i="2"/>
  <c r="AT245" i="3" s="1"/>
  <c r="AW245" i="3" s="1"/>
  <c r="AT540" i="3"/>
  <c r="AW540" i="3" s="1"/>
  <c r="Q236" i="2"/>
  <c r="Q228" i="2"/>
  <c r="AT229" i="3" s="1"/>
  <c r="AW229" i="3" s="1"/>
  <c r="Q220" i="2"/>
  <c r="AT221" i="3" s="1"/>
  <c r="AW221" i="3" s="1"/>
  <c r="AT516" i="3"/>
  <c r="AW516" i="3" s="1"/>
  <c r="Q212" i="2"/>
  <c r="AT213" i="3" s="1"/>
  <c r="AW213" i="3" s="1"/>
  <c r="Q204" i="2"/>
  <c r="Q196" i="2"/>
  <c r="AT492" i="3" s="1"/>
  <c r="AW492" i="3" s="1"/>
  <c r="Q188" i="2"/>
  <c r="AT371" i="3" s="1"/>
  <c r="AW371" i="3" s="1"/>
  <c r="AT484" i="3"/>
  <c r="AW484" i="3" s="1"/>
  <c r="Q180" i="2"/>
  <c r="AT181" i="3" s="1"/>
  <c r="AW181" i="3" s="1"/>
  <c r="Q172" i="2"/>
  <c r="Q164" i="2"/>
  <c r="AT165" i="3" s="1"/>
  <c r="AW165" i="3" s="1"/>
  <c r="Q156" i="2"/>
  <c r="AT157" i="3" s="1"/>
  <c r="AW157" i="3" s="1"/>
  <c r="Q148" i="2"/>
  <c r="AT149" i="3" s="1"/>
  <c r="AW149" i="3" s="1"/>
  <c r="Q140" i="2"/>
  <c r="AT436" i="3" s="1"/>
  <c r="AW436" i="3" s="1"/>
  <c r="Q136" i="2"/>
  <c r="AT432" i="3" s="1"/>
  <c r="AW432" i="3" s="1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45" i="3"/>
  <c r="AW645" i="3" s="1"/>
  <c r="AT637" i="3"/>
  <c r="AW637" i="3" s="1"/>
  <c r="AT605" i="3"/>
  <c r="AW605" i="3" s="1"/>
  <c r="AT573" i="3"/>
  <c r="AW573" i="3" s="1"/>
  <c r="AT565" i="3"/>
  <c r="AW565" i="3" s="1"/>
  <c r="AT557" i="3"/>
  <c r="AW557" i="3" s="1"/>
  <c r="AT533" i="3"/>
  <c r="AW533" i="3" s="1"/>
  <c r="AT525" i="3"/>
  <c r="AW525" i="3" s="1"/>
  <c r="AT517" i="3"/>
  <c r="AW517" i="3" s="1"/>
  <c r="AT509" i="3"/>
  <c r="AW509" i="3" s="1"/>
  <c r="AT477" i="3"/>
  <c r="AW477" i="3" s="1"/>
  <c r="AT445" i="3"/>
  <c r="AW445" i="3" s="1"/>
  <c r="AT429" i="3"/>
  <c r="AW429" i="3" s="1"/>
  <c r="AT405" i="3"/>
  <c r="AW405" i="3" s="1"/>
  <c r="AT397" i="3"/>
  <c r="AW397" i="3" s="1"/>
  <c r="Q544" i="2"/>
  <c r="AT840" i="3"/>
  <c r="AW840" i="3" s="1"/>
  <c r="Q536" i="2"/>
  <c r="AT832" i="3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AT656" i="3"/>
  <c r="AW656" i="3" s="1"/>
  <c r="Q352" i="2"/>
  <c r="AT353" i="3" s="1"/>
  <c r="AW353" i="3" s="1"/>
  <c r="Q344" i="2"/>
  <c r="AT345" i="3" s="1"/>
  <c r="AW345" i="3" s="1"/>
  <c r="Q336" i="2"/>
  <c r="AT632" i="3" s="1"/>
  <c r="AW632" i="3" s="1"/>
  <c r="Q328" i="2"/>
  <c r="AT624" i="3" s="1"/>
  <c r="AW624" i="3" s="1"/>
  <c r="Q320" i="2"/>
  <c r="AT616" i="3" s="1"/>
  <c r="AW616" i="3" s="1"/>
  <c r="Q312" i="2"/>
  <c r="AT313" i="3" s="1"/>
  <c r="AW313" i="3" s="1"/>
  <c r="AT608" i="3"/>
  <c r="AW608" i="3" s="1"/>
  <c r="Q304" i="2"/>
  <c r="Q296" i="2"/>
  <c r="AT297" i="3" s="1"/>
  <c r="AW297" i="3" s="1"/>
  <c r="Q288" i="2"/>
  <c r="AT289" i="3" s="1"/>
  <c r="AW289" i="3" s="1"/>
  <c r="Q280" i="2"/>
  <c r="AT281" i="3" s="1"/>
  <c r="AW281" i="3" s="1"/>
  <c r="AT576" i="3"/>
  <c r="AW576" i="3" s="1"/>
  <c r="Q272" i="2"/>
  <c r="Q264" i="2"/>
  <c r="AT265" i="3" s="1"/>
  <c r="AW265" i="3" s="1"/>
  <c r="Q256" i="2"/>
  <c r="AT257" i="3" s="1"/>
  <c r="AW257" i="3" s="1"/>
  <c r="Q248" i="2"/>
  <c r="AT249" i="3" s="1"/>
  <c r="AW249" i="3" s="1"/>
  <c r="Q240" i="2"/>
  <c r="Q232" i="2"/>
  <c r="AT233" i="3" s="1"/>
  <c r="AW233" i="3" s="1"/>
  <c r="AT528" i="3"/>
  <c r="AW528" i="3" s="1"/>
  <c r="Q224" i="2"/>
  <c r="AT225" i="3" s="1"/>
  <c r="AW225" i="3" s="1"/>
  <c r="Q216" i="2"/>
  <c r="AT217" i="3" s="1"/>
  <c r="AW217" i="3" s="1"/>
  <c r="AT512" i="3"/>
  <c r="AW512" i="3" s="1"/>
  <c r="Q208" i="2"/>
  <c r="AT504" i="3" s="1"/>
  <c r="AW504" i="3" s="1"/>
  <c r="Q200" i="2"/>
  <c r="AT201" i="3" s="1"/>
  <c r="AW201" i="3" s="1"/>
  <c r="Q192" i="2"/>
  <c r="Q184" i="2"/>
  <c r="AT480" i="3" s="1"/>
  <c r="AW480" i="3" s="1"/>
  <c r="Q176" i="2"/>
  <c r="Q168" i="2"/>
  <c r="AT169" i="3" s="1"/>
  <c r="AW169" i="3" s="1"/>
  <c r="Q160" i="2"/>
  <c r="AT161" i="3" s="1"/>
  <c r="AW161" i="3" s="1"/>
  <c r="AT456" i="3"/>
  <c r="AW456" i="3" s="1"/>
  <c r="Q152" i="2"/>
  <c r="AT153" i="3" s="1"/>
  <c r="AW153" i="3" s="1"/>
  <c r="AT448" i="3"/>
  <c r="AW448" i="3" s="1"/>
  <c r="Q144" i="2"/>
  <c r="Q132" i="2"/>
  <c r="AT133" i="3" s="1"/>
  <c r="AW133" i="3" s="1"/>
  <c r="AT428" i="3"/>
  <c r="AW428" i="3" s="1"/>
  <c r="Q124" i="2"/>
  <c r="Q116" i="2"/>
  <c r="Q108" i="2"/>
  <c r="AT404" i="3" s="1"/>
  <c r="AW404" i="3" s="1"/>
  <c r="Q100" i="2"/>
  <c r="Q92" i="2"/>
  <c r="Q84" i="2"/>
  <c r="AT380" i="3" s="1"/>
  <c r="AW380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315" i="3" s="1"/>
  <c r="AW315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291" i="3" s="1"/>
  <c r="AW291" i="3" s="1"/>
  <c r="AT586" i="3"/>
  <c r="AW586" i="3" s="1"/>
  <c r="Q286" i="2"/>
  <c r="AT582" i="3" s="1"/>
  <c r="AW582" i="3" s="1"/>
  <c r="Q282" i="2"/>
  <c r="AT283" i="3" s="1"/>
  <c r="AW283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558" i="3" s="1"/>
  <c r="AW558" i="3" s="1"/>
  <c r="Q258" i="2"/>
  <c r="AT259" i="3" s="1"/>
  <c r="AW259" i="3" s="1"/>
  <c r="Q254" i="2"/>
  <c r="AT255" i="3" s="1"/>
  <c r="AW255" i="3" s="1"/>
  <c r="Q250" i="2"/>
  <c r="AT251" i="3" s="1"/>
  <c r="AW251" i="3" s="1"/>
  <c r="Q246" i="2"/>
  <c r="AT247" i="3" s="1"/>
  <c r="AW247" i="3" s="1"/>
  <c r="Q242" i="2"/>
  <c r="AT243" i="3" s="1"/>
  <c r="AW243" i="3" s="1"/>
  <c r="AT538" i="3"/>
  <c r="AW538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227" i="3" s="1"/>
  <c r="AW227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AT506" i="3"/>
  <c r="AW506" i="3" s="1"/>
  <c r="Q206" i="2"/>
  <c r="AT207" i="3" s="1"/>
  <c r="AW207" i="3" s="1"/>
  <c r="Q202" i="2"/>
  <c r="AT203" i="3" s="1"/>
  <c r="AW203" i="3" s="1"/>
  <c r="Q198" i="2"/>
  <c r="AT199" i="3" s="1"/>
  <c r="AW199" i="3" s="1"/>
  <c r="Q194" i="2"/>
  <c r="AT490" i="3" s="1"/>
  <c r="AW490" i="3" s="1"/>
  <c r="Q190" i="2"/>
  <c r="Q186" i="2"/>
  <c r="AT482" i="3" s="1"/>
  <c r="AW482" i="3" s="1"/>
  <c r="Q182" i="2"/>
  <c r="AT183" i="3" s="1"/>
  <c r="AW183" i="3" s="1"/>
  <c r="Q178" i="2"/>
  <c r="AT179" i="3" s="1"/>
  <c r="AW179" i="3" s="1"/>
  <c r="AT474" i="3"/>
  <c r="AW474" i="3" s="1"/>
  <c r="Q174" i="2"/>
  <c r="AT175" i="3" s="1"/>
  <c r="AW175" i="3" s="1"/>
  <c r="Q170" i="2"/>
  <c r="AT171" i="3" s="1"/>
  <c r="AW171" i="3" s="1"/>
  <c r="Q166" i="2"/>
  <c r="AT167" i="3" s="1"/>
  <c r="AW167" i="3" s="1"/>
  <c r="Q162" i="2"/>
  <c r="AT163" i="3" s="1"/>
  <c r="AW163" i="3" s="1"/>
  <c r="AT458" i="3"/>
  <c r="AW458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139" i="3" s="1"/>
  <c r="AW139" i="3" s="1"/>
  <c r="AT434" i="3"/>
  <c r="AW434" i="3" s="1"/>
  <c r="Q134" i="2"/>
  <c r="AT430" i="3" s="1"/>
  <c r="AW430" i="3" s="1"/>
  <c r="Q130" i="2"/>
  <c r="Q126" i="2"/>
  <c r="AT422" i="3" s="1"/>
  <c r="AW422" i="3" s="1"/>
  <c r="Q122" i="2"/>
  <c r="AT418" i="3" s="1"/>
  <c r="AW418" i="3" s="1"/>
  <c r="Q118" i="2"/>
  <c r="Q114" i="2"/>
  <c r="AT115" i="3" s="1"/>
  <c r="AW115" i="3" s="1"/>
  <c r="Q110" i="2"/>
  <c r="Q106" i="2"/>
  <c r="AT107" i="3" s="1"/>
  <c r="AW107" i="3" s="1"/>
  <c r="AT402" i="3"/>
  <c r="AW402" i="3" s="1"/>
  <c r="Q102" i="2"/>
  <c r="Q98" i="2"/>
  <c r="AT394" i="3" s="1"/>
  <c r="AW394" i="3" s="1"/>
  <c r="Q94" i="2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26" i="3"/>
  <c r="AR626" i="3" s="1"/>
  <c r="AO578" i="3"/>
  <c r="AR578" i="3" s="1"/>
  <c r="AO546" i="3"/>
  <c r="AR546" i="3" s="1"/>
  <c r="AO514" i="3"/>
  <c r="AR51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46" i="3"/>
  <c r="AR646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494" i="3"/>
  <c r="AR494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31" i="3"/>
  <c r="AR631" i="3" s="1"/>
  <c r="AO627" i="3"/>
  <c r="AR627" i="3" s="1"/>
  <c r="AO571" i="3"/>
  <c r="AR571" i="3" s="1"/>
  <c r="AO567" i="3"/>
  <c r="AR567" i="3" s="1"/>
  <c r="AO475" i="3"/>
  <c r="AR475" i="3" s="1"/>
  <c r="AO471" i="3"/>
  <c r="AR471" i="3" s="1"/>
  <c r="AO451" i="3"/>
  <c r="AR451" i="3" s="1"/>
  <c r="AO439" i="3"/>
  <c r="AR439" i="3" s="1"/>
  <c r="AO435" i="3"/>
  <c r="AR435" i="3" s="1"/>
  <c r="AO427" i="3"/>
  <c r="AR427" i="3" s="1"/>
  <c r="AO399" i="3"/>
  <c r="AR39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40" i="3"/>
  <c r="AR640" i="3" s="1"/>
  <c r="AO608" i="3"/>
  <c r="AR608" i="3" s="1"/>
  <c r="AO588" i="3"/>
  <c r="AR588" i="3" s="1"/>
  <c r="AO568" i="3"/>
  <c r="AR568" i="3" s="1"/>
  <c r="AO564" i="3"/>
  <c r="AR564" i="3" s="1"/>
  <c r="AO548" i="3"/>
  <c r="AR548" i="3" s="1"/>
  <c r="AO496" i="3"/>
  <c r="AR496" i="3" s="1"/>
  <c r="AO480" i="3"/>
  <c r="AR480" i="3" s="1"/>
  <c r="AO476" i="3"/>
  <c r="AR476" i="3" s="1"/>
  <c r="AO440" i="3"/>
  <c r="AR440" i="3" s="1"/>
  <c r="AO428" i="3"/>
  <c r="AR428" i="3" s="1"/>
  <c r="AO412" i="3"/>
  <c r="AR412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557" i="3"/>
  <c r="AR557" i="3" s="1"/>
  <c r="AO417" i="3"/>
  <c r="AR417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593" i="3" l="1"/>
  <c r="AW593" i="3" s="1"/>
  <c r="AT570" i="3"/>
  <c r="AW570" i="3" s="1"/>
  <c r="AT464" i="3"/>
  <c r="AW464" i="3" s="1"/>
  <c r="AT444" i="3"/>
  <c r="AW444" i="3" s="1"/>
  <c r="AT572" i="3"/>
  <c r="AW572" i="3" s="1"/>
  <c r="AT467" i="3"/>
  <c r="AW467" i="3" s="1"/>
  <c r="AT487" i="3"/>
  <c r="AW487" i="3" s="1"/>
  <c r="AT623" i="3"/>
  <c r="AW623" i="3" s="1"/>
  <c r="AT643" i="3"/>
  <c r="AW643" i="3" s="1"/>
  <c r="AT663" i="3"/>
  <c r="AW663" i="3" s="1"/>
  <c r="AT449" i="3"/>
  <c r="AW449" i="3" s="1"/>
  <c r="AT374" i="3"/>
  <c r="AW374" i="3" s="1"/>
  <c r="AT312" i="3"/>
  <c r="AW312" i="3" s="1"/>
  <c r="AT485" i="3"/>
  <c r="AW485" i="3" s="1"/>
  <c r="AT581" i="3"/>
  <c r="AW581" i="3" s="1"/>
  <c r="AT481" i="3"/>
  <c r="AW481" i="3" s="1"/>
  <c r="AT453" i="3"/>
  <c r="AW453" i="3" s="1"/>
  <c r="AT657" i="3"/>
  <c r="AW657" i="3" s="1"/>
  <c r="AT442" i="3"/>
  <c r="AW442" i="3" s="1"/>
  <c r="AT602" i="3"/>
  <c r="AW602" i="3" s="1"/>
  <c r="AT589" i="3"/>
  <c r="AW589" i="3" s="1"/>
  <c r="AT451" i="3"/>
  <c r="AW451" i="3" s="1"/>
  <c r="AT471" i="3"/>
  <c r="AW471" i="3" s="1"/>
  <c r="AT647" i="3"/>
  <c r="AW647" i="3" s="1"/>
  <c r="AT85" i="3"/>
  <c r="AW85" i="3" s="1"/>
  <c r="AT317" i="3"/>
  <c r="AW317" i="3" s="1"/>
  <c r="AT554" i="3"/>
  <c r="AW554" i="3" s="1"/>
  <c r="AT634" i="3"/>
  <c r="AW634" i="3" s="1"/>
  <c r="AT584" i="3"/>
  <c r="AW584" i="3" s="1"/>
  <c r="AT508" i="3"/>
  <c r="AW508" i="3" s="1"/>
  <c r="AT548" i="3"/>
  <c r="AW548" i="3" s="1"/>
  <c r="AT588" i="3"/>
  <c r="AW588" i="3" s="1"/>
  <c r="AT519" i="3"/>
  <c r="AW519" i="3" s="1"/>
  <c r="AT543" i="3"/>
  <c r="AW543" i="3" s="1"/>
  <c r="AT563" i="3"/>
  <c r="AW563" i="3" s="1"/>
  <c r="AT583" i="3"/>
  <c r="AW583" i="3" s="1"/>
  <c r="AT631" i="3"/>
  <c r="AW631" i="3" s="1"/>
  <c r="AT489" i="3"/>
  <c r="AW489" i="3" s="1"/>
  <c r="AT190" i="3"/>
  <c r="AW190" i="3" s="1"/>
  <c r="AT513" i="3"/>
  <c r="AW513" i="3" s="1"/>
  <c r="AT320" i="3"/>
  <c r="AW320" i="3" s="1"/>
  <c r="AT547" i="3"/>
  <c r="AW547" i="3" s="1"/>
  <c r="AT627" i="3"/>
  <c r="AW627" i="3" s="1"/>
  <c r="AT529" i="3"/>
  <c r="AW529" i="3" s="1"/>
  <c r="AT279" i="3"/>
  <c r="AW279" i="3" s="1"/>
  <c r="AT104" i="3"/>
  <c r="AW104" i="3" s="1"/>
  <c r="AT321" i="3"/>
  <c r="AW321" i="3" s="1"/>
  <c r="AT381" i="3"/>
  <c r="AW381" i="3" s="1"/>
  <c r="AT127" i="3"/>
  <c r="AW127" i="3" s="1"/>
  <c r="AT185" i="3"/>
  <c r="AW185" i="3" s="1"/>
  <c r="AT618" i="3"/>
  <c r="AW618" i="3" s="1"/>
  <c r="AT496" i="3"/>
  <c r="AW496" i="3" s="1"/>
  <c r="AT640" i="3"/>
  <c r="AW640" i="3" s="1"/>
  <c r="AT613" i="3"/>
  <c r="AW613" i="3" s="1"/>
  <c r="AT473" i="3"/>
  <c r="AW473" i="3" s="1"/>
  <c r="AT561" i="3"/>
  <c r="AW561" i="3" s="1"/>
  <c r="AT425" i="3"/>
  <c r="AW425" i="3" s="1"/>
  <c r="AT250" i="3"/>
  <c r="AW250" i="3" s="1"/>
  <c r="AT370" i="3"/>
  <c r="AW370" i="3" s="1"/>
  <c r="AT228" i="3"/>
  <c r="AW228" i="3" s="1"/>
  <c r="AT160" i="3"/>
  <c r="AW160" i="3" s="1"/>
  <c r="AT329" i="3"/>
  <c r="AW329" i="3" s="1"/>
  <c r="AT189" i="3"/>
  <c r="AW189" i="3" s="1"/>
  <c r="AT263" i="3"/>
  <c r="AW263" i="3" s="1"/>
  <c r="AT413" i="3"/>
  <c r="AW413" i="3" s="1"/>
  <c r="AT629" i="3"/>
  <c r="AW629" i="3" s="1"/>
  <c r="AT505" i="3"/>
  <c r="AW505" i="3" s="1"/>
  <c r="AT260" i="3"/>
  <c r="AW260" i="3" s="1"/>
  <c r="AT337" i="3"/>
  <c r="AW337" i="3" s="1"/>
  <c r="AT465" i="3"/>
  <c r="AW465" i="3" s="1"/>
  <c r="AT349" i="3"/>
  <c r="AW349" i="3" s="1"/>
  <c r="AT389" i="3"/>
  <c r="AW389" i="3" s="1"/>
  <c r="AT522" i="3"/>
  <c r="AW522" i="3" s="1"/>
  <c r="AT650" i="3"/>
  <c r="AW650" i="3" s="1"/>
  <c r="AT648" i="3"/>
  <c r="AW648" i="3" s="1"/>
  <c r="AT421" i="3"/>
  <c r="AW421" i="3" s="1"/>
  <c r="AT493" i="3"/>
  <c r="AW493" i="3" s="1"/>
  <c r="AT476" i="3"/>
  <c r="AW476" i="3" s="1"/>
  <c r="AT636" i="3"/>
  <c r="AW636" i="3" s="1"/>
  <c r="AT495" i="3"/>
  <c r="AW495" i="3" s="1"/>
  <c r="AT515" i="3"/>
  <c r="AW515" i="3" s="1"/>
  <c r="AT535" i="3"/>
  <c r="AW535" i="3" s="1"/>
  <c r="AT595" i="3"/>
  <c r="AW595" i="3" s="1"/>
  <c r="AT569" i="3"/>
  <c r="AW569" i="3" s="1"/>
  <c r="AT625" i="3"/>
  <c r="AW625" i="3" s="1"/>
  <c r="AT90" i="3"/>
  <c r="AW90" i="3" s="1"/>
  <c r="AT314" i="3"/>
  <c r="AW314" i="3" s="1"/>
  <c r="AT116" i="3"/>
  <c r="AW116" i="3" s="1"/>
  <c r="AT386" i="3"/>
  <c r="AW386" i="3" s="1"/>
  <c r="AT91" i="3"/>
  <c r="AW91" i="3" s="1"/>
  <c r="AT305" i="3"/>
  <c r="AW305" i="3" s="1"/>
  <c r="AT600" i="3"/>
  <c r="AW600" i="3" s="1"/>
  <c r="AT539" i="3"/>
  <c r="AW539" i="3" s="1"/>
  <c r="AT244" i="3"/>
  <c r="AW244" i="3" s="1"/>
  <c r="AT414" i="3"/>
  <c r="AW414" i="3" s="1"/>
  <c r="AT119" i="3"/>
  <c r="AW119" i="3" s="1"/>
  <c r="AT273" i="3"/>
  <c r="AW273" i="3" s="1"/>
  <c r="AT568" i="3"/>
  <c r="AW568" i="3" s="1"/>
  <c r="AT271" i="3"/>
  <c r="AW271" i="3" s="1"/>
  <c r="AT420" i="3"/>
  <c r="AW420" i="3" s="1"/>
  <c r="AT125" i="3"/>
  <c r="AW125" i="3" s="1"/>
  <c r="AT241" i="3"/>
  <c r="AW241" i="3" s="1"/>
  <c r="AT536" i="3"/>
  <c r="AW536" i="3" s="1"/>
  <c r="AT109" i="3"/>
  <c r="AW109" i="3" s="1"/>
  <c r="AT398" i="3"/>
  <c r="AW398" i="3" s="1"/>
  <c r="AT103" i="3"/>
  <c r="AW103" i="3" s="1"/>
  <c r="AT446" i="3"/>
  <c r="AW446" i="3" s="1"/>
  <c r="AT462" i="3"/>
  <c r="AW462" i="3" s="1"/>
  <c r="AT478" i="3"/>
  <c r="AW478" i="3" s="1"/>
  <c r="AT494" i="3"/>
  <c r="AW494" i="3" s="1"/>
  <c r="AT510" i="3"/>
  <c r="AW510" i="3" s="1"/>
  <c r="AT526" i="3"/>
  <c r="AW526" i="3" s="1"/>
  <c r="AT542" i="3"/>
  <c r="AW542" i="3" s="1"/>
  <c r="AT590" i="3"/>
  <c r="AW590" i="3" s="1"/>
  <c r="AT606" i="3"/>
  <c r="AW606" i="3" s="1"/>
  <c r="AT622" i="3"/>
  <c r="AW622" i="3" s="1"/>
  <c r="AT638" i="3"/>
  <c r="AW638" i="3" s="1"/>
  <c r="AT654" i="3"/>
  <c r="AW654" i="3" s="1"/>
  <c r="AT544" i="3"/>
  <c r="AW544" i="3" s="1"/>
  <c r="AT400" i="3"/>
  <c r="AW400" i="3" s="1"/>
  <c r="AT105" i="3"/>
  <c r="AW105" i="3" s="1"/>
  <c r="AT452" i="3"/>
  <c r="AW452" i="3" s="1"/>
  <c r="AT524" i="3"/>
  <c r="AW524" i="3" s="1"/>
  <c r="AT383" i="3"/>
  <c r="AW383" i="3" s="1"/>
  <c r="AT88" i="3"/>
  <c r="AW88" i="3" s="1"/>
  <c r="AT415" i="3"/>
  <c r="AW415" i="3" s="1"/>
  <c r="AT120" i="3"/>
  <c r="AW120" i="3" s="1"/>
  <c r="AT447" i="3"/>
  <c r="AW447" i="3" s="1"/>
  <c r="AT141" i="3"/>
  <c r="AW141" i="3" s="1"/>
  <c r="AT287" i="3"/>
  <c r="AW287" i="3" s="1"/>
  <c r="AT191" i="3"/>
  <c r="AW191" i="3" s="1"/>
  <c r="AT373" i="3"/>
  <c r="AW373" i="3" s="1"/>
  <c r="AT651" i="3"/>
  <c r="AW651" i="3" s="1"/>
  <c r="AT356" i="3"/>
  <c r="AW356" i="3" s="1"/>
  <c r="AT122" i="3"/>
  <c r="AW122" i="3" s="1"/>
  <c r="AT417" i="3"/>
  <c r="AW417" i="3" s="1"/>
  <c r="AT390" i="3"/>
  <c r="AW390" i="3" s="1"/>
  <c r="AT95" i="3"/>
  <c r="AW95" i="3" s="1"/>
  <c r="AT412" i="3"/>
  <c r="AW412" i="3" s="1"/>
  <c r="AT117" i="3"/>
  <c r="AW117" i="3" s="1"/>
  <c r="AT426" i="3"/>
  <c r="AW426" i="3" s="1"/>
  <c r="AT131" i="3"/>
  <c r="AW131" i="3" s="1"/>
  <c r="AT177" i="3"/>
  <c r="AW177" i="3" s="1"/>
  <c r="AT472" i="3"/>
  <c r="AW472" i="3" s="1"/>
  <c r="AT621" i="3"/>
  <c r="AW621" i="3" s="1"/>
  <c r="AT408" i="3"/>
  <c r="AW408" i="3" s="1"/>
  <c r="AT113" i="3"/>
  <c r="AW113" i="3" s="1"/>
  <c r="AT99" i="3"/>
  <c r="AW99" i="3" s="1"/>
  <c r="AT184" i="3"/>
  <c r="AW184" i="3" s="1"/>
  <c r="AT450" i="3"/>
  <c r="AW450" i="3" s="1"/>
  <c r="AT466" i="3"/>
  <c r="AW466" i="3" s="1"/>
  <c r="AT498" i="3"/>
  <c r="AW498" i="3" s="1"/>
  <c r="AT514" i="3"/>
  <c r="AW514" i="3" s="1"/>
  <c r="AT530" i="3"/>
  <c r="AW530" i="3" s="1"/>
  <c r="AT546" i="3"/>
  <c r="AW546" i="3" s="1"/>
  <c r="AT562" i="3"/>
  <c r="AW562" i="3" s="1"/>
  <c r="AT578" i="3"/>
  <c r="AW578" i="3" s="1"/>
  <c r="AT594" i="3"/>
  <c r="AW594" i="3" s="1"/>
  <c r="AT610" i="3"/>
  <c r="AW610" i="3" s="1"/>
  <c r="AT626" i="3"/>
  <c r="AW626" i="3" s="1"/>
  <c r="AT642" i="3"/>
  <c r="AW642" i="3" s="1"/>
  <c r="AT658" i="3"/>
  <c r="AW658" i="3" s="1"/>
  <c r="AT440" i="3"/>
  <c r="AW440" i="3" s="1"/>
  <c r="AT145" i="3"/>
  <c r="AW145" i="3" s="1"/>
  <c r="AT552" i="3"/>
  <c r="AW552" i="3" s="1"/>
  <c r="AT501" i="3"/>
  <c r="AW501" i="3" s="1"/>
  <c r="AT416" i="3"/>
  <c r="AW416" i="3" s="1"/>
  <c r="AT121" i="3"/>
  <c r="AW121" i="3" s="1"/>
  <c r="AT460" i="3"/>
  <c r="AW460" i="3" s="1"/>
  <c r="AT197" i="3"/>
  <c r="AW197" i="3" s="1"/>
  <c r="AT379" i="3"/>
  <c r="AW379" i="3" s="1"/>
  <c r="AT237" i="3"/>
  <c r="AW237" i="3" s="1"/>
  <c r="AT532" i="3"/>
  <c r="AW532" i="3" s="1"/>
  <c r="AT391" i="3"/>
  <c r="AW391" i="3" s="1"/>
  <c r="AT96" i="3"/>
  <c r="AW96" i="3" s="1"/>
  <c r="AT423" i="3"/>
  <c r="AW423" i="3" s="1"/>
  <c r="AT128" i="3"/>
  <c r="AW128" i="3" s="1"/>
  <c r="AT135" i="3"/>
  <c r="AW135" i="3" s="1"/>
  <c r="AT123" i="3"/>
  <c r="AW123" i="3" s="1"/>
  <c r="AT92" i="3"/>
  <c r="AW92" i="3" s="1"/>
  <c r="AT406" i="3"/>
  <c r="AW406" i="3" s="1"/>
  <c r="AT111" i="3"/>
  <c r="AW111" i="3" s="1"/>
  <c r="AT369" i="3"/>
  <c r="AW369" i="3" s="1"/>
  <c r="AT187" i="3"/>
  <c r="AW187" i="3" s="1"/>
  <c r="AT520" i="3"/>
  <c r="AW520" i="3" s="1"/>
  <c r="AT592" i="3"/>
  <c r="AW592" i="3" s="1"/>
  <c r="AT424" i="3"/>
  <c r="AW424" i="3" s="1"/>
  <c r="AT129" i="3"/>
  <c r="AW129" i="3" s="1"/>
  <c r="AT205" i="3"/>
  <c r="AW205" i="3" s="1"/>
  <c r="AT500" i="3"/>
  <c r="AW500" i="3" s="1"/>
  <c r="AT395" i="3"/>
  <c r="AW395" i="3" s="1"/>
  <c r="AT100" i="3"/>
  <c r="AW100" i="3" s="1"/>
  <c r="AT427" i="3"/>
  <c r="AW427" i="3" s="1"/>
  <c r="AT132" i="3"/>
  <c r="AW132" i="3" s="1"/>
  <c r="AT571" i="3"/>
  <c r="AW571" i="3" s="1"/>
  <c r="AT276" i="3"/>
  <c r="AW276" i="3" s="1"/>
  <c r="AT591" i="3"/>
  <c r="AW591" i="3" s="1"/>
  <c r="AT358" i="3"/>
  <c r="AW358" i="3" s="1"/>
  <c r="AT653" i="3"/>
  <c r="AW653" i="3" s="1"/>
  <c r="AT242" i="3"/>
  <c r="AW242" i="3" s="1"/>
  <c r="AT338" i="3"/>
  <c r="AW338" i="3" s="1"/>
  <c r="AT143" i="3"/>
  <c r="AW143" i="3" s="1"/>
  <c r="AT209" i="3"/>
  <c r="AW209" i="3" s="1"/>
  <c r="AT124" i="3"/>
  <c r="AW124" i="3" s="1"/>
  <c r="AT193" i="3"/>
  <c r="AW193" i="3" s="1"/>
  <c r="AT375" i="3"/>
  <c r="AW375" i="3" s="1"/>
  <c r="AT384" i="3"/>
  <c r="AW384" i="3" s="1"/>
  <c r="AT89" i="3"/>
  <c r="AW89" i="3" s="1"/>
  <c r="AT195" i="3"/>
  <c r="AW195" i="3" s="1"/>
  <c r="AT377" i="3"/>
  <c r="AW377" i="3" s="1"/>
  <c r="AT388" i="3"/>
  <c r="AW388" i="3" s="1"/>
  <c r="AT93" i="3"/>
  <c r="AW93" i="3" s="1"/>
  <c r="AT382" i="3"/>
  <c r="AW382" i="3" s="1"/>
  <c r="AT87" i="3"/>
  <c r="AW87" i="3" s="1"/>
  <c r="AT410" i="3"/>
  <c r="AW410" i="3" s="1"/>
  <c r="AT454" i="3"/>
  <c r="AW454" i="3" s="1"/>
  <c r="AT470" i="3"/>
  <c r="AW470" i="3" s="1"/>
  <c r="AT486" i="3"/>
  <c r="AW486" i="3" s="1"/>
  <c r="AT502" i="3"/>
  <c r="AW502" i="3" s="1"/>
  <c r="AT518" i="3"/>
  <c r="AW518" i="3" s="1"/>
  <c r="AT534" i="3"/>
  <c r="AW534" i="3" s="1"/>
  <c r="AT550" i="3"/>
  <c r="AW550" i="3" s="1"/>
  <c r="AT598" i="3"/>
  <c r="AW598" i="3" s="1"/>
  <c r="AT614" i="3"/>
  <c r="AW614" i="3" s="1"/>
  <c r="AT630" i="3"/>
  <c r="AW630" i="3" s="1"/>
  <c r="AT646" i="3"/>
  <c r="AW646" i="3" s="1"/>
  <c r="AT662" i="3"/>
  <c r="AW662" i="3" s="1"/>
  <c r="AT396" i="3"/>
  <c r="AW396" i="3" s="1"/>
  <c r="AT101" i="3"/>
  <c r="AW101" i="3" s="1"/>
  <c r="AT488" i="3"/>
  <c r="AW488" i="3" s="1"/>
  <c r="AT560" i="3"/>
  <c r="AW560" i="3" s="1"/>
  <c r="AT173" i="3"/>
  <c r="AW173" i="3" s="1"/>
  <c r="AT468" i="3"/>
  <c r="AW468" i="3" s="1"/>
  <c r="AT580" i="3"/>
  <c r="AW580" i="3" s="1"/>
  <c r="AT652" i="3"/>
  <c r="AW652" i="3" s="1"/>
  <c r="AT575" i="3"/>
  <c r="AW575" i="3" s="1"/>
  <c r="AT148" i="3"/>
  <c r="AW148" i="3" s="1"/>
  <c r="AT564" i="3"/>
  <c r="AW564" i="3" s="1"/>
  <c r="AT596" i="3"/>
  <c r="AW596" i="3" s="1"/>
  <c r="AT628" i="3"/>
  <c r="AW628" i="3" s="1"/>
  <c r="AT660" i="3"/>
  <c r="AW660" i="3" s="1"/>
  <c r="AT507" i="3"/>
  <c r="AW507" i="3" s="1"/>
  <c r="AT212" i="3"/>
  <c r="AW212" i="3" s="1"/>
  <c r="AT527" i="3"/>
  <c r="AW527" i="3" s="1"/>
  <c r="AT655" i="3"/>
  <c r="AW655" i="3" s="1"/>
  <c r="AT306" i="3"/>
  <c r="AW306" i="3" s="1"/>
  <c r="AT346" i="3"/>
  <c r="AW346" i="3" s="1"/>
  <c r="AT324" i="3"/>
  <c r="AW324" i="3" s="1"/>
  <c r="AT340" i="3"/>
  <c r="AW340" i="3" s="1"/>
  <c r="AT403" i="3"/>
  <c r="AW403" i="3" s="1"/>
  <c r="AT108" i="3"/>
  <c r="AW108" i="3" s="1"/>
  <c r="AT511" i="3"/>
  <c r="AW511" i="3" s="1"/>
  <c r="AT146" i="3"/>
  <c r="AW146" i="3" s="1"/>
  <c r="AT441" i="3"/>
  <c r="AW441" i="3" s="1"/>
  <c r="AT140" i="3"/>
  <c r="AW140" i="3" s="1"/>
  <c r="AT439" i="3"/>
  <c r="AW439" i="3" s="1"/>
  <c r="AT144" i="3"/>
  <c r="AW144" i="3" s="1"/>
  <c r="AT475" i="3"/>
  <c r="AW475" i="3" s="1"/>
  <c r="AT180" i="3"/>
  <c r="AW180" i="3" s="1"/>
  <c r="AT603" i="3"/>
  <c r="AW603" i="3" s="1"/>
  <c r="AT308" i="3"/>
  <c r="AW308" i="3" s="1"/>
  <c r="AT114" i="3"/>
  <c r="AW114" i="3" s="1"/>
  <c r="AT409" i="3"/>
  <c r="AW409" i="3" s="1"/>
  <c r="AT378" i="3"/>
  <c r="AW378" i="3" s="1"/>
  <c r="AT112" i="3"/>
  <c r="AW112" i="3" s="1"/>
  <c r="AT137" i="3"/>
  <c r="AW137" i="3" s="1"/>
  <c r="AT392" i="3"/>
  <c r="AW392" i="3" s="1"/>
  <c r="AT97" i="3"/>
  <c r="AW97" i="3" s="1"/>
  <c r="AT164" i="3"/>
  <c r="AW164" i="3" s="1"/>
  <c r="AT459" i="3"/>
  <c r="AW459" i="3" s="1"/>
  <c r="AT292" i="3"/>
  <c r="AW292" i="3" s="1"/>
  <c r="AT587" i="3"/>
  <c r="AW587" i="3" s="1"/>
  <c r="AT196" i="3"/>
  <c r="AW196" i="3" s="1"/>
  <c r="AT136" i="3"/>
  <c r="AW136" i="3" s="1"/>
  <c r="AT11" i="3"/>
  <c r="AW11" i="3" s="1"/>
  <c r="AO445" i="3"/>
  <c r="AR445" i="3" s="1"/>
  <c r="AO579" i="3"/>
  <c r="AR579" i="3" s="1"/>
  <c r="AO614" i="3"/>
  <c r="AR614" i="3" s="1"/>
  <c r="AO409" i="3"/>
  <c r="AR409" i="3" s="1"/>
  <c r="AO513" i="3"/>
  <c r="AR513" i="3" s="1"/>
  <c r="AO484" i="3"/>
  <c r="AR484" i="3" s="1"/>
  <c r="AO612" i="3"/>
  <c r="AR612" i="3" s="1"/>
  <c r="AO542" i="3"/>
  <c r="AR542" i="3" s="1"/>
  <c r="AO458" i="3"/>
  <c r="AR458" i="3" s="1"/>
  <c r="AO326" i="3"/>
  <c r="AR326" i="3" s="1"/>
  <c r="AO177" i="3"/>
  <c r="AR177" i="3" s="1"/>
  <c r="AO225" i="3"/>
  <c r="AR225" i="3" s="1"/>
  <c r="AO224" i="3"/>
  <c r="AR224" i="3" s="1"/>
  <c r="AO209" i="3"/>
  <c r="AR209" i="3" s="1"/>
  <c r="AO307" i="3"/>
  <c r="AR307" i="3" s="1"/>
  <c r="AO250" i="3"/>
  <c r="AR250" i="3" s="1"/>
  <c r="AO404" i="3"/>
  <c r="AR404" i="3" s="1"/>
  <c r="AO636" i="3"/>
  <c r="AR636" i="3" s="1"/>
  <c r="AO586" i="3"/>
  <c r="AR586" i="3" s="1"/>
  <c r="AO605" i="3"/>
  <c r="AR605" i="3" s="1"/>
  <c r="AO424" i="3"/>
  <c r="AR424" i="3" s="1"/>
  <c r="AO644" i="3"/>
  <c r="AR644" i="3" s="1"/>
  <c r="AO503" i="3"/>
  <c r="AR503" i="3" s="1"/>
  <c r="AO182" i="3"/>
  <c r="AR182" i="3" s="1"/>
  <c r="AO183" i="3"/>
  <c r="AR183" i="3" s="1"/>
  <c r="AO192" i="3"/>
  <c r="AR192" i="3" s="1"/>
  <c r="AO121" i="3"/>
  <c r="AR121" i="3" s="1"/>
  <c r="AO527" i="3"/>
  <c r="AR527" i="3" s="1"/>
  <c r="AO593" i="3"/>
  <c r="AR593" i="3" s="1"/>
  <c r="AO553" i="3"/>
  <c r="AR553" i="3" s="1"/>
  <c r="AO498" i="3"/>
  <c r="AR498" i="3" s="1"/>
  <c r="AO613" i="3"/>
  <c r="AR613" i="3" s="1"/>
  <c r="AO118" i="3"/>
  <c r="AR118" i="3" s="1"/>
  <c r="AO305" i="3"/>
  <c r="AR305" i="3" s="1"/>
  <c r="AO312" i="3"/>
  <c r="AR312" i="3" s="1"/>
  <c r="AO599" i="3"/>
  <c r="AR599" i="3" s="1"/>
  <c r="AO286" i="3"/>
  <c r="AR286" i="3" s="1"/>
  <c r="AO436" i="3"/>
  <c r="AR436" i="3" s="1"/>
  <c r="AO419" i="3"/>
  <c r="AR419" i="3" s="1"/>
  <c r="AO483" i="3"/>
  <c r="AR483" i="3" s="1"/>
  <c r="AO603" i="3"/>
  <c r="AR603" i="3" s="1"/>
  <c r="AO474" i="3"/>
  <c r="AR474" i="3" s="1"/>
  <c r="AO437" i="3"/>
  <c r="AR437" i="3" s="1"/>
  <c r="AO389" i="3"/>
  <c r="AR389" i="3" s="1"/>
  <c r="AO231" i="3"/>
  <c r="AR231" i="3" s="1"/>
  <c r="AO195" i="3"/>
  <c r="AR195" i="3" s="1"/>
  <c r="AO202" i="3"/>
  <c r="AR202" i="3" s="1"/>
  <c r="AO125" i="3"/>
  <c r="AR125" i="3" s="1"/>
  <c r="AO468" i="3"/>
  <c r="AR468" i="3" s="1"/>
  <c r="AO536" i="3"/>
  <c r="AR536" i="3" s="1"/>
  <c r="AO502" i="3"/>
  <c r="AR502" i="3" s="1"/>
  <c r="AO354" i="3"/>
  <c r="AR354" i="3" s="1"/>
  <c r="AO357" i="3"/>
  <c r="AR357" i="3" s="1"/>
  <c r="AO244" i="3"/>
  <c r="AR244" i="3" s="1"/>
  <c r="AO403" i="3"/>
  <c r="AR403" i="3" s="1"/>
  <c r="AO510" i="3"/>
  <c r="AR510" i="3" s="1"/>
  <c r="AO470" i="3"/>
  <c r="AR470" i="3" s="1"/>
  <c r="AO400" i="3"/>
  <c r="AR400" i="3" s="1"/>
  <c r="AO540" i="3"/>
  <c r="AR540" i="3" s="1"/>
  <c r="AO628" i="3"/>
  <c r="AR628" i="3" s="1"/>
  <c r="AO547" i="3"/>
  <c r="AR547" i="3" s="1"/>
  <c r="AO550" i="3"/>
  <c r="AR550" i="3" s="1"/>
  <c r="AO554" i="3"/>
  <c r="AR554" i="3" s="1"/>
  <c r="AO167" i="3"/>
  <c r="AR167" i="3" s="1"/>
  <c r="AO367" i="3"/>
  <c r="AR367" i="3" s="1"/>
  <c r="AO297" i="3"/>
  <c r="AR297" i="3" s="1"/>
  <c r="AO288" i="3"/>
  <c r="AR288" i="3" s="1"/>
  <c r="AO211" i="3"/>
  <c r="AR211" i="3" s="1"/>
  <c r="AO234" i="3"/>
  <c r="AR234" i="3" s="1"/>
  <c r="AO151" i="3"/>
  <c r="AR151" i="3" s="1"/>
  <c r="AO89" i="3"/>
  <c r="AR89" i="3" s="1"/>
  <c r="AO604" i="3"/>
  <c r="AR604" i="3" s="1"/>
  <c r="AO407" i="3"/>
  <c r="AR407" i="3" s="1"/>
  <c r="AO515" i="3"/>
  <c r="AR515" i="3" s="1"/>
  <c r="AO306" i="3"/>
  <c r="AR306" i="3" s="1"/>
  <c r="AO633" i="3"/>
  <c r="AR633" i="3" s="1"/>
  <c r="AO467" i="3"/>
  <c r="AR467" i="3" s="1"/>
  <c r="AO523" i="3"/>
  <c r="AR523" i="3" s="1"/>
  <c r="AO591" i="3"/>
  <c r="AR591" i="3" s="1"/>
  <c r="AO574" i="3"/>
  <c r="AR574" i="3" s="1"/>
  <c r="AO490" i="3"/>
  <c r="AR490" i="3" s="1"/>
  <c r="AO113" i="3"/>
  <c r="AR113" i="3" s="1"/>
  <c r="AO287" i="3"/>
  <c r="AR287" i="3" s="1"/>
  <c r="AO96" i="3"/>
  <c r="AR96" i="3" s="1"/>
  <c r="AO136" i="3"/>
  <c r="AR136" i="3" s="1"/>
  <c r="AO352" i="3"/>
  <c r="AR352" i="3" s="1"/>
  <c r="AO363" i="3"/>
  <c r="AR363" i="3" s="1"/>
  <c r="AO274" i="3"/>
  <c r="AR274" i="3" s="1"/>
  <c r="AO340" i="3"/>
  <c r="AR340" i="3" s="1"/>
  <c r="AO101" i="3"/>
  <c r="AR101" i="3" s="1"/>
  <c r="AO221" i="3"/>
  <c r="AR221" i="3" s="1"/>
  <c r="AO254" i="3"/>
  <c r="AR254" i="3" s="1"/>
  <c r="AO226" i="3"/>
  <c r="AR226" i="3" s="1"/>
  <c r="AO464" i="3"/>
  <c r="AR464" i="3" s="1"/>
  <c r="AO531" i="3"/>
  <c r="AR531" i="3" s="1"/>
  <c r="AO534" i="3"/>
  <c r="AR534" i="3" s="1"/>
  <c r="AO356" i="3"/>
  <c r="AR356" i="3" s="1"/>
  <c r="AO507" i="3"/>
  <c r="AR507" i="3" s="1"/>
  <c r="AO609" i="3"/>
  <c r="AR609" i="3" s="1"/>
  <c r="AO485" i="3"/>
  <c r="AR485" i="3" s="1"/>
  <c r="AO595" i="3"/>
  <c r="AR595" i="3" s="1"/>
  <c r="AO642" i="3"/>
  <c r="AR642" i="3" s="1"/>
  <c r="AO512" i="3"/>
  <c r="AR512" i="3" s="1"/>
  <c r="AO572" i="3"/>
  <c r="AR572" i="3" s="1"/>
  <c r="AO535" i="3"/>
  <c r="AR535" i="3" s="1"/>
  <c r="AO405" i="3"/>
  <c r="AR405" i="3" s="1"/>
  <c r="AO625" i="3"/>
  <c r="AR625" i="3" s="1"/>
  <c r="AO86" i="3"/>
  <c r="AR86" i="3" s="1"/>
  <c r="AO278" i="3"/>
  <c r="AR278" i="3" s="1"/>
  <c r="AO342" i="3"/>
  <c r="AR342" i="3" s="1"/>
  <c r="AO280" i="3"/>
  <c r="AR280" i="3" s="1"/>
  <c r="AO320" i="3"/>
  <c r="AR320" i="3" s="1"/>
  <c r="AO154" i="3"/>
  <c r="AR154" i="3" s="1"/>
  <c r="AO196" i="3"/>
  <c r="AR196" i="3" s="1"/>
  <c r="AO292" i="3"/>
  <c r="AR292" i="3" s="1"/>
  <c r="AO188" i="3"/>
  <c r="AR188" i="3" s="1"/>
  <c r="AO210" i="3"/>
  <c r="AR210" i="3" s="1"/>
  <c r="AO158" i="3"/>
  <c r="AR158" i="3" s="1"/>
  <c r="AO661" i="3"/>
  <c r="AR661" i="3" s="1"/>
  <c r="AO452" i="3"/>
  <c r="AR452" i="3" s="1"/>
  <c r="AO524" i="3"/>
  <c r="AR524" i="3" s="1"/>
  <c r="AO580" i="3"/>
  <c r="AR580" i="3" s="1"/>
  <c r="AO387" i="3"/>
  <c r="AR387" i="3" s="1"/>
  <c r="AO495" i="3"/>
  <c r="AR495" i="3" s="1"/>
  <c r="AO611" i="3"/>
  <c r="AR611" i="3" s="1"/>
  <c r="AO429" i="3"/>
  <c r="AR429" i="3" s="1"/>
  <c r="AO372" i="3"/>
  <c r="AR372" i="3" s="1"/>
  <c r="AO265" i="3"/>
  <c r="AR265" i="3" s="1"/>
  <c r="AO263" i="3"/>
  <c r="AR263" i="3" s="1"/>
  <c r="AO374" i="3"/>
  <c r="AR374" i="3" s="1"/>
  <c r="AO187" i="3"/>
  <c r="AR187" i="3" s="1"/>
  <c r="AO365" i="3"/>
  <c r="AR365" i="3" s="1"/>
  <c r="AO148" i="3"/>
  <c r="AR148" i="3" s="1"/>
  <c r="AO85" i="3"/>
  <c r="AR85" i="3" s="1"/>
  <c r="AO130" i="3"/>
  <c r="AR130" i="3" s="1"/>
  <c r="AO242" i="3"/>
  <c r="AR242" i="3" s="1"/>
  <c r="AO123" i="3"/>
  <c r="AR123" i="3" s="1"/>
  <c r="AO271" i="3"/>
  <c r="AR271" i="3" s="1"/>
  <c r="AO566" i="3"/>
  <c r="AR566" i="3" s="1"/>
  <c r="AO492" i="3"/>
  <c r="AR492" i="3" s="1"/>
  <c r="AO197" i="3"/>
  <c r="AR197" i="3" s="1"/>
  <c r="AO143" i="3"/>
  <c r="AR143" i="3" s="1"/>
  <c r="AO501" i="3"/>
  <c r="AR501" i="3" s="1"/>
  <c r="AO206" i="3"/>
  <c r="AR206" i="3" s="1"/>
  <c r="AO184" i="3"/>
  <c r="AR184" i="3" s="1"/>
  <c r="AO479" i="3"/>
  <c r="AR479" i="3" s="1"/>
  <c r="AO299" i="3"/>
  <c r="AR299" i="3" s="1"/>
  <c r="AO594" i="3"/>
  <c r="AR594" i="3" s="1"/>
  <c r="AO508" i="3"/>
  <c r="AR508" i="3" s="1"/>
  <c r="AO629" i="3"/>
  <c r="AR629" i="3" s="1"/>
  <c r="AO334" i="3"/>
  <c r="AR334" i="3" s="1"/>
  <c r="AO267" i="3"/>
  <c r="AR267" i="3" s="1"/>
  <c r="AO562" i="3"/>
  <c r="AR562" i="3" s="1"/>
  <c r="AO556" i="3"/>
  <c r="AR556" i="3" s="1"/>
  <c r="AO261" i="3"/>
  <c r="AR261" i="3" s="1"/>
  <c r="AO499" i="3"/>
  <c r="AR499" i="3" s="1"/>
  <c r="AO441" i="3"/>
  <c r="AR441" i="3" s="1"/>
  <c r="AO146" i="3"/>
  <c r="AR146" i="3" s="1"/>
  <c r="AO120" i="3"/>
  <c r="AR120" i="3" s="1"/>
  <c r="AO415" i="3"/>
  <c r="AR415" i="3" s="1"/>
  <c r="AO164" i="3"/>
  <c r="AR164" i="3" s="1"/>
  <c r="AO459" i="3"/>
  <c r="AR459" i="3" s="1"/>
  <c r="AO11" i="3"/>
  <c r="AR11" i="3" s="1"/>
  <c r="AO266" i="3"/>
  <c r="AR266" i="3" s="1"/>
  <c r="AO432" i="3"/>
  <c r="AR432" i="3" s="1"/>
  <c r="AO620" i="3"/>
  <c r="AR620" i="3" s="1"/>
  <c r="AO655" i="3"/>
  <c r="AR655" i="3" s="1"/>
  <c r="AO442" i="3"/>
  <c r="AR442" i="3" s="1"/>
  <c r="AO147" i="3"/>
  <c r="AR147" i="3" s="1"/>
  <c r="AO295" i="3"/>
  <c r="AR295" i="3" s="1"/>
  <c r="AO88" i="3"/>
  <c r="AR88" i="3" s="1"/>
  <c r="AO383" i="3"/>
  <c r="AR383" i="3" s="1"/>
  <c r="AO128" i="3"/>
  <c r="AR128" i="3" s="1"/>
  <c r="AO106" i="3"/>
  <c r="AR106" i="3" s="1"/>
  <c r="AO165" i="3"/>
  <c r="AR165" i="3" s="1"/>
  <c r="AO322" i="3"/>
  <c r="AR322" i="3" s="1"/>
  <c r="AO362" i="3"/>
  <c r="AR362" i="3" s="1"/>
  <c r="AO198" i="3"/>
  <c r="AR198" i="3" s="1"/>
  <c r="AO489" i="3"/>
  <c r="AR489" i="3" s="1"/>
  <c r="AO376" i="3"/>
  <c r="AR376" i="3" s="1"/>
  <c r="AO339" i="3"/>
  <c r="AR339" i="3" s="1"/>
  <c r="AO634" i="3"/>
  <c r="AR634" i="3" s="1"/>
  <c r="AO246" i="3"/>
  <c r="AR246" i="3" s="1"/>
  <c r="AO541" i="3"/>
  <c r="AR541" i="3" s="1"/>
  <c r="AO488" i="3"/>
  <c r="AR488" i="3" s="1"/>
  <c r="AO193" i="3"/>
  <c r="AR193" i="3" s="1"/>
  <c r="AO373" i="3"/>
  <c r="AR373" i="3" s="1"/>
  <c r="AO486" i="3"/>
  <c r="AR486" i="3" s="1"/>
  <c r="AO597" i="3"/>
  <c r="AR597" i="3" s="1"/>
  <c r="AO302" i="3"/>
  <c r="AR302" i="3" s="1"/>
  <c r="AO525" i="3"/>
  <c r="AR525" i="3" s="1"/>
  <c r="AO230" i="3"/>
  <c r="AR230" i="3" s="1"/>
  <c r="AO152" i="3"/>
  <c r="AR152" i="3" s="1"/>
  <c r="AO447" i="3"/>
  <c r="AR447" i="3" s="1"/>
  <c r="AO162" i="3"/>
  <c r="AR162" i="3" s="1"/>
  <c r="AO126" i="3"/>
  <c r="AR126" i="3" s="1"/>
  <c r="AO426" i="3"/>
  <c r="AR426" i="3" s="1"/>
  <c r="AO131" i="3"/>
  <c r="AR131" i="3" s="1"/>
  <c r="AO648" i="3"/>
  <c r="AR648" i="3" s="1"/>
  <c r="AO624" i="3"/>
  <c r="AR624" i="3" s="1"/>
  <c r="AO329" i="3"/>
  <c r="AR329" i="3" s="1"/>
  <c r="AO289" i="3"/>
  <c r="AR289" i="3" s="1"/>
  <c r="AO584" i="3"/>
  <c r="AR584" i="3" s="1"/>
  <c r="AO632" i="3"/>
  <c r="AR632" i="3" s="1"/>
  <c r="AO563" i="3"/>
  <c r="AR563" i="3" s="1"/>
  <c r="AO386" i="3"/>
  <c r="AR386" i="3" s="1"/>
  <c r="AO91" i="3"/>
  <c r="AR91" i="3" s="1"/>
  <c r="AO530" i="3"/>
  <c r="AR530" i="3" s="1"/>
  <c r="AO656" i="3"/>
  <c r="AR656" i="3" s="1"/>
  <c r="AO517" i="3"/>
  <c r="AR517" i="3" s="1"/>
  <c r="AO598" i="3"/>
  <c r="AR598" i="3" s="1"/>
  <c r="AO303" i="3"/>
  <c r="AR303" i="3" s="1"/>
  <c r="AO100" i="3"/>
  <c r="AR100" i="3" s="1"/>
  <c r="AO596" i="3"/>
  <c r="AR596" i="3" s="1"/>
  <c r="AO301" i="3"/>
  <c r="AR301" i="3" s="1"/>
  <c r="AO103" i="3"/>
  <c r="AR103" i="3" s="1"/>
  <c r="AO107" i="3"/>
  <c r="AR107" i="3" s="1"/>
  <c r="AO115" i="3"/>
  <c r="AR115" i="3" s="1"/>
  <c r="AO99" i="3"/>
  <c r="AR99" i="3" s="1"/>
  <c r="AO473" i="3"/>
  <c r="AR473" i="3" s="1"/>
  <c r="AO178" i="3"/>
  <c r="AR178" i="3" s="1"/>
  <c r="AO393" i="3"/>
  <c r="AR393" i="3" s="1"/>
  <c r="AO98" i="3"/>
  <c r="AR98" i="3" s="1"/>
  <c r="AO119" i="3"/>
  <c r="AR119" i="3" s="1"/>
  <c r="AO414" i="3"/>
  <c r="AR414" i="3" s="1"/>
  <c r="AO390" i="3"/>
  <c r="AR390" i="3" s="1"/>
  <c r="AO95" i="3"/>
  <c r="AR95" i="3" s="1"/>
  <c r="AO559" i="3"/>
  <c r="AR559" i="3" s="1"/>
  <c r="AO653" i="3"/>
  <c r="AR653" i="3" s="1"/>
  <c r="AO358" i="3"/>
  <c r="AR358" i="3" s="1"/>
  <c r="AO153" i="3"/>
  <c r="AR153" i="3" s="1"/>
  <c r="AO448" i="3"/>
  <c r="AR448" i="3" s="1"/>
  <c r="AO87" i="3"/>
  <c r="AR87" i="3" s="1"/>
  <c r="AO281" i="3"/>
  <c r="AR281" i="3" s="1"/>
  <c r="AO257" i="3"/>
  <c r="AR257" i="3" s="1"/>
  <c r="AO433" i="3"/>
  <c r="AR433" i="3" s="1"/>
  <c r="AO444" i="3"/>
  <c r="AR444" i="3" s="1"/>
  <c r="AO532" i="3"/>
  <c r="AR532" i="3" s="1"/>
  <c r="AO623" i="3"/>
  <c r="AR623" i="3" s="1"/>
  <c r="AO434" i="3"/>
  <c r="AR434" i="3" s="1"/>
  <c r="AO139" i="3"/>
  <c r="AR139" i="3" s="1"/>
  <c r="AO385" i="3"/>
  <c r="AR385" i="3" s="1"/>
  <c r="AO461" i="3"/>
  <c r="AR461" i="3" s="1"/>
  <c r="AO97" i="3"/>
  <c r="AR97" i="3" s="1"/>
  <c r="AO321" i="3"/>
  <c r="AR321" i="3" s="1"/>
  <c r="AO616" i="3"/>
  <c r="AR616" i="3" s="1"/>
  <c r="AO249" i="3"/>
  <c r="AR249" i="3" s="1"/>
  <c r="AO544" i="3"/>
  <c r="AR544" i="3" s="1"/>
  <c r="AO216" i="3"/>
  <c r="AR216" i="3" s="1"/>
  <c r="AO256" i="3"/>
  <c r="AR256" i="3" s="1"/>
  <c r="AO344" i="3"/>
  <c r="AR344" i="3" s="1"/>
  <c r="AO456" i="3"/>
  <c r="AR456" i="3" s="1"/>
  <c r="AO161" i="3"/>
  <c r="AR161" i="3" s="1"/>
  <c r="AO369" i="3"/>
  <c r="AR369" i="3" s="1"/>
  <c r="AO379" i="3"/>
  <c r="AR379" i="3" s="1"/>
  <c r="AO378" i="3"/>
  <c r="AR378" i="3" s="1"/>
  <c r="AO324" i="3"/>
  <c r="AR324" i="3" s="1"/>
  <c r="AO135" i="3"/>
  <c r="AR135" i="3" s="1"/>
  <c r="AO155" i="3"/>
  <c r="AR155" i="3" s="1"/>
  <c r="AO270" i="3"/>
  <c r="AR270" i="3" s="1"/>
  <c r="AO282" i="3"/>
  <c r="AR282" i="3" s="1"/>
  <c r="AO311" i="3"/>
  <c r="AR311" i="3" s="1"/>
  <c r="AO346" i="3"/>
  <c r="AR346" i="3" s="1"/>
  <c r="AO174" i="3"/>
  <c r="AR174" i="3" s="1"/>
  <c r="AO111" i="3"/>
  <c r="AR111" i="3" s="1"/>
  <c r="AO350" i="3"/>
  <c r="AR350" i="3" s="1"/>
  <c r="AO127" i="3"/>
  <c r="AR127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<sst xmlns="http://schemas.openxmlformats.org/spreadsheetml/2006/main" count="1411" uniqueCount="111">
  <si>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</si>
  <si>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</si>
  <si>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</si>
  <si>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</si>
  <si>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</si>
  <si>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</si>
  <si>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</si>
  <si>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</si>
  <si>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</si>
  <si>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</si>
  <si>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</si>
  <si>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</si>
  <si>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</si>
  <si>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</si>
  <si>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</si>
  <si>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</si>
  <si>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</si>
  <si>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</si>
  <si>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</si>
  <si>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</si>
  <si>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</si>
  <si>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</si>
  <si>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</si>
  <si>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</si>
  <si>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</si>
  <si>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</si>
  <si>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</si>
  <si>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</si>
  <si>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</si>
  <si>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</si>
  <si>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</si>
  <si>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</si>
  <si>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</si>
  <si>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</si>
  <si>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</si>
  <si>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</si>
  <si>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</si>
  <si>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</si>
  <si>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</si>
  <si>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</si>
  <si>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</si>
  <si>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</si>
  <si>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</si>
  <si>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</si>
  <si>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</si>
  <si>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</si>
  <si>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</si>
  <si>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</si>
  <si>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</si>
  <si>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</si>
  <si>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</si>
  <si>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</si>
  <si>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</si>
  <si>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</si>
  <si>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</si>
  <si>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</si>
  <si>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</si>
  <si>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</si>
  <si>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</si>
  <si>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</si>
  <si>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</si>
  <si>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</si>
  <si>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</si>
  <si>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</si>
  <si>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</si>
  <si>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</si>
  <si>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</si>
  <si>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</si>
  <si>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</si>
  <si>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</si>
  <si>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</si>
  <si>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</si>
  <si>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</si>
  <si>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</si>
  <si>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</si>
  <si>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</si>
  <si>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</si>
  <si>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</si>
  <si>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</si>
  <si>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</si>
  <si>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</si>
  <si>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</si>
  <si>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</si>
  <si>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</si>
  <si>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</si>
  <si>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</si>
  <si>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</si>
  <si>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100771</t>
  </si>
  <si>
    <t>MFN</t>
  </si>
  <si>
    <t>Seely Ave N/W of Montaque Expy</t>
  </si>
  <si>
    <t>San Jose, CA</t>
  </si>
  <si>
    <t>FOSC450D66NT0T3V= (GEL)</t>
  </si>
  <si>
    <t>CA-24</t>
  </si>
  <si>
    <t>To CA-95M</t>
  </si>
  <si>
    <t>To CA-16W</t>
  </si>
  <si>
    <t>432</t>
  </si>
  <si>
    <t>Lucent</t>
  </si>
  <si>
    <t>NCA-8172-432</t>
  </si>
  <si>
    <t>CA-2S9: 9999-ENT-N-1</t>
  </si>
  <si>
    <t>To 2655 Seely Ave SEP 100772</t>
  </si>
  <si>
    <t>29</t>
  </si>
  <si>
    <t>1</t>
  </si>
  <si>
    <t>ISO-0163745</t>
  </si>
  <si>
    <t>24</t>
  </si>
  <si>
    <t>Prysmian</t>
  </si>
  <si>
    <t>87416 06-14</t>
  </si>
  <si>
    <t>Exit A, Enter: 5018m, Case: 5024m</t>
  </si>
  <si>
    <t>Exit B, Enter: 5036m, Case: 5029m</t>
  </si>
  <si>
    <t>Exit C, Enter: 22,340' Case: 22,280'</t>
  </si>
  <si>
    <t>Ben Delman</t>
  </si>
  <si>
    <t>Craig Bland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</si>
</sst>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xmlns="" id="{00000000-0008-0000-00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xmlns="" id="{00000000-0008-0000-00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xmlns="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>
              <a:extLst>
                <a:ext uri="{FF2B5EF4-FFF2-40B4-BE49-F238E27FC236}">
                  <a16:creationId xmlns:a16="http://schemas.microsoft.com/office/drawing/2014/main" xmlns="" id="{00000000-0008-0000-0000-00000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26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xmlns="" id="{00000000-0008-0000-01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xmlns="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Normal="100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>
        <v>4158</v>
      </c>
      <c r="C41" s="316" t="s">
        <v>88</v>
      </c>
      <c r="D41" s="316" t="s">
        <v>89</v>
      </c>
      <c r="E41" s="316" t="s">
        <v>90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91</v>
      </c>
      <c r="C45" s="307"/>
      <c r="D45" s="310" t="str">
        <f>CONCATENATE('Cable Info'!C11,"  ",'Cable Info'!C18,"   ",'Cable Info'!C25,"  ",'Cable Info'!C32,"   ",'Cable Info'!C39,"   ",'Cable Info'!C46)</f>
        <v xml:space="preserve">CA-24  CA-24   CA-2S9: 9999-ENT-N-1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109</v>
      </c>
      <c r="C50" s="291"/>
      <c r="D50" s="293" t="s">
        <v>110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100771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9" zoomScale="85" zoomScaleNormal="85" workbookViewId="0">
      <selection activeCell="E29" sqref="E29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TW</v>
      </c>
      <c r="N2" s="150">
        <f>IF($B$20&gt;=K2,K2,"")</f>
        <v>1</v>
      </c>
      <c r="O2" s="150" t="str">
        <f>IF(N2="","",IF(N2&lt;=$E$22,VLOOKUP($E$21,$I$1:$J$4,2,FALSE),VLOOKUP($F$21,$I$1:$J$4,2,FALSE)))</f>
        <v>TW</v>
      </c>
      <c r="P2" s="150">
        <f>IF($B$27&gt;=K2,K2,"")</f>
        <v>1</v>
      </c>
      <c r="Q2" s="150" t="str">
        <f>IF(P2="","",IF(P2&lt;=$E$29,VLOOKUP($E$28,$I$1:$J$4,2,FALSE),VLOOKUP($F$28,$I$1:$J$4,2,FALSE)))</f>
        <v>AW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100771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TW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TW</v>
      </c>
      <c r="P3" s="150">
        <f t="shared" ref="P3:P66" si="4">IF($B$27&gt;=K3,K3,"")</f>
        <v>2</v>
      </c>
      <c r="Q3" s="150" t="str">
        <f t="shared" ref="Q3:Q66" si="5">IF(P3="","",IF(P3&lt;=$E$29,VLOOKUP($E$28,$I$1:$J$4,2,FALSE),VLOOKUP($F$28,$I$1:$J$4,2,FALSE)))</f>
        <v>AW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TW</v>
      </c>
      <c r="N4" s="150">
        <f t="shared" si="2"/>
        <v>3</v>
      </c>
      <c r="O4" s="150" t="str">
        <f t="shared" si="3"/>
        <v>TW</v>
      </c>
      <c r="P4" s="150">
        <f t="shared" si="4"/>
        <v>3</v>
      </c>
      <c r="Q4" s="150" t="str">
        <f t="shared" si="5"/>
        <v>AW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TW</v>
      </c>
      <c r="N5" s="150">
        <f t="shared" si="2"/>
        <v>4</v>
      </c>
      <c r="O5" s="150" t="str">
        <f t="shared" si="3"/>
        <v>TW</v>
      </c>
      <c r="P5" s="150">
        <f t="shared" si="4"/>
        <v>4</v>
      </c>
      <c r="Q5" s="150" t="str">
        <f t="shared" si="5"/>
        <v>AW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str">
        <f t="shared" si="1"/>
        <v>TW</v>
      </c>
      <c r="N6" s="150">
        <f t="shared" si="2"/>
        <v>5</v>
      </c>
      <c r="O6" s="150" t="str">
        <f t="shared" si="3"/>
        <v>TW</v>
      </c>
      <c r="P6" s="150">
        <f t="shared" si="4"/>
        <v>5</v>
      </c>
      <c r="Q6" s="150" t="str">
        <f t="shared" si="5"/>
        <v>AW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TW</v>
      </c>
      <c r="N7" s="150">
        <f t="shared" si="2"/>
        <v>6</v>
      </c>
      <c r="O7" s="150" t="str">
        <f t="shared" si="3"/>
        <v>TW</v>
      </c>
      <c r="P7" s="150">
        <f t="shared" si="4"/>
        <v>6</v>
      </c>
      <c r="Q7" s="150" t="str">
        <f t="shared" si="5"/>
        <v>AW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TW</v>
      </c>
      <c r="N8" s="150">
        <f t="shared" si="2"/>
        <v>7</v>
      </c>
      <c r="O8" s="150" t="str">
        <f t="shared" si="3"/>
        <v>TW</v>
      </c>
      <c r="P8" s="150">
        <f t="shared" si="4"/>
        <v>7</v>
      </c>
      <c r="Q8" s="150" t="str">
        <f t="shared" si="5"/>
        <v>AW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TW</v>
      </c>
      <c r="N9" s="150">
        <f t="shared" si="2"/>
        <v>8</v>
      </c>
      <c r="O9" s="150" t="str">
        <f t="shared" si="3"/>
        <v>TW</v>
      </c>
      <c r="P9" s="150">
        <f t="shared" si="4"/>
        <v>8</v>
      </c>
      <c r="Q9" s="150" t="str">
        <f t="shared" si="5"/>
        <v>AW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str">
        <f t="shared" si="1"/>
        <v>TW</v>
      </c>
      <c r="N10" s="150">
        <f t="shared" si="2"/>
        <v>9</v>
      </c>
      <c r="O10" s="150" t="str">
        <f t="shared" si="3"/>
        <v>TW</v>
      </c>
      <c r="P10" s="150">
        <f t="shared" si="4"/>
        <v>9</v>
      </c>
      <c r="Q10" s="150" t="str">
        <f t="shared" si="5"/>
        <v>AW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92</v>
      </c>
      <c r="D11" s="323" t="s">
        <v>94</v>
      </c>
      <c r="E11" s="324"/>
      <c r="F11" s="325"/>
      <c r="G11" s="68"/>
      <c r="K11" s="150">
        <v>10</v>
      </c>
      <c r="L11" s="150">
        <f t="shared" si="0"/>
        <v>10</v>
      </c>
      <c r="M11" s="150" t="str">
        <f t="shared" si="1"/>
        <v>TW</v>
      </c>
      <c r="N11" s="150">
        <f t="shared" si="2"/>
        <v>10</v>
      </c>
      <c r="O11" s="150" t="str">
        <f t="shared" si="3"/>
        <v>TW</v>
      </c>
      <c r="P11" s="150">
        <f t="shared" si="4"/>
        <v>10</v>
      </c>
      <c r="Q11" s="150" t="str">
        <f t="shared" si="5"/>
        <v>AW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str">
        <f t="shared" si="1"/>
        <v>TW</v>
      </c>
      <c r="N12" s="150">
        <f t="shared" si="2"/>
        <v>11</v>
      </c>
      <c r="O12" s="150" t="str">
        <f t="shared" si="3"/>
        <v>TW</v>
      </c>
      <c r="P12" s="150">
        <f t="shared" si="4"/>
        <v>11</v>
      </c>
      <c r="Q12" s="150" t="str">
        <f t="shared" si="5"/>
        <v>AW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95</v>
      </c>
      <c r="C13" s="331" t="s">
        <v>96</v>
      </c>
      <c r="D13" s="87" t="s">
        <v>97</v>
      </c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TW</v>
      </c>
      <c r="N13" s="150">
        <f t="shared" si="2"/>
        <v>12</v>
      </c>
      <c r="O13" s="150" t="str">
        <f t="shared" si="3"/>
        <v>TW</v>
      </c>
      <c r="P13" s="150">
        <f t="shared" si="4"/>
        <v>12</v>
      </c>
      <c r="Q13" s="150" t="str">
        <f t="shared" si="5"/>
        <v>AW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 t="s">
        <v>31</v>
      </c>
      <c r="F14" s="91" t="s">
        <v>40</v>
      </c>
      <c r="G14" s="68"/>
      <c r="K14" s="150">
        <v>13</v>
      </c>
      <c r="L14" s="150">
        <f t="shared" si="0"/>
        <v>13</v>
      </c>
      <c r="M14" s="150" t="str">
        <f t="shared" si="1"/>
        <v>TW</v>
      </c>
      <c r="N14" s="150">
        <f t="shared" si="2"/>
        <v>13</v>
      </c>
      <c r="O14" s="150" t="str">
        <f t="shared" si="3"/>
        <v>TW</v>
      </c>
      <c r="P14" s="150">
        <f t="shared" si="4"/>
        <v>13</v>
      </c>
      <c r="Q14" s="150" t="str">
        <f t="shared" si="5"/>
        <v>AW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 t="s">
        <v>49</v>
      </c>
      <c r="E15" s="89">
        <v>216</v>
      </c>
      <c r="F15" s="77">
        <f>IF(B13="","",IF(E15="","",IF(F14="None","",B13-E15)))</f>
        <v>216</v>
      </c>
      <c r="G15" s="68"/>
      <c r="K15" s="150">
        <v>14</v>
      </c>
      <c r="L15" s="150">
        <f t="shared" si="0"/>
        <v>14</v>
      </c>
      <c r="M15" s="150" t="str">
        <f t="shared" si="1"/>
        <v>TW</v>
      </c>
      <c r="N15" s="150">
        <f t="shared" si="2"/>
        <v>14</v>
      </c>
      <c r="O15" s="150" t="str">
        <f t="shared" si="3"/>
        <v>TW</v>
      </c>
      <c r="P15" s="150">
        <f t="shared" si="4"/>
        <v>14</v>
      </c>
      <c r="Q15" s="150" t="str">
        <f t="shared" si="5"/>
        <v>AW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TW</v>
      </c>
      <c r="N16" s="150">
        <f t="shared" si="2"/>
        <v>15</v>
      </c>
      <c r="O16" s="150" t="str">
        <f t="shared" si="3"/>
        <v>TW</v>
      </c>
      <c r="P16" s="150">
        <f t="shared" si="4"/>
        <v>15</v>
      </c>
      <c r="Q16" s="150" t="str">
        <f t="shared" si="5"/>
        <v>AW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str">
        <f t="shared" si="1"/>
        <v>TW</v>
      </c>
      <c r="N17" s="150">
        <f t="shared" si="2"/>
        <v>16</v>
      </c>
      <c r="O17" s="150" t="str">
        <f t="shared" si="3"/>
        <v>TW</v>
      </c>
      <c r="P17" s="150">
        <f t="shared" si="4"/>
        <v>16</v>
      </c>
      <c r="Q17" s="150" t="str">
        <f t="shared" si="5"/>
        <v>AW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92</v>
      </c>
      <c r="D18" s="323" t="s">
        <v>93</v>
      </c>
      <c r="E18" s="324"/>
      <c r="F18" s="325"/>
      <c r="G18" s="68"/>
      <c r="K18" s="150">
        <v>17</v>
      </c>
      <c r="L18" s="150">
        <f t="shared" si="0"/>
        <v>17</v>
      </c>
      <c r="M18" s="150" t="str">
        <f t="shared" si="1"/>
        <v>TW</v>
      </c>
      <c r="N18" s="150">
        <f t="shared" si="2"/>
        <v>17</v>
      </c>
      <c r="O18" s="150" t="str">
        <f t="shared" si="3"/>
        <v>TW</v>
      </c>
      <c r="P18" s="150">
        <f t="shared" si="4"/>
        <v>17</v>
      </c>
      <c r="Q18" s="150" t="str">
        <f t="shared" si="5"/>
        <v>AW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str">
        <f t="shared" si="1"/>
        <v>TW</v>
      </c>
      <c r="N19" s="150">
        <f t="shared" si="2"/>
        <v>18</v>
      </c>
      <c r="O19" s="150" t="str">
        <f t="shared" si="3"/>
        <v>TW</v>
      </c>
      <c r="P19" s="150">
        <f t="shared" si="4"/>
        <v>18</v>
      </c>
      <c r="Q19" s="150" t="str">
        <f t="shared" si="5"/>
        <v>AW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95</v>
      </c>
      <c r="C20" s="331" t="s">
        <v>96</v>
      </c>
      <c r="D20" s="87" t="s">
        <v>97</v>
      </c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TW</v>
      </c>
      <c r="N20" s="150">
        <f t="shared" si="2"/>
        <v>19</v>
      </c>
      <c r="O20" s="150" t="str">
        <f t="shared" si="3"/>
        <v>TW</v>
      </c>
      <c r="P20" s="150">
        <f t="shared" si="4"/>
        <v>19</v>
      </c>
      <c r="Q20" s="150" t="str">
        <f t="shared" si="5"/>
        <v>AW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 t="s">
        <v>31</v>
      </c>
      <c r="F21" s="91" t="s">
        <v>40</v>
      </c>
      <c r="G21" s="68"/>
      <c r="K21" s="150">
        <v>20</v>
      </c>
      <c r="L21" s="150">
        <f t="shared" si="0"/>
        <v>20</v>
      </c>
      <c r="M21" s="150" t="str">
        <f t="shared" si="1"/>
        <v>TW</v>
      </c>
      <c r="N21" s="150">
        <f t="shared" si="2"/>
        <v>20</v>
      </c>
      <c r="O21" s="150" t="str">
        <f t="shared" si="3"/>
        <v>TW</v>
      </c>
      <c r="P21" s="150">
        <f t="shared" si="4"/>
        <v>20</v>
      </c>
      <c r="Q21" s="150" t="str">
        <f t="shared" si="5"/>
        <v>AW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 t="s">
        <v>49</v>
      </c>
      <c r="E22" s="89">
        <v>216</v>
      </c>
      <c r="F22" s="77">
        <f>IF(B20="","",IF(E22="","",IF(F21="None","",B20-E22)))</f>
        <v>216</v>
      </c>
      <c r="G22" s="68"/>
      <c r="K22" s="150">
        <v>21</v>
      </c>
      <c r="L22" s="150">
        <f t="shared" si="0"/>
        <v>21</v>
      </c>
      <c r="M22" s="150" t="str">
        <f t="shared" si="1"/>
        <v>TW</v>
      </c>
      <c r="N22" s="150">
        <f t="shared" si="2"/>
        <v>21</v>
      </c>
      <c r="O22" s="150" t="str">
        <f t="shared" si="3"/>
        <v>TW</v>
      </c>
      <c r="P22" s="150">
        <f t="shared" si="4"/>
        <v>21</v>
      </c>
      <c r="Q22" s="150" t="str">
        <f t="shared" si="5"/>
        <v>AW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TW</v>
      </c>
      <c r="N23" s="150">
        <f t="shared" si="2"/>
        <v>22</v>
      </c>
      <c r="O23" s="150" t="str">
        <f t="shared" si="3"/>
        <v>TW</v>
      </c>
      <c r="P23" s="150">
        <f t="shared" si="4"/>
        <v>22</v>
      </c>
      <c r="Q23" s="150" t="str">
        <f t="shared" si="5"/>
        <v>AW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str">
        <f t="shared" si="1"/>
        <v>TW</v>
      </c>
      <c r="N24" s="150">
        <f t="shared" si="2"/>
        <v>23</v>
      </c>
      <c r="O24" s="150" t="str">
        <f t="shared" si="3"/>
        <v>TW</v>
      </c>
      <c r="P24" s="150">
        <f t="shared" si="4"/>
        <v>23</v>
      </c>
      <c r="Q24" s="150" t="str">
        <f t="shared" si="5"/>
        <v>AW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98</v>
      </c>
      <c r="D25" s="323" t="s">
        <v>99</v>
      </c>
      <c r="E25" s="324"/>
      <c r="F25" s="325"/>
      <c r="G25" s="68"/>
      <c r="K25" s="150">
        <v>24</v>
      </c>
      <c r="L25" s="150">
        <f t="shared" si="0"/>
        <v>24</v>
      </c>
      <c r="M25" s="150" t="str">
        <f t="shared" si="1"/>
        <v>TW</v>
      </c>
      <c r="N25" s="150">
        <f t="shared" si="2"/>
        <v>24</v>
      </c>
      <c r="O25" s="150" t="str">
        <f t="shared" si="3"/>
        <v>TW</v>
      </c>
      <c r="P25" s="150">
        <f t="shared" si="4"/>
        <v>24</v>
      </c>
      <c r="Q25" s="150" t="str">
        <f t="shared" si="5"/>
        <v>AW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str">
        <f t="shared" si="1"/>
        <v>TW</v>
      </c>
      <c r="N26" s="150">
        <f t="shared" si="2"/>
        <v>25</v>
      </c>
      <c r="O26" s="150" t="str">
        <f t="shared" si="3"/>
        <v>TW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103</v>
      </c>
      <c r="C27" s="331" t="s">
        <v>104</v>
      </c>
      <c r="D27" s="87" t="s">
        <v>105</v>
      </c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TW</v>
      </c>
      <c r="N27" s="150">
        <f t="shared" si="2"/>
        <v>26</v>
      </c>
      <c r="O27" s="150" t="str">
        <f t="shared" si="3"/>
        <v>TW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str">
        <f t="shared" si="1"/>
        <v>TW</v>
      </c>
      <c r="N28" s="150">
        <f t="shared" si="2"/>
        <v>27</v>
      </c>
      <c r="O28" s="150" t="str">
        <f t="shared" si="3"/>
        <v>TW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 t="s">
        <v>48</v>
      </c>
      <c r="E29" s="89">
        <v>24</v>
      </c>
      <c r="F29" s="77">
        <f>IF(B27="","",IF(E29="","",IF(F28="None","",B27-E29)))</f>
        <v>0</v>
      </c>
      <c r="G29" s="68"/>
      <c r="K29" s="150">
        <v>28</v>
      </c>
      <c r="L29" s="150">
        <f t="shared" si="0"/>
        <v>28</v>
      </c>
      <c r="M29" s="150" t="str">
        <f t="shared" si="1"/>
        <v>TW</v>
      </c>
      <c r="N29" s="150">
        <f t="shared" si="2"/>
        <v>28</v>
      </c>
      <c r="O29" s="150" t="str">
        <f t="shared" si="3"/>
        <v>TW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TW</v>
      </c>
      <c r="N30" s="150">
        <f t="shared" si="2"/>
        <v>29</v>
      </c>
      <c r="O30" s="150" t="str">
        <f t="shared" si="3"/>
        <v>TW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str">
        <f t="shared" si="1"/>
        <v>TW</v>
      </c>
      <c r="N31" s="150">
        <f t="shared" si="2"/>
        <v>30</v>
      </c>
      <c r="O31" s="150" t="str">
        <f t="shared" si="3"/>
        <v>TW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str">
        <f t="shared" si="1"/>
        <v>TW</v>
      </c>
      <c r="N32" s="150">
        <f t="shared" si="2"/>
        <v>31</v>
      </c>
      <c r="O32" s="150" t="str">
        <f t="shared" si="3"/>
        <v>TW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str">
        <f t="shared" si="1"/>
        <v>TW</v>
      </c>
      <c r="N33" s="150">
        <f t="shared" si="2"/>
        <v>32</v>
      </c>
      <c r="O33" s="150" t="str">
        <f t="shared" si="3"/>
        <v>TW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TW</v>
      </c>
      <c r="N34" s="150">
        <f t="shared" si="2"/>
        <v>33</v>
      </c>
      <c r="O34" s="150" t="str">
        <f t="shared" si="3"/>
        <v>TW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TW</v>
      </c>
      <c r="N35" s="150">
        <f t="shared" si="2"/>
        <v>34</v>
      </c>
      <c r="O35" s="150" t="str">
        <f t="shared" si="3"/>
        <v>TW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TW</v>
      </c>
      <c r="N36" s="150">
        <f t="shared" si="2"/>
        <v>35</v>
      </c>
      <c r="O36" s="150" t="str">
        <f t="shared" si="3"/>
        <v>TW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TW</v>
      </c>
      <c r="N37" s="150">
        <f t="shared" si="2"/>
        <v>36</v>
      </c>
      <c r="O37" s="150" t="str">
        <f t="shared" si="3"/>
        <v>TW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str">
        <f t="shared" si="1"/>
        <v>TW</v>
      </c>
      <c r="N38" s="150">
        <f t="shared" si="2"/>
        <v>37</v>
      </c>
      <c r="O38" s="150" t="str">
        <f t="shared" si="3"/>
        <v>TW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str">
        <f t="shared" si="1"/>
        <v>TW</v>
      </c>
      <c r="N39" s="150">
        <f t="shared" si="2"/>
        <v>38</v>
      </c>
      <c r="O39" s="150" t="str">
        <f t="shared" si="3"/>
        <v>TW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str">
        <f t="shared" si="1"/>
        <v>TW</v>
      </c>
      <c r="N40" s="150">
        <f t="shared" si="2"/>
        <v>39</v>
      </c>
      <c r="O40" s="150" t="str">
        <f t="shared" si="3"/>
        <v>TW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TW</v>
      </c>
      <c r="N41" s="150">
        <f t="shared" si="2"/>
        <v>40</v>
      </c>
      <c r="O41" s="150" t="str">
        <f t="shared" si="3"/>
        <v>TW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TW</v>
      </c>
      <c r="N42" s="150">
        <f t="shared" si="2"/>
        <v>41</v>
      </c>
      <c r="O42" s="150" t="str">
        <f t="shared" si="3"/>
        <v>TW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TW</v>
      </c>
      <c r="N43" s="150">
        <f t="shared" si="2"/>
        <v>42</v>
      </c>
      <c r="O43" s="150" t="str">
        <f t="shared" si="3"/>
        <v>TW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TW</v>
      </c>
      <c r="N44" s="150">
        <f t="shared" si="2"/>
        <v>43</v>
      </c>
      <c r="O44" s="150" t="str">
        <f t="shared" si="3"/>
        <v>TW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str">
        <f t="shared" si="1"/>
        <v>TW</v>
      </c>
      <c r="N45" s="150">
        <f t="shared" si="2"/>
        <v>44</v>
      </c>
      <c r="O45" s="150" t="str">
        <f t="shared" si="3"/>
        <v>TW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str">
        <f t="shared" si="1"/>
        <v>TW</v>
      </c>
      <c r="N46" s="150">
        <f t="shared" si="2"/>
        <v>45</v>
      </c>
      <c r="O46" s="150" t="str">
        <f t="shared" si="3"/>
        <v>TW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str">
        <f t="shared" si="1"/>
        <v>TW</v>
      </c>
      <c r="N47" s="150">
        <f t="shared" si="2"/>
        <v>46</v>
      </c>
      <c r="O47" s="150" t="str">
        <f t="shared" si="3"/>
        <v>TW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TW</v>
      </c>
      <c r="N48" s="150">
        <f t="shared" si="2"/>
        <v>47</v>
      </c>
      <c r="O48" s="150" t="str">
        <f t="shared" si="3"/>
        <v>TW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TW</v>
      </c>
      <c r="N49" s="150">
        <f t="shared" si="2"/>
        <v>48</v>
      </c>
      <c r="O49" s="150" t="str">
        <f t="shared" si="3"/>
        <v>TW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TW</v>
      </c>
      <c r="N50" s="150">
        <f t="shared" si="2"/>
        <v>49</v>
      </c>
      <c r="O50" s="150" t="str">
        <f t="shared" si="3"/>
        <v>TW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TW</v>
      </c>
      <c r="N51" s="150">
        <f t="shared" si="2"/>
        <v>50</v>
      </c>
      <c r="O51" s="150" t="str">
        <f t="shared" si="3"/>
        <v>TW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TW</v>
      </c>
      <c r="N52" s="150">
        <f t="shared" si="2"/>
        <v>51</v>
      </c>
      <c r="O52" s="150" t="str">
        <f t="shared" si="3"/>
        <v>TW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TW</v>
      </c>
      <c r="N53" s="150">
        <f t="shared" si="2"/>
        <v>52</v>
      </c>
      <c r="O53" s="150" t="str">
        <f t="shared" si="3"/>
        <v>TW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TW</v>
      </c>
      <c r="N54" s="150">
        <f t="shared" si="2"/>
        <v>53</v>
      </c>
      <c r="O54" s="150" t="str">
        <f t="shared" si="3"/>
        <v>TW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TW</v>
      </c>
      <c r="N55" s="150">
        <f t="shared" si="2"/>
        <v>54</v>
      </c>
      <c r="O55" s="150" t="str">
        <f t="shared" si="3"/>
        <v>TW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TW</v>
      </c>
      <c r="N56" s="150">
        <f t="shared" si="2"/>
        <v>55</v>
      </c>
      <c r="O56" s="150" t="str">
        <f t="shared" si="3"/>
        <v>TW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TW</v>
      </c>
      <c r="N57" s="150">
        <f t="shared" si="2"/>
        <v>56</v>
      </c>
      <c r="O57" s="150" t="str">
        <f t="shared" si="3"/>
        <v>TW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TW</v>
      </c>
      <c r="N58" s="150">
        <f t="shared" si="2"/>
        <v>57</v>
      </c>
      <c r="O58" s="150" t="str">
        <f t="shared" si="3"/>
        <v>TW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TW</v>
      </c>
      <c r="N59" s="150">
        <f t="shared" si="2"/>
        <v>58</v>
      </c>
      <c r="O59" s="150" t="str">
        <f t="shared" si="3"/>
        <v>TW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TW</v>
      </c>
      <c r="N60" s="150">
        <f t="shared" si="2"/>
        <v>59</v>
      </c>
      <c r="O60" s="150" t="str">
        <f t="shared" si="3"/>
        <v>TW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TW</v>
      </c>
      <c r="N61" s="150">
        <f t="shared" si="2"/>
        <v>60</v>
      </c>
      <c r="O61" s="150" t="str">
        <f t="shared" si="3"/>
        <v>TW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TW</v>
      </c>
      <c r="N62" s="150">
        <f t="shared" si="2"/>
        <v>61</v>
      </c>
      <c r="O62" s="150" t="str">
        <f t="shared" si="3"/>
        <v>TW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TW</v>
      </c>
      <c r="N63" s="150">
        <f t="shared" si="2"/>
        <v>62</v>
      </c>
      <c r="O63" s="150" t="str">
        <f t="shared" si="3"/>
        <v>TW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TW</v>
      </c>
      <c r="N64" s="150">
        <f t="shared" si="2"/>
        <v>63</v>
      </c>
      <c r="O64" s="150" t="str">
        <f t="shared" si="3"/>
        <v>TW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TW</v>
      </c>
      <c r="N65" s="150">
        <f t="shared" si="2"/>
        <v>64</v>
      </c>
      <c r="O65" s="150" t="str">
        <f t="shared" si="3"/>
        <v>TW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TW</v>
      </c>
      <c r="N66" s="150">
        <f t="shared" si="2"/>
        <v>65</v>
      </c>
      <c r="O66" s="150" t="str">
        <f t="shared" si="3"/>
        <v>TW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TW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TW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TW</v>
      </c>
      <c r="N68" s="150">
        <f t="shared" si="14"/>
        <v>67</v>
      </c>
      <c r="O68" s="150" t="str">
        <f t="shared" si="15"/>
        <v>TW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TW</v>
      </c>
      <c r="N69" s="150">
        <f t="shared" si="14"/>
        <v>68</v>
      </c>
      <c r="O69" s="150" t="str">
        <f t="shared" si="15"/>
        <v>TW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TW</v>
      </c>
      <c r="N70" s="150">
        <f t="shared" si="14"/>
        <v>69</v>
      </c>
      <c r="O70" s="150" t="str">
        <f t="shared" si="15"/>
        <v>TW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TW</v>
      </c>
      <c r="N71" s="150">
        <f t="shared" si="14"/>
        <v>70</v>
      </c>
      <c r="O71" s="150" t="str">
        <f t="shared" si="15"/>
        <v>TW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TW</v>
      </c>
      <c r="N72" s="150">
        <f t="shared" si="14"/>
        <v>71</v>
      </c>
      <c r="O72" s="150" t="str">
        <f t="shared" si="15"/>
        <v>TW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TW</v>
      </c>
      <c r="N73" s="150">
        <f t="shared" si="14"/>
        <v>72</v>
      </c>
      <c r="O73" s="150" t="str">
        <f t="shared" si="15"/>
        <v>TW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TW</v>
      </c>
      <c r="N74" s="150">
        <f t="shared" si="14"/>
        <v>73</v>
      </c>
      <c r="O74" s="150" t="str">
        <f t="shared" si="15"/>
        <v>TW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TW</v>
      </c>
      <c r="N75" s="150">
        <f t="shared" si="14"/>
        <v>74</v>
      </c>
      <c r="O75" s="150" t="str">
        <f t="shared" si="15"/>
        <v>TW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TW</v>
      </c>
      <c r="N76" s="150">
        <f t="shared" si="14"/>
        <v>75</v>
      </c>
      <c r="O76" s="150" t="str">
        <f t="shared" si="15"/>
        <v>TW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TW</v>
      </c>
      <c r="N77" s="150">
        <f t="shared" si="14"/>
        <v>76</v>
      </c>
      <c r="O77" s="150" t="str">
        <f t="shared" si="15"/>
        <v>TW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TW</v>
      </c>
      <c r="N78" s="150">
        <f t="shared" si="14"/>
        <v>77</v>
      </c>
      <c r="O78" s="150" t="str">
        <f t="shared" si="15"/>
        <v>TW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TW</v>
      </c>
      <c r="N79" s="150">
        <f t="shared" si="14"/>
        <v>78</v>
      </c>
      <c r="O79" s="150" t="str">
        <f t="shared" si="15"/>
        <v>TW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TW</v>
      </c>
      <c r="N80" s="150">
        <f t="shared" si="14"/>
        <v>79</v>
      </c>
      <c r="O80" s="150" t="str">
        <f t="shared" si="15"/>
        <v>TW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TW</v>
      </c>
      <c r="N81" s="150">
        <f t="shared" si="14"/>
        <v>80</v>
      </c>
      <c r="O81" s="150" t="str">
        <f t="shared" si="15"/>
        <v>TW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TW</v>
      </c>
      <c r="N82" s="150">
        <f t="shared" si="14"/>
        <v>81</v>
      </c>
      <c r="O82" s="150" t="str">
        <f t="shared" si="15"/>
        <v>TW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TW</v>
      </c>
      <c r="N83" s="150">
        <f t="shared" si="14"/>
        <v>82</v>
      </c>
      <c r="O83" s="150" t="str">
        <f t="shared" si="15"/>
        <v>TW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TW</v>
      </c>
      <c r="N84" s="150">
        <f t="shared" si="14"/>
        <v>83</v>
      </c>
      <c r="O84" s="150" t="str">
        <f t="shared" si="15"/>
        <v>TW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TW</v>
      </c>
      <c r="N85" s="150">
        <f t="shared" si="14"/>
        <v>84</v>
      </c>
      <c r="O85" s="150" t="str">
        <f t="shared" si="15"/>
        <v>TW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TW</v>
      </c>
      <c r="N86" s="150">
        <f t="shared" si="14"/>
        <v>85</v>
      </c>
      <c r="O86" s="150" t="str">
        <f t="shared" si="15"/>
        <v>TW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TW</v>
      </c>
      <c r="N87" s="150">
        <f t="shared" si="14"/>
        <v>86</v>
      </c>
      <c r="O87" s="150" t="str">
        <f t="shared" si="15"/>
        <v>TW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TW</v>
      </c>
      <c r="N88" s="150">
        <f t="shared" si="14"/>
        <v>87</v>
      </c>
      <c r="O88" s="150" t="str">
        <f t="shared" si="15"/>
        <v>TW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TW</v>
      </c>
      <c r="N89" s="150">
        <f t="shared" si="14"/>
        <v>88</v>
      </c>
      <c r="O89" s="150" t="str">
        <f t="shared" si="15"/>
        <v>TW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TW</v>
      </c>
      <c r="N90" s="150">
        <f t="shared" si="14"/>
        <v>89</v>
      </c>
      <c r="O90" s="150" t="str">
        <f t="shared" si="15"/>
        <v>TW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TW</v>
      </c>
      <c r="N91" s="150">
        <f t="shared" si="14"/>
        <v>90</v>
      </c>
      <c r="O91" s="150" t="str">
        <f t="shared" si="15"/>
        <v>TW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TW</v>
      </c>
      <c r="N92" s="150">
        <f t="shared" si="14"/>
        <v>91</v>
      </c>
      <c r="O92" s="150" t="str">
        <f t="shared" si="15"/>
        <v>TW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TW</v>
      </c>
      <c r="N93" s="150">
        <f t="shared" si="14"/>
        <v>92</v>
      </c>
      <c r="O93" s="150" t="str">
        <f t="shared" si="15"/>
        <v>TW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TW</v>
      </c>
      <c r="N94" s="150">
        <f t="shared" si="14"/>
        <v>93</v>
      </c>
      <c r="O94" s="150" t="str">
        <f t="shared" si="15"/>
        <v>TW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TW</v>
      </c>
      <c r="N95" s="150">
        <f t="shared" si="14"/>
        <v>94</v>
      </c>
      <c r="O95" s="150" t="str">
        <f t="shared" si="15"/>
        <v>TW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TW</v>
      </c>
      <c r="N96" s="150">
        <f t="shared" si="14"/>
        <v>95</v>
      </c>
      <c r="O96" s="150" t="str">
        <f t="shared" si="15"/>
        <v>TW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TW</v>
      </c>
      <c r="N97" s="150">
        <f t="shared" si="14"/>
        <v>96</v>
      </c>
      <c r="O97" s="150" t="str">
        <f t="shared" si="15"/>
        <v>TW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str">
        <f t="shared" si="13"/>
        <v>TW</v>
      </c>
      <c r="N98" s="150">
        <f t="shared" si="14"/>
        <v>97</v>
      </c>
      <c r="O98" s="150" t="str">
        <f t="shared" si="15"/>
        <v>TW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str">
        <f t="shared" si="13"/>
        <v>TW</v>
      </c>
      <c r="N99" s="150">
        <f t="shared" si="14"/>
        <v>98</v>
      </c>
      <c r="O99" s="150" t="str">
        <f t="shared" si="15"/>
        <v>TW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str">
        <f t="shared" si="13"/>
        <v>TW</v>
      </c>
      <c r="N100" s="150">
        <f t="shared" si="14"/>
        <v>99</v>
      </c>
      <c r="O100" s="150" t="str">
        <f t="shared" si="15"/>
        <v>TW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str">
        <f t="shared" si="13"/>
        <v>TW</v>
      </c>
      <c r="N101" s="150">
        <f t="shared" si="14"/>
        <v>100</v>
      </c>
      <c r="O101" s="150" t="str">
        <f t="shared" si="15"/>
        <v>TW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str">
        <f t="shared" si="13"/>
        <v>TW</v>
      </c>
      <c r="N102" s="150">
        <f t="shared" si="14"/>
        <v>101</v>
      </c>
      <c r="O102" s="150" t="str">
        <f t="shared" si="15"/>
        <v>TW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str">
        <f t="shared" si="13"/>
        <v>TW</v>
      </c>
      <c r="N103" s="150">
        <f t="shared" si="14"/>
        <v>102</v>
      </c>
      <c r="O103" s="150" t="str">
        <f t="shared" si="15"/>
        <v>TW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str">
        <f t="shared" si="13"/>
        <v>TW</v>
      </c>
      <c r="N104" s="150">
        <f t="shared" si="14"/>
        <v>103</v>
      </c>
      <c r="O104" s="150" t="str">
        <f t="shared" si="15"/>
        <v>TW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str">
        <f t="shared" si="13"/>
        <v>TW</v>
      </c>
      <c r="N105" s="150">
        <f t="shared" si="14"/>
        <v>104</v>
      </c>
      <c r="O105" s="150" t="str">
        <f t="shared" si="15"/>
        <v>TW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str">
        <f t="shared" si="13"/>
        <v>TW</v>
      </c>
      <c r="N106" s="150">
        <f t="shared" si="14"/>
        <v>105</v>
      </c>
      <c r="O106" s="150" t="str">
        <f t="shared" si="15"/>
        <v>TW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str">
        <f t="shared" si="13"/>
        <v>TW</v>
      </c>
      <c r="N107" s="150">
        <f t="shared" si="14"/>
        <v>106</v>
      </c>
      <c r="O107" s="150" t="str">
        <f t="shared" si="15"/>
        <v>TW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str">
        <f t="shared" si="13"/>
        <v>TW</v>
      </c>
      <c r="N108" s="150">
        <f t="shared" si="14"/>
        <v>107</v>
      </c>
      <c r="O108" s="150" t="str">
        <f t="shared" si="15"/>
        <v>TW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str">
        <f t="shared" si="13"/>
        <v>TW</v>
      </c>
      <c r="N109" s="150">
        <f t="shared" si="14"/>
        <v>108</v>
      </c>
      <c r="O109" s="150" t="str">
        <f t="shared" si="15"/>
        <v>TW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str">
        <f t="shared" si="13"/>
        <v>TW</v>
      </c>
      <c r="N110" s="150">
        <f t="shared" si="14"/>
        <v>109</v>
      </c>
      <c r="O110" s="150" t="str">
        <f t="shared" si="15"/>
        <v>TW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str">
        <f t="shared" si="13"/>
        <v>TW</v>
      </c>
      <c r="N111" s="150">
        <f t="shared" si="14"/>
        <v>110</v>
      </c>
      <c r="O111" s="150" t="str">
        <f t="shared" si="15"/>
        <v>TW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str">
        <f t="shared" si="13"/>
        <v>TW</v>
      </c>
      <c r="N112" s="150">
        <f t="shared" si="14"/>
        <v>111</v>
      </c>
      <c r="O112" s="150" t="str">
        <f t="shared" si="15"/>
        <v>TW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str">
        <f t="shared" si="13"/>
        <v>TW</v>
      </c>
      <c r="N113" s="150">
        <f t="shared" si="14"/>
        <v>112</v>
      </c>
      <c r="O113" s="150" t="str">
        <f t="shared" si="15"/>
        <v>TW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str">
        <f t="shared" si="13"/>
        <v>TW</v>
      </c>
      <c r="N114" s="150">
        <f t="shared" si="14"/>
        <v>113</v>
      </c>
      <c r="O114" s="150" t="str">
        <f t="shared" si="15"/>
        <v>TW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str">
        <f t="shared" si="13"/>
        <v>TW</v>
      </c>
      <c r="N115" s="150">
        <f t="shared" si="14"/>
        <v>114</v>
      </c>
      <c r="O115" s="150" t="str">
        <f t="shared" si="15"/>
        <v>TW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str">
        <f t="shared" si="13"/>
        <v>TW</v>
      </c>
      <c r="N116" s="150">
        <f t="shared" si="14"/>
        <v>115</v>
      </c>
      <c r="O116" s="150" t="str">
        <f t="shared" si="15"/>
        <v>TW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str">
        <f t="shared" si="13"/>
        <v>TW</v>
      </c>
      <c r="N117" s="150">
        <f t="shared" si="14"/>
        <v>116</v>
      </c>
      <c r="O117" s="150" t="str">
        <f t="shared" si="15"/>
        <v>TW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str">
        <f t="shared" si="13"/>
        <v>TW</v>
      </c>
      <c r="N118" s="150">
        <f t="shared" si="14"/>
        <v>117</v>
      </c>
      <c r="O118" s="150" t="str">
        <f t="shared" si="15"/>
        <v>TW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str">
        <f t="shared" si="13"/>
        <v>TW</v>
      </c>
      <c r="N119" s="150">
        <f t="shared" si="14"/>
        <v>118</v>
      </c>
      <c r="O119" s="150" t="str">
        <f t="shared" si="15"/>
        <v>TW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str">
        <f t="shared" si="13"/>
        <v>TW</v>
      </c>
      <c r="N120" s="150">
        <f t="shared" si="14"/>
        <v>119</v>
      </c>
      <c r="O120" s="150" t="str">
        <f t="shared" si="15"/>
        <v>TW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str">
        <f t="shared" si="13"/>
        <v>TW</v>
      </c>
      <c r="N121" s="150">
        <f t="shared" si="14"/>
        <v>120</v>
      </c>
      <c r="O121" s="150" t="str">
        <f t="shared" si="15"/>
        <v>TW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str">
        <f t="shared" si="13"/>
        <v>TW</v>
      </c>
      <c r="N122" s="150">
        <f t="shared" si="14"/>
        <v>121</v>
      </c>
      <c r="O122" s="150" t="str">
        <f t="shared" si="15"/>
        <v>TW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str">
        <f t="shared" si="13"/>
        <v>TW</v>
      </c>
      <c r="N123" s="150">
        <f t="shared" si="14"/>
        <v>122</v>
      </c>
      <c r="O123" s="150" t="str">
        <f t="shared" si="15"/>
        <v>TW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str">
        <f t="shared" si="13"/>
        <v>TW</v>
      </c>
      <c r="N124" s="150">
        <f t="shared" si="14"/>
        <v>123</v>
      </c>
      <c r="O124" s="150" t="str">
        <f t="shared" si="15"/>
        <v>TW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str">
        <f t="shared" si="13"/>
        <v>TW</v>
      </c>
      <c r="N125" s="150">
        <f t="shared" si="14"/>
        <v>124</v>
      </c>
      <c r="O125" s="150" t="str">
        <f t="shared" si="15"/>
        <v>TW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str">
        <f t="shared" si="13"/>
        <v>TW</v>
      </c>
      <c r="N126" s="150">
        <f t="shared" si="14"/>
        <v>125</v>
      </c>
      <c r="O126" s="150" t="str">
        <f t="shared" si="15"/>
        <v>TW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str">
        <f t="shared" si="13"/>
        <v>TW</v>
      </c>
      <c r="N127" s="150">
        <f t="shared" si="14"/>
        <v>126</v>
      </c>
      <c r="O127" s="150" t="str">
        <f t="shared" si="15"/>
        <v>TW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str">
        <f t="shared" si="13"/>
        <v>TW</v>
      </c>
      <c r="N128" s="150">
        <f t="shared" si="14"/>
        <v>127</v>
      </c>
      <c r="O128" s="150" t="str">
        <f t="shared" si="15"/>
        <v>TW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str">
        <f t="shared" si="13"/>
        <v>TW</v>
      </c>
      <c r="N129" s="150">
        <f t="shared" si="14"/>
        <v>128</v>
      </c>
      <c r="O129" s="150" t="str">
        <f t="shared" si="15"/>
        <v>TW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str">
        <f t="shared" si="13"/>
        <v>TW</v>
      </c>
      <c r="N130" s="150">
        <f t="shared" si="14"/>
        <v>129</v>
      </c>
      <c r="O130" s="150" t="str">
        <f t="shared" si="15"/>
        <v>TW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str">
        <f t="shared" ref="M131:M194" si="25">IF(L131="","",IF(L131&lt;=$E$15,VLOOKUP($E$14,$I$1:$J$4,2,FALSE),VLOOKUP($F$14,$I$1:$J$4,2,FALSE)))</f>
        <v>TW</v>
      </c>
      <c r="N131" s="150">
        <f t="shared" ref="N131:N194" si="26">IF($B$20&gt;=K131,K131,"")</f>
        <v>130</v>
      </c>
      <c r="O131" s="150" t="str">
        <f t="shared" ref="O131:O194" si="27">IF(N131="","",IF(N131&lt;=$E$22,VLOOKUP($E$21,$I$1:$J$4,2,FALSE),VLOOKUP($F$21,$I$1:$J$4,2,FALSE)))</f>
        <v>TW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str">
        <f t="shared" si="25"/>
        <v>TW</v>
      </c>
      <c r="N132" s="150">
        <f t="shared" si="26"/>
        <v>131</v>
      </c>
      <c r="O132" s="150" t="str">
        <f t="shared" si="27"/>
        <v>TW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str">
        <f t="shared" si="25"/>
        <v>TW</v>
      </c>
      <c r="N133" s="150">
        <f t="shared" si="26"/>
        <v>132</v>
      </c>
      <c r="O133" s="150" t="str">
        <f t="shared" si="27"/>
        <v>TW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str">
        <f t="shared" si="25"/>
        <v>TW</v>
      </c>
      <c r="N134" s="150">
        <f t="shared" si="26"/>
        <v>133</v>
      </c>
      <c r="O134" s="150" t="str">
        <f t="shared" si="27"/>
        <v>TW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str">
        <f t="shared" si="25"/>
        <v>TW</v>
      </c>
      <c r="N135" s="150">
        <f t="shared" si="26"/>
        <v>134</v>
      </c>
      <c r="O135" s="150" t="str">
        <f t="shared" si="27"/>
        <v>TW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str">
        <f t="shared" si="25"/>
        <v>TW</v>
      </c>
      <c r="N136" s="150">
        <f t="shared" si="26"/>
        <v>135</v>
      </c>
      <c r="O136" s="150" t="str">
        <f t="shared" si="27"/>
        <v>TW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str">
        <f t="shared" si="25"/>
        <v>TW</v>
      </c>
      <c r="N137" s="150">
        <f t="shared" si="26"/>
        <v>136</v>
      </c>
      <c r="O137" s="150" t="str">
        <f t="shared" si="27"/>
        <v>TW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str">
        <f t="shared" si="25"/>
        <v>TW</v>
      </c>
      <c r="N138" s="150">
        <f t="shared" si="26"/>
        <v>137</v>
      </c>
      <c r="O138" s="150" t="str">
        <f t="shared" si="27"/>
        <v>TW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str">
        <f t="shared" si="25"/>
        <v>TW</v>
      </c>
      <c r="N139" s="150">
        <f t="shared" si="26"/>
        <v>138</v>
      </c>
      <c r="O139" s="150" t="str">
        <f t="shared" si="27"/>
        <v>TW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str">
        <f t="shared" si="25"/>
        <v>TW</v>
      </c>
      <c r="N140" s="150">
        <f t="shared" si="26"/>
        <v>139</v>
      </c>
      <c r="O140" s="150" t="str">
        <f t="shared" si="27"/>
        <v>TW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str">
        <f t="shared" si="25"/>
        <v>TW</v>
      </c>
      <c r="N141" s="150">
        <f t="shared" si="26"/>
        <v>140</v>
      </c>
      <c r="O141" s="150" t="str">
        <f t="shared" si="27"/>
        <v>TW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str">
        <f t="shared" si="25"/>
        <v>TW</v>
      </c>
      <c r="N142" s="150">
        <f t="shared" si="26"/>
        <v>141</v>
      </c>
      <c r="O142" s="150" t="str">
        <f t="shared" si="27"/>
        <v>TW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str">
        <f t="shared" si="25"/>
        <v>TW</v>
      </c>
      <c r="N143" s="150">
        <f t="shared" si="26"/>
        <v>142</v>
      </c>
      <c r="O143" s="150" t="str">
        <f t="shared" si="27"/>
        <v>TW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str">
        <f t="shared" si="25"/>
        <v>TW</v>
      </c>
      <c r="N144" s="150">
        <f t="shared" si="26"/>
        <v>143</v>
      </c>
      <c r="O144" s="150" t="str">
        <f t="shared" si="27"/>
        <v>TW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str">
        <f t="shared" si="25"/>
        <v>TW</v>
      </c>
      <c r="N145" s="150">
        <f t="shared" si="26"/>
        <v>144</v>
      </c>
      <c r="O145" s="150" t="str">
        <f t="shared" si="27"/>
        <v>TW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str">
        <f t="shared" si="25"/>
        <v>TW</v>
      </c>
      <c r="N146" s="150">
        <f t="shared" si="26"/>
        <v>145</v>
      </c>
      <c r="O146" s="150" t="str">
        <f t="shared" si="27"/>
        <v>TW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str">
        <f t="shared" si="25"/>
        <v>TW</v>
      </c>
      <c r="N147" s="150">
        <f t="shared" si="26"/>
        <v>146</v>
      </c>
      <c r="O147" s="150" t="str">
        <f t="shared" si="27"/>
        <v>TW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str">
        <f t="shared" si="25"/>
        <v>TW</v>
      </c>
      <c r="N148" s="150">
        <f t="shared" si="26"/>
        <v>147</v>
      </c>
      <c r="O148" s="150" t="str">
        <f t="shared" si="27"/>
        <v>TW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str">
        <f t="shared" si="25"/>
        <v>TW</v>
      </c>
      <c r="N149" s="150">
        <f t="shared" si="26"/>
        <v>148</v>
      </c>
      <c r="O149" s="150" t="str">
        <f t="shared" si="27"/>
        <v>TW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str">
        <f t="shared" si="25"/>
        <v>TW</v>
      </c>
      <c r="N150" s="150">
        <f t="shared" si="26"/>
        <v>149</v>
      </c>
      <c r="O150" s="150" t="str">
        <f t="shared" si="27"/>
        <v>TW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str">
        <f t="shared" si="25"/>
        <v>TW</v>
      </c>
      <c r="N151" s="150">
        <f t="shared" si="26"/>
        <v>150</v>
      </c>
      <c r="O151" s="150" t="str">
        <f t="shared" si="27"/>
        <v>TW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str">
        <f t="shared" si="25"/>
        <v>TW</v>
      </c>
      <c r="N152" s="150">
        <f t="shared" si="26"/>
        <v>151</v>
      </c>
      <c r="O152" s="150" t="str">
        <f t="shared" si="27"/>
        <v>TW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str">
        <f t="shared" si="25"/>
        <v>TW</v>
      </c>
      <c r="N153" s="150">
        <f t="shared" si="26"/>
        <v>152</v>
      </c>
      <c r="O153" s="150" t="str">
        <f t="shared" si="27"/>
        <v>TW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str">
        <f t="shared" si="25"/>
        <v>TW</v>
      </c>
      <c r="N154" s="150">
        <f t="shared" si="26"/>
        <v>153</v>
      </c>
      <c r="O154" s="150" t="str">
        <f t="shared" si="27"/>
        <v>TW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str">
        <f t="shared" si="25"/>
        <v>TW</v>
      </c>
      <c r="N155" s="150">
        <f t="shared" si="26"/>
        <v>154</v>
      </c>
      <c r="O155" s="150" t="str">
        <f t="shared" si="27"/>
        <v>TW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str">
        <f t="shared" si="25"/>
        <v>TW</v>
      </c>
      <c r="N156" s="150">
        <f t="shared" si="26"/>
        <v>155</v>
      </c>
      <c r="O156" s="150" t="str">
        <f t="shared" si="27"/>
        <v>TW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str">
        <f t="shared" si="25"/>
        <v>TW</v>
      </c>
      <c r="N157" s="150">
        <f t="shared" si="26"/>
        <v>156</v>
      </c>
      <c r="O157" s="150" t="str">
        <f t="shared" si="27"/>
        <v>TW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str">
        <f t="shared" si="25"/>
        <v>TW</v>
      </c>
      <c r="N158" s="150">
        <f t="shared" si="26"/>
        <v>157</v>
      </c>
      <c r="O158" s="150" t="str">
        <f t="shared" si="27"/>
        <v>TW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str">
        <f t="shared" si="25"/>
        <v>TW</v>
      </c>
      <c r="N159" s="150">
        <f t="shared" si="26"/>
        <v>158</v>
      </c>
      <c r="O159" s="150" t="str">
        <f t="shared" si="27"/>
        <v>TW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str">
        <f t="shared" si="25"/>
        <v>TW</v>
      </c>
      <c r="N160" s="150">
        <f t="shared" si="26"/>
        <v>159</v>
      </c>
      <c r="O160" s="150" t="str">
        <f t="shared" si="27"/>
        <v>TW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str">
        <f t="shared" si="25"/>
        <v>TW</v>
      </c>
      <c r="N161" s="150">
        <f t="shared" si="26"/>
        <v>160</v>
      </c>
      <c r="O161" s="150" t="str">
        <f t="shared" si="27"/>
        <v>TW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str">
        <f t="shared" si="25"/>
        <v>TW</v>
      </c>
      <c r="N162" s="150">
        <f t="shared" si="26"/>
        <v>161</v>
      </c>
      <c r="O162" s="150" t="str">
        <f t="shared" si="27"/>
        <v>TW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str">
        <f t="shared" si="25"/>
        <v>TW</v>
      </c>
      <c r="N163" s="150">
        <f t="shared" si="26"/>
        <v>162</v>
      </c>
      <c r="O163" s="150" t="str">
        <f t="shared" si="27"/>
        <v>TW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str">
        <f t="shared" si="25"/>
        <v>TW</v>
      </c>
      <c r="N164" s="150">
        <f t="shared" si="26"/>
        <v>163</v>
      </c>
      <c r="O164" s="150" t="str">
        <f t="shared" si="27"/>
        <v>TW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str">
        <f t="shared" si="25"/>
        <v>TW</v>
      </c>
      <c r="N165" s="150">
        <f t="shared" si="26"/>
        <v>164</v>
      </c>
      <c r="O165" s="150" t="str">
        <f t="shared" si="27"/>
        <v>TW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str">
        <f t="shared" si="25"/>
        <v>TW</v>
      </c>
      <c r="N166" s="150">
        <f t="shared" si="26"/>
        <v>165</v>
      </c>
      <c r="O166" s="150" t="str">
        <f t="shared" si="27"/>
        <v>TW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str">
        <f t="shared" si="25"/>
        <v>TW</v>
      </c>
      <c r="N167" s="150">
        <f t="shared" si="26"/>
        <v>166</v>
      </c>
      <c r="O167" s="150" t="str">
        <f t="shared" si="27"/>
        <v>TW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str">
        <f t="shared" si="25"/>
        <v>TW</v>
      </c>
      <c r="N168" s="150">
        <f t="shared" si="26"/>
        <v>167</v>
      </c>
      <c r="O168" s="150" t="str">
        <f t="shared" si="27"/>
        <v>TW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str">
        <f t="shared" si="25"/>
        <v>TW</v>
      </c>
      <c r="N169" s="150">
        <f t="shared" si="26"/>
        <v>168</v>
      </c>
      <c r="O169" s="150" t="str">
        <f t="shared" si="27"/>
        <v>TW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str">
        <f t="shared" si="25"/>
        <v>TW</v>
      </c>
      <c r="N170" s="150">
        <f t="shared" si="26"/>
        <v>169</v>
      </c>
      <c r="O170" s="150" t="str">
        <f t="shared" si="27"/>
        <v>TW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str">
        <f t="shared" si="25"/>
        <v>TW</v>
      </c>
      <c r="N171" s="150">
        <f t="shared" si="26"/>
        <v>170</v>
      </c>
      <c r="O171" s="150" t="str">
        <f t="shared" si="27"/>
        <v>TW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str">
        <f t="shared" si="25"/>
        <v>TW</v>
      </c>
      <c r="N172" s="150">
        <f t="shared" si="26"/>
        <v>171</v>
      </c>
      <c r="O172" s="150" t="str">
        <f t="shared" si="27"/>
        <v>TW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str">
        <f t="shared" si="25"/>
        <v>TW</v>
      </c>
      <c r="N173" s="150">
        <f t="shared" si="26"/>
        <v>172</v>
      </c>
      <c r="O173" s="150" t="str">
        <f t="shared" si="27"/>
        <v>TW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str">
        <f t="shared" si="25"/>
        <v>TW</v>
      </c>
      <c r="N174" s="150">
        <f t="shared" si="26"/>
        <v>173</v>
      </c>
      <c r="O174" s="150" t="str">
        <f t="shared" si="27"/>
        <v>TW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str">
        <f t="shared" si="25"/>
        <v>TW</v>
      </c>
      <c r="N175" s="150">
        <f t="shared" si="26"/>
        <v>174</v>
      </c>
      <c r="O175" s="150" t="str">
        <f t="shared" si="27"/>
        <v>TW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str">
        <f t="shared" si="25"/>
        <v>TW</v>
      </c>
      <c r="N176" s="150">
        <f t="shared" si="26"/>
        <v>175</v>
      </c>
      <c r="O176" s="150" t="str">
        <f t="shared" si="27"/>
        <v>TW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str">
        <f t="shared" si="25"/>
        <v>TW</v>
      </c>
      <c r="N177" s="150">
        <f t="shared" si="26"/>
        <v>176</v>
      </c>
      <c r="O177" s="150" t="str">
        <f t="shared" si="27"/>
        <v>TW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str">
        <f t="shared" si="25"/>
        <v>TW</v>
      </c>
      <c r="N178" s="150">
        <f t="shared" si="26"/>
        <v>177</v>
      </c>
      <c r="O178" s="150" t="str">
        <f t="shared" si="27"/>
        <v>TW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str">
        <f t="shared" si="25"/>
        <v>TW</v>
      </c>
      <c r="N179" s="150">
        <f t="shared" si="26"/>
        <v>178</v>
      </c>
      <c r="O179" s="150" t="str">
        <f t="shared" si="27"/>
        <v>TW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str">
        <f t="shared" si="25"/>
        <v>TW</v>
      </c>
      <c r="N180" s="150">
        <f t="shared" si="26"/>
        <v>179</v>
      </c>
      <c r="O180" s="150" t="str">
        <f t="shared" si="27"/>
        <v>TW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str">
        <f t="shared" si="25"/>
        <v>TW</v>
      </c>
      <c r="N181" s="150">
        <f t="shared" si="26"/>
        <v>180</v>
      </c>
      <c r="O181" s="150" t="str">
        <f t="shared" si="27"/>
        <v>TW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str">
        <f t="shared" si="25"/>
        <v>TW</v>
      </c>
      <c r="N182" s="150">
        <f t="shared" si="26"/>
        <v>181</v>
      </c>
      <c r="O182" s="150" t="str">
        <f t="shared" si="27"/>
        <v>TW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str">
        <f t="shared" si="25"/>
        <v>TW</v>
      </c>
      <c r="N183" s="150">
        <f t="shared" si="26"/>
        <v>182</v>
      </c>
      <c r="O183" s="150" t="str">
        <f t="shared" si="27"/>
        <v>TW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str">
        <f t="shared" si="25"/>
        <v>TW</v>
      </c>
      <c r="N184" s="150">
        <f t="shared" si="26"/>
        <v>183</v>
      </c>
      <c r="O184" s="150" t="str">
        <f t="shared" si="27"/>
        <v>TW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str">
        <f t="shared" si="25"/>
        <v>TW</v>
      </c>
      <c r="N185" s="150">
        <f t="shared" si="26"/>
        <v>184</v>
      </c>
      <c r="O185" s="150" t="str">
        <f t="shared" si="27"/>
        <v>TW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str">
        <f t="shared" si="25"/>
        <v>TW</v>
      </c>
      <c r="N186" s="150">
        <f t="shared" si="26"/>
        <v>185</v>
      </c>
      <c r="O186" s="150" t="str">
        <f t="shared" si="27"/>
        <v>TW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str">
        <f t="shared" si="25"/>
        <v>TW</v>
      </c>
      <c r="N187" s="150">
        <f t="shared" si="26"/>
        <v>186</v>
      </c>
      <c r="O187" s="150" t="str">
        <f t="shared" si="27"/>
        <v>TW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str">
        <f t="shared" si="25"/>
        <v>TW</v>
      </c>
      <c r="N188" s="150">
        <f t="shared" si="26"/>
        <v>187</v>
      </c>
      <c r="O188" s="150" t="str">
        <f t="shared" si="27"/>
        <v>TW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str">
        <f t="shared" si="25"/>
        <v>TW</v>
      </c>
      <c r="N189" s="150">
        <f t="shared" si="26"/>
        <v>188</v>
      </c>
      <c r="O189" s="150" t="str">
        <f t="shared" si="27"/>
        <v>TW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str">
        <f t="shared" si="25"/>
        <v>TW</v>
      </c>
      <c r="N190" s="150">
        <f t="shared" si="26"/>
        <v>189</v>
      </c>
      <c r="O190" s="150" t="str">
        <f t="shared" si="27"/>
        <v>TW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str">
        <f t="shared" si="25"/>
        <v>TW</v>
      </c>
      <c r="N191" s="150">
        <f t="shared" si="26"/>
        <v>190</v>
      </c>
      <c r="O191" s="150" t="str">
        <f t="shared" si="27"/>
        <v>TW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str">
        <f t="shared" si="25"/>
        <v>TW</v>
      </c>
      <c r="N192" s="150">
        <f t="shared" si="26"/>
        <v>191</v>
      </c>
      <c r="O192" s="150" t="str">
        <f t="shared" si="27"/>
        <v>TW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str">
        <f t="shared" si="25"/>
        <v>TW</v>
      </c>
      <c r="N193" s="150">
        <f t="shared" si="26"/>
        <v>192</v>
      </c>
      <c r="O193" s="150" t="str">
        <f t="shared" si="27"/>
        <v>TW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str">
        <f t="shared" si="25"/>
        <v>TW</v>
      </c>
      <c r="N194" s="150">
        <f t="shared" si="26"/>
        <v>193</v>
      </c>
      <c r="O194" s="150" t="str">
        <f t="shared" si="27"/>
        <v>TW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str">
        <f t="shared" ref="M195:M258" si="37">IF(L195="","",IF(L195&lt;=$E$15,VLOOKUP($E$14,$I$1:$J$4,2,FALSE),VLOOKUP($F$14,$I$1:$J$4,2,FALSE)))</f>
        <v>TW</v>
      </c>
      <c r="N195" s="150">
        <f t="shared" ref="N195:N258" si="38">IF($B$20&gt;=K195,K195,"")</f>
        <v>194</v>
      </c>
      <c r="O195" s="150" t="str">
        <f t="shared" ref="O195:O258" si="39">IF(N195="","",IF(N195&lt;=$E$22,VLOOKUP($E$21,$I$1:$J$4,2,FALSE),VLOOKUP($F$21,$I$1:$J$4,2,FALSE)))</f>
        <v>TW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str">
        <f t="shared" si="37"/>
        <v>TW</v>
      </c>
      <c r="N196" s="150">
        <f t="shared" si="38"/>
        <v>195</v>
      </c>
      <c r="O196" s="150" t="str">
        <f t="shared" si="39"/>
        <v>TW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str">
        <f t="shared" si="37"/>
        <v>TW</v>
      </c>
      <c r="N197" s="150">
        <f t="shared" si="38"/>
        <v>196</v>
      </c>
      <c r="O197" s="150" t="str">
        <f t="shared" si="39"/>
        <v>TW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str">
        <f t="shared" si="37"/>
        <v>TW</v>
      </c>
      <c r="N198" s="150">
        <f t="shared" si="38"/>
        <v>197</v>
      </c>
      <c r="O198" s="150" t="str">
        <f t="shared" si="39"/>
        <v>TW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str">
        <f t="shared" si="37"/>
        <v>TW</v>
      </c>
      <c r="N199" s="150">
        <f t="shared" si="38"/>
        <v>198</v>
      </c>
      <c r="O199" s="150" t="str">
        <f t="shared" si="39"/>
        <v>TW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str">
        <f t="shared" si="37"/>
        <v>TW</v>
      </c>
      <c r="N200" s="150">
        <f t="shared" si="38"/>
        <v>199</v>
      </c>
      <c r="O200" s="150" t="str">
        <f t="shared" si="39"/>
        <v>TW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str">
        <f t="shared" si="37"/>
        <v>TW</v>
      </c>
      <c r="N201" s="150">
        <f t="shared" si="38"/>
        <v>200</v>
      </c>
      <c r="O201" s="150" t="str">
        <f t="shared" si="39"/>
        <v>TW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str">
        <f t="shared" si="37"/>
        <v>TW</v>
      </c>
      <c r="N202" s="150">
        <f t="shared" si="38"/>
        <v>201</v>
      </c>
      <c r="O202" s="150" t="str">
        <f t="shared" si="39"/>
        <v>TW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str">
        <f t="shared" si="37"/>
        <v>TW</v>
      </c>
      <c r="N203" s="150">
        <f t="shared" si="38"/>
        <v>202</v>
      </c>
      <c r="O203" s="150" t="str">
        <f t="shared" si="39"/>
        <v>TW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str">
        <f t="shared" si="37"/>
        <v>TW</v>
      </c>
      <c r="N204" s="150">
        <f t="shared" si="38"/>
        <v>203</v>
      </c>
      <c r="O204" s="150" t="str">
        <f t="shared" si="39"/>
        <v>TW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str">
        <f t="shared" si="37"/>
        <v>TW</v>
      </c>
      <c r="N205" s="150">
        <f t="shared" si="38"/>
        <v>204</v>
      </c>
      <c r="O205" s="150" t="str">
        <f t="shared" si="39"/>
        <v>TW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str">
        <f t="shared" si="37"/>
        <v>TW</v>
      </c>
      <c r="N206" s="150">
        <f t="shared" si="38"/>
        <v>205</v>
      </c>
      <c r="O206" s="150" t="str">
        <f t="shared" si="39"/>
        <v>TW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str">
        <f t="shared" si="37"/>
        <v>TW</v>
      </c>
      <c r="N207" s="150">
        <f t="shared" si="38"/>
        <v>206</v>
      </c>
      <c r="O207" s="150" t="str">
        <f t="shared" si="39"/>
        <v>TW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str">
        <f t="shared" si="37"/>
        <v>TW</v>
      </c>
      <c r="N208" s="150">
        <f t="shared" si="38"/>
        <v>207</v>
      </c>
      <c r="O208" s="150" t="str">
        <f t="shared" si="39"/>
        <v>TW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str">
        <f t="shared" si="37"/>
        <v>TW</v>
      </c>
      <c r="N209" s="150">
        <f t="shared" si="38"/>
        <v>208</v>
      </c>
      <c r="O209" s="150" t="str">
        <f t="shared" si="39"/>
        <v>TW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str">
        <f t="shared" si="37"/>
        <v>TW</v>
      </c>
      <c r="N210" s="150">
        <f t="shared" si="38"/>
        <v>209</v>
      </c>
      <c r="O210" s="150" t="str">
        <f t="shared" si="39"/>
        <v>TW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str">
        <f t="shared" si="37"/>
        <v>TW</v>
      </c>
      <c r="N211" s="150">
        <f t="shared" si="38"/>
        <v>210</v>
      </c>
      <c r="O211" s="150" t="str">
        <f t="shared" si="39"/>
        <v>TW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str">
        <f t="shared" si="37"/>
        <v>TW</v>
      </c>
      <c r="N212" s="150">
        <f t="shared" si="38"/>
        <v>211</v>
      </c>
      <c r="O212" s="150" t="str">
        <f t="shared" si="39"/>
        <v>TW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str">
        <f t="shared" si="37"/>
        <v>TW</v>
      </c>
      <c r="N213" s="150">
        <f t="shared" si="38"/>
        <v>212</v>
      </c>
      <c r="O213" s="150" t="str">
        <f t="shared" si="39"/>
        <v>TW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str">
        <f t="shared" si="37"/>
        <v>TW</v>
      </c>
      <c r="N214" s="150">
        <f t="shared" si="38"/>
        <v>213</v>
      </c>
      <c r="O214" s="150" t="str">
        <f t="shared" si="39"/>
        <v>TW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str">
        <f t="shared" si="37"/>
        <v>TW</v>
      </c>
      <c r="N215" s="150">
        <f t="shared" si="38"/>
        <v>214</v>
      </c>
      <c r="O215" s="150" t="str">
        <f t="shared" si="39"/>
        <v>TW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str">
        <f t="shared" si="37"/>
        <v>TW</v>
      </c>
      <c r="N216" s="150">
        <f t="shared" si="38"/>
        <v>215</v>
      </c>
      <c r="O216" s="150" t="str">
        <f t="shared" si="39"/>
        <v>TW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str">
        <f t="shared" si="37"/>
        <v>TW</v>
      </c>
      <c r="N217" s="150">
        <f t="shared" si="38"/>
        <v>216</v>
      </c>
      <c r="O217" s="150" t="str">
        <f t="shared" si="39"/>
        <v>TW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str">
        <f t="shared" si="37"/>
        <v>AW</v>
      </c>
      <c r="N218" s="150">
        <f t="shared" si="38"/>
        <v>217</v>
      </c>
      <c r="O218" s="150" t="str">
        <f t="shared" si="39"/>
        <v>AW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str">
        <f t="shared" si="37"/>
        <v>AW</v>
      </c>
      <c r="N219" s="150">
        <f t="shared" si="38"/>
        <v>218</v>
      </c>
      <c r="O219" s="150" t="str">
        <f t="shared" si="39"/>
        <v>AW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str">
        <f t="shared" si="37"/>
        <v>AW</v>
      </c>
      <c r="N220" s="150">
        <f t="shared" si="38"/>
        <v>219</v>
      </c>
      <c r="O220" s="150" t="str">
        <f t="shared" si="39"/>
        <v>AW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str">
        <f t="shared" si="37"/>
        <v>AW</v>
      </c>
      <c r="N221" s="150">
        <f t="shared" si="38"/>
        <v>220</v>
      </c>
      <c r="O221" s="150" t="str">
        <f t="shared" si="39"/>
        <v>AW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str">
        <f t="shared" si="37"/>
        <v>AW</v>
      </c>
      <c r="N222" s="150">
        <f t="shared" si="38"/>
        <v>221</v>
      </c>
      <c r="O222" s="150" t="str">
        <f t="shared" si="39"/>
        <v>AW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str">
        <f t="shared" si="37"/>
        <v>AW</v>
      </c>
      <c r="N223" s="150">
        <f t="shared" si="38"/>
        <v>222</v>
      </c>
      <c r="O223" s="150" t="str">
        <f t="shared" si="39"/>
        <v>AW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str">
        <f t="shared" si="37"/>
        <v>AW</v>
      </c>
      <c r="N224" s="150">
        <f t="shared" si="38"/>
        <v>223</v>
      </c>
      <c r="O224" s="150" t="str">
        <f t="shared" si="39"/>
        <v>AW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str">
        <f t="shared" si="37"/>
        <v>AW</v>
      </c>
      <c r="N225" s="150">
        <f t="shared" si="38"/>
        <v>224</v>
      </c>
      <c r="O225" s="150" t="str">
        <f t="shared" si="39"/>
        <v>AW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str">
        <f t="shared" si="37"/>
        <v>AW</v>
      </c>
      <c r="N226" s="150">
        <f t="shared" si="38"/>
        <v>225</v>
      </c>
      <c r="O226" s="150" t="str">
        <f t="shared" si="39"/>
        <v>AW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str">
        <f t="shared" si="37"/>
        <v>AW</v>
      </c>
      <c r="N227" s="150">
        <f t="shared" si="38"/>
        <v>226</v>
      </c>
      <c r="O227" s="150" t="str">
        <f t="shared" si="39"/>
        <v>AW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str">
        <f t="shared" si="37"/>
        <v>AW</v>
      </c>
      <c r="N228" s="150">
        <f t="shared" si="38"/>
        <v>227</v>
      </c>
      <c r="O228" s="150" t="str">
        <f t="shared" si="39"/>
        <v>AW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str">
        <f t="shared" si="37"/>
        <v>AW</v>
      </c>
      <c r="N229" s="150">
        <f t="shared" si="38"/>
        <v>228</v>
      </c>
      <c r="O229" s="150" t="str">
        <f t="shared" si="39"/>
        <v>AW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str">
        <f t="shared" si="37"/>
        <v>AW</v>
      </c>
      <c r="N230" s="150">
        <f t="shared" si="38"/>
        <v>229</v>
      </c>
      <c r="O230" s="150" t="str">
        <f t="shared" si="39"/>
        <v>AW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str">
        <f t="shared" si="37"/>
        <v>AW</v>
      </c>
      <c r="N231" s="150">
        <f t="shared" si="38"/>
        <v>230</v>
      </c>
      <c r="O231" s="150" t="str">
        <f t="shared" si="39"/>
        <v>AW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str">
        <f t="shared" si="37"/>
        <v>AW</v>
      </c>
      <c r="N232" s="150">
        <f t="shared" si="38"/>
        <v>231</v>
      </c>
      <c r="O232" s="150" t="str">
        <f t="shared" si="39"/>
        <v>AW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str">
        <f t="shared" si="37"/>
        <v>AW</v>
      </c>
      <c r="N233" s="150">
        <f t="shared" si="38"/>
        <v>232</v>
      </c>
      <c r="O233" s="150" t="str">
        <f t="shared" si="39"/>
        <v>AW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str">
        <f t="shared" si="37"/>
        <v>AW</v>
      </c>
      <c r="N234" s="150">
        <f t="shared" si="38"/>
        <v>233</v>
      </c>
      <c r="O234" s="150" t="str">
        <f t="shared" si="39"/>
        <v>AW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str">
        <f t="shared" si="37"/>
        <v>AW</v>
      </c>
      <c r="N235" s="150">
        <f t="shared" si="38"/>
        <v>234</v>
      </c>
      <c r="O235" s="150" t="str">
        <f t="shared" si="39"/>
        <v>AW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str">
        <f t="shared" si="37"/>
        <v>AW</v>
      </c>
      <c r="N236" s="150">
        <f t="shared" si="38"/>
        <v>235</v>
      </c>
      <c r="O236" s="150" t="str">
        <f t="shared" si="39"/>
        <v>AW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str">
        <f t="shared" si="37"/>
        <v>AW</v>
      </c>
      <c r="N237" s="150">
        <f t="shared" si="38"/>
        <v>236</v>
      </c>
      <c r="O237" s="150" t="str">
        <f t="shared" si="39"/>
        <v>AW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str">
        <f t="shared" si="37"/>
        <v>AW</v>
      </c>
      <c r="N238" s="150">
        <f t="shared" si="38"/>
        <v>237</v>
      </c>
      <c r="O238" s="150" t="str">
        <f t="shared" si="39"/>
        <v>AW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str">
        <f t="shared" si="37"/>
        <v>AW</v>
      </c>
      <c r="N239" s="150">
        <f t="shared" si="38"/>
        <v>238</v>
      </c>
      <c r="O239" s="150" t="str">
        <f t="shared" si="39"/>
        <v>AW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str">
        <f t="shared" si="37"/>
        <v>AW</v>
      </c>
      <c r="N240" s="150">
        <f t="shared" si="38"/>
        <v>239</v>
      </c>
      <c r="O240" s="150" t="str">
        <f t="shared" si="39"/>
        <v>AW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str">
        <f t="shared" si="37"/>
        <v>AW</v>
      </c>
      <c r="N241" s="150">
        <f t="shared" si="38"/>
        <v>240</v>
      </c>
      <c r="O241" s="150" t="str">
        <f t="shared" si="39"/>
        <v>AW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str">
        <f t="shared" si="37"/>
        <v>AW</v>
      </c>
      <c r="N242" s="150">
        <f t="shared" si="38"/>
        <v>241</v>
      </c>
      <c r="O242" s="150" t="str">
        <f t="shared" si="39"/>
        <v>AW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str">
        <f t="shared" si="37"/>
        <v>AW</v>
      </c>
      <c r="N243" s="150">
        <f t="shared" si="38"/>
        <v>242</v>
      </c>
      <c r="O243" s="150" t="str">
        <f t="shared" si="39"/>
        <v>AW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str">
        <f t="shared" si="37"/>
        <v>AW</v>
      </c>
      <c r="N244" s="150">
        <f t="shared" si="38"/>
        <v>243</v>
      </c>
      <c r="O244" s="150" t="str">
        <f t="shared" si="39"/>
        <v>AW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str">
        <f t="shared" si="37"/>
        <v>AW</v>
      </c>
      <c r="N245" s="150">
        <f t="shared" si="38"/>
        <v>244</v>
      </c>
      <c r="O245" s="150" t="str">
        <f t="shared" si="39"/>
        <v>AW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str">
        <f t="shared" si="37"/>
        <v>AW</v>
      </c>
      <c r="N246" s="150">
        <f t="shared" si="38"/>
        <v>245</v>
      </c>
      <c r="O246" s="150" t="str">
        <f t="shared" si="39"/>
        <v>AW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str">
        <f t="shared" si="37"/>
        <v>AW</v>
      </c>
      <c r="N247" s="150">
        <f t="shared" si="38"/>
        <v>246</v>
      </c>
      <c r="O247" s="150" t="str">
        <f t="shared" si="39"/>
        <v>AW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str">
        <f t="shared" si="37"/>
        <v>AW</v>
      </c>
      <c r="N248" s="150">
        <f t="shared" si="38"/>
        <v>247</v>
      </c>
      <c r="O248" s="150" t="str">
        <f t="shared" si="39"/>
        <v>AW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str">
        <f t="shared" si="37"/>
        <v>AW</v>
      </c>
      <c r="N249" s="150">
        <f t="shared" si="38"/>
        <v>248</v>
      </c>
      <c r="O249" s="150" t="str">
        <f t="shared" si="39"/>
        <v>AW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str">
        <f t="shared" si="37"/>
        <v>AW</v>
      </c>
      <c r="N250" s="150">
        <f t="shared" si="38"/>
        <v>249</v>
      </c>
      <c r="O250" s="150" t="str">
        <f t="shared" si="39"/>
        <v>AW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str">
        <f t="shared" si="37"/>
        <v>AW</v>
      </c>
      <c r="N251" s="150">
        <f t="shared" si="38"/>
        <v>250</v>
      </c>
      <c r="O251" s="150" t="str">
        <f t="shared" si="39"/>
        <v>AW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str">
        <f t="shared" si="37"/>
        <v>AW</v>
      </c>
      <c r="N252" s="150">
        <f t="shared" si="38"/>
        <v>251</v>
      </c>
      <c r="O252" s="150" t="str">
        <f t="shared" si="39"/>
        <v>AW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str">
        <f t="shared" si="37"/>
        <v>AW</v>
      </c>
      <c r="N253" s="150">
        <f t="shared" si="38"/>
        <v>252</v>
      </c>
      <c r="O253" s="150" t="str">
        <f t="shared" si="39"/>
        <v>AW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str">
        <f t="shared" si="37"/>
        <v>AW</v>
      </c>
      <c r="N254" s="150">
        <f t="shared" si="38"/>
        <v>253</v>
      </c>
      <c r="O254" s="150" t="str">
        <f t="shared" si="39"/>
        <v>AW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str">
        <f t="shared" si="37"/>
        <v>AW</v>
      </c>
      <c r="N255" s="150">
        <f t="shared" si="38"/>
        <v>254</v>
      </c>
      <c r="O255" s="150" t="str">
        <f t="shared" si="39"/>
        <v>AW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str">
        <f t="shared" si="37"/>
        <v>AW</v>
      </c>
      <c r="N256" s="150">
        <f t="shared" si="38"/>
        <v>255</v>
      </c>
      <c r="O256" s="150" t="str">
        <f t="shared" si="39"/>
        <v>AW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str">
        <f t="shared" si="37"/>
        <v>AW</v>
      </c>
      <c r="N257" s="150">
        <f t="shared" si="38"/>
        <v>256</v>
      </c>
      <c r="O257" s="150" t="str">
        <f t="shared" si="39"/>
        <v>AW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str">
        <f t="shared" si="37"/>
        <v>AW</v>
      </c>
      <c r="N258" s="150">
        <f t="shared" si="38"/>
        <v>257</v>
      </c>
      <c r="O258" s="150" t="str">
        <f t="shared" si="39"/>
        <v>AW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str">
        <f t="shared" ref="M259:M322" si="49">IF(L259="","",IF(L259&lt;=$E$15,VLOOKUP($E$14,$I$1:$J$4,2,FALSE),VLOOKUP($F$14,$I$1:$J$4,2,FALSE)))</f>
        <v>AW</v>
      </c>
      <c r="N259" s="150">
        <f t="shared" ref="N259:N322" si="50">IF($B$20&gt;=K259,K259,"")</f>
        <v>258</v>
      </c>
      <c r="O259" s="150" t="str">
        <f t="shared" ref="O259:O322" si="51">IF(N259="","",IF(N259&lt;=$E$22,VLOOKUP($E$21,$I$1:$J$4,2,FALSE),VLOOKUP($F$21,$I$1:$J$4,2,FALSE)))</f>
        <v>AW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str">
        <f t="shared" si="49"/>
        <v>AW</v>
      </c>
      <c r="N260" s="150">
        <f t="shared" si="50"/>
        <v>259</v>
      </c>
      <c r="O260" s="150" t="str">
        <f t="shared" si="51"/>
        <v>AW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str">
        <f t="shared" si="49"/>
        <v>AW</v>
      </c>
      <c r="N261" s="150">
        <f t="shared" si="50"/>
        <v>260</v>
      </c>
      <c r="O261" s="150" t="str">
        <f t="shared" si="51"/>
        <v>AW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str">
        <f t="shared" si="49"/>
        <v>AW</v>
      </c>
      <c r="N262" s="150">
        <f t="shared" si="50"/>
        <v>261</v>
      </c>
      <c r="O262" s="150" t="str">
        <f t="shared" si="51"/>
        <v>AW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str">
        <f t="shared" si="49"/>
        <v>AW</v>
      </c>
      <c r="N263" s="150">
        <f t="shared" si="50"/>
        <v>262</v>
      </c>
      <c r="O263" s="150" t="str">
        <f t="shared" si="51"/>
        <v>AW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str">
        <f t="shared" si="49"/>
        <v>AW</v>
      </c>
      <c r="N264" s="150">
        <f t="shared" si="50"/>
        <v>263</v>
      </c>
      <c r="O264" s="150" t="str">
        <f t="shared" si="51"/>
        <v>AW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str">
        <f t="shared" si="49"/>
        <v>AW</v>
      </c>
      <c r="N265" s="150">
        <f t="shared" si="50"/>
        <v>264</v>
      </c>
      <c r="O265" s="150" t="str">
        <f t="shared" si="51"/>
        <v>AW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str">
        <f t="shared" si="49"/>
        <v>AW</v>
      </c>
      <c r="N266" s="150">
        <f t="shared" si="50"/>
        <v>265</v>
      </c>
      <c r="O266" s="150" t="str">
        <f t="shared" si="51"/>
        <v>AW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str">
        <f t="shared" si="49"/>
        <v>AW</v>
      </c>
      <c r="N267" s="150">
        <f t="shared" si="50"/>
        <v>266</v>
      </c>
      <c r="O267" s="150" t="str">
        <f t="shared" si="51"/>
        <v>AW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str">
        <f t="shared" si="49"/>
        <v>AW</v>
      </c>
      <c r="N268" s="150">
        <f t="shared" si="50"/>
        <v>267</v>
      </c>
      <c r="O268" s="150" t="str">
        <f t="shared" si="51"/>
        <v>AW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str">
        <f t="shared" si="49"/>
        <v>AW</v>
      </c>
      <c r="N269" s="150">
        <f t="shared" si="50"/>
        <v>268</v>
      </c>
      <c r="O269" s="150" t="str">
        <f t="shared" si="51"/>
        <v>AW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str">
        <f t="shared" si="49"/>
        <v>AW</v>
      </c>
      <c r="N270" s="150">
        <f t="shared" si="50"/>
        <v>269</v>
      </c>
      <c r="O270" s="150" t="str">
        <f t="shared" si="51"/>
        <v>AW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str">
        <f t="shared" si="49"/>
        <v>AW</v>
      </c>
      <c r="N271" s="150">
        <f t="shared" si="50"/>
        <v>270</v>
      </c>
      <c r="O271" s="150" t="str">
        <f t="shared" si="51"/>
        <v>AW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str">
        <f t="shared" si="49"/>
        <v>AW</v>
      </c>
      <c r="N272" s="150">
        <f t="shared" si="50"/>
        <v>271</v>
      </c>
      <c r="O272" s="150" t="str">
        <f t="shared" si="51"/>
        <v>AW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str">
        <f t="shared" si="49"/>
        <v>AW</v>
      </c>
      <c r="N273" s="150">
        <f t="shared" si="50"/>
        <v>272</v>
      </c>
      <c r="O273" s="150" t="str">
        <f t="shared" si="51"/>
        <v>AW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str">
        <f t="shared" si="49"/>
        <v>AW</v>
      </c>
      <c r="N274" s="150">
        <f t="shared" si="50"/>
        <v>273</v>
      </c>
      <c r="O274" s="150" t="str">
        <f t="shared" si="51"/>
        <v>AW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str">
        <f t="shared" si="49"/>
        <v>AW</v>
      </c>
      <c r="N275" s="150">
        <f t="shared" si="50"/>
        <v>274</v>
      </c>
      <c r="O275" s="150" t="str">
        <f t="shared" si="51"/>
        <v>AW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str">
        <f t="shared" si="49"/>
        <v>AW</v>
      </c>
      <c r="N276" s="150">
        <f t="shared" si="50"/>
        <v>275</v>
      </c>
      <c r="O276" s="150" t="str">
        <f t="shared" si="51"/>
        <v>AW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str">
        <f t="shared" si="49"/>
        <v>AW</v>
      </c>
      <c r="N277" s="150">
        <f t="shared" si="50"/>
        <v>276</v>
      </c>
      <c r="O277" s="150" t="str">
        <f t="shared" si="51"/>
        <v>AW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str">
        <f t="shared" si="49"/>
        <v>AW</v>
      </c>
      <c r="N278" s="150">
        <f t="shared" si="50"/>
        <v>277</v>
      </c>
      <c r="O278" s="150" t="str">
        <f t="shared" si="51"/>
        <v>AW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str">
        <f t="shared" si="49"/>
        <v>AW</v>
      </c>
      <c r="N279" s="150">
        <f t="shared" si="50"/>
        <v>278</v>
      </c>
      <c r="O279" s="150" t="str">
        <f t="shared" si="51"/>
        <v>AW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str">
        <f t="shared" si="49"/>
        <v>AW</v>
      </c>
      <c r="N280" s="150">
        <f t="shared" si="50"/>
        <v>279</v>
      </c>
      <c r="O280" s="150" t="str">
        <f t="shared" si="51"/>
        <v>AW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str">
        <f t="shared" si="49"/>
        <v>AW</v>
      </c>
      <c r="N281" s="150">
        <f t="shared" si="50"/>
        <v>280</v>
      </c>
      <c r="O281" s="150" t="str">
        <f t="shared" si="51"/>
        <v>AW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str">
        <f t="shared" si="49"/>
        <v>AW</v>
      </c>
      <c r="N282" s="150">
        <f t="shared" si="50"/>
        <v>281</v>
      </c>
      <c r="O282" s="150" t="str">
        <f t="shared" si="51"/>
        <v>AW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str">
        <f t="shared" si="49"/>
        <v>AW</v>
      </c>
      <c r="N283" s="150">
        <f t="shared" si="50"/>
        <v>282</v>
      </c>
      <c r="O283" s="150" t="str">
        <f t="shared" si="51"/>
        <v>AW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str">
        <f t="shared" si="49"/>
        <v>AW</v>
      </c>
      <c r="N284" s="150">
        <f t="shared" si="50"/>
        <v>283</v>
      </c>
      <c r="O284" s="150" t="str">
        <f t="shared" si="51"/>
        <v>AW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str">
        <f t="shared" si="49"/>
        <v>AW</v>
      </c>
      <c r="N285" s="150">
        <f t="shared" si="50"/>
        <v>284</v>
      </c>
      <c r="O285" s="150" t="str">
        <f t="shared" si="51"/>
        <v>AW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str">
        <f t="shared" si="49"/>
        <v>AW</v>
      </c>
      <c r="N286" s="150">
        <f t="shared" si="50"/>
        <v>285</v>
      </c>
      <c r="O286" s="150" t="str">
        <f t="shared" si="51"/>
        <v>AW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str">
        <f t="shared" si="49"/>
        <v>AW</v>
      </c>
      <c r="N287" s="150">
        <f t="shared" si="50"/>
        <v>286</v>
      </c>
      <c r="O287" s="150" t="str">
        <f t="shared" si="51"/>
        <v>AW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str">
        <f t="shared" si="49"/>
        <v>AW</v>
      </c>
      <c r="N288" s="150">
        <f t="shared" si="50"/>
        <v>287</v>
      </c>
      <c r="O288" s="150" t="str">
        <f t="shared" si="51"/>
        <v>AW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str">
        <f t="shared" si="49"/>
        <v>AW</v>
      </c>
      <c r="N289" s="150">
        <f t="shared" si="50"/>
        <v>288</v>
      </c>
      <c r="O289" s="150" t="str">
        <f t="shared" si="51"/>
        <v>AW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str">
        <f t="shared" si="49"/>
        <v>AW</v>
      </c>
      <c r="N290" s="150">
        <f t="shared" si="50"/>
        <v>289</v>
      </c>
      <c r="O290" s="150" t="str">
        <f t="shared" si="51"/>
        <v>AW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str">
        <f t="shared" si="49"/>
        <v>AW</v>
      </c>
      <c r="N291" s="150">
        <f t="shared" si="50"/>
        <v>290</v>
      </c>
      <c r="O291" s="150" t="str">
        <f t="shared" si="51"/>
        <v>AW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str">
        <f t="shared" si="49"/>
        <v>AW</v>
      </c>
      <c r="N292" s="150">
        <f t="shared" si="50"/>
        <v>291</v>
      </c>
      <c r="O292" s="150" t="str">
        <f t="shared" si="51"/>
        <v>AW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str">
        <f t="shared" si="49"/>
        <v>AW</v>
      </c>
      <c r="N293" s="150">
        <f t="shared" si="50"/>
        <v>292</v>
      </c>
      <c r="O293" s="150" t="str">
        <f t="shared" si="51"/>
        <v>AW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str">
        <f t="shared" si="49"/>
        <v>AW</v>
      </c>
      <c r="N294" s="150">
        <f t="shared" si="50"/>
        <v>293</v>
      </c>
      <c r="O294" s="150" t="str">
        <f t="shared" si="51"/>
        <v>AW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str">
        <f t="shared" si="49"/>
        <v>AW</v>
      </c>
      <c r="N295" s="150">
        <f t="shared" si="50"/>
        <v>294</v>
      </c>
      <c r="O295" s="150" t="str">
        <f t="shared" si="51"/>
        <v>AW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str">
        <f t="shared" si="49"/>
        <v>AW</v>
      </c>
      <c r="N296" s="150">
        <f t="shared" si="50"/>
        <v>295</v>
      </c>
      <c r="O296" s="150" t="str">
        <f t="shared" si="51"/>
        <v>AW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str">
        <f t="shared" si="49"/>
        <v>AW</v>
      </c>
      <c r="N297" s="150">
        <f t="shared" si="50"/>
        <v>296</v>
      </c>
      <c r="O297" s="150" t="str">
        <f t="shared" si="51"/>
        <v>AW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str">
        <f t="shared" si="49"/>
        <v>AW</v>
      </c>
      <c r="N298" s="150">
        <f t="shared" si="50"/>
        <v>297</v>
      </c>
      <c r="O298" s="150" t="str">
        <f t="shared" si="51"/>
        <v>AW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str">
        <f t="shared" si="49"/>
        <v>AW</v>
      </c>
      <c r="N299" s="150">
        <f t="shared" si="50"/>
        <v>298</v>
      </c>
      <c r="O299" s="150" t="str">
        <f t="shared" si="51"/>
        <v>AW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str">
        <f t="shared" si="49"/>
        <v>AW</v>
      </c>
      <c r="N300" s="150">
        <f t="shared" si="50"/>
        <v>299</v>
      </c>
      <c r="O300" s="150" t="str">
        <f t="shared" si="51"/>
        <v>AW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str">
        <f t="shared" si="49"/>
        <v>AW</v>
      </c>
      <c r="N301" s="150">
        <f t="shared" si="50"/>
        <v>300</v>
      </c>
      <c r="O301" s="150" t="str">
        <f t="shared" si="51"/>
        <v>AW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str">
        <f t="shared" si="49"/>
        <v>AW</v>
      </c>
      <c r="N302" s="150">
        <f t="shared" si="50"/>
        <v>301</v>
      </c>
      <c r="O302" s="150" t="str">
        <f t="shared" si="51"/>
        <v>AW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str">
        <f t="shared" si="49"/>
        <v>AW</v>
      </c>
      <c r="N303" s="150">
        <f t="shared" si="50"/>
        <v>302</v>
      </c>
      <c r="O303" s="150" t="str">
        <f t="shared" si="51"/>
        <v>AW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str">
        <f t="shared" si="49"/>
        <v>AW</v>
      </c>
      <c r="N304" s="150">
        <f t="shared" si="50"/>
        <v>303</v>
      </c>
      <c r="O304" s="150" t="str">
        <f t="shared" si="51"/>
        <v>AW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str">
        <f t="shared" si="49"/>
        <v>AW</v>
      </c>
      <c r="N305" s="150">
        <f t="shared" si="50"/>
        <v>304</v>
      </c>
      <c r="O305" s="150" t="str">
        <f t="shared" si="51"/>
        <v>AW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str">
        <f t="shared" si="49"/>
        <v>AW</v>
      </c>
      <c r="N306" s="150">
        <f t="shared" si="50"/>
        <v>305</v>
      </c>
      <c r="O306" s="150" t="str">
        <f t="shared" si="51"/>
        <v>AW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str">
        <f t="shared" si="49"/>
        <v>AW</v>
      </c>
      <c r="N307" s="150">
        <f t="shared" si="50"/>
        <v>306</v>
      </c>
      <c r="O307" s="150" t="str">
        <f t="shared" si="51"/>
        <v>AW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str">
        <f t="shared" si="49"/>
        <v>AW</v>
      </c>
      <c r="N308" s="150">
        <f t="shared" si="50"/>
        <v>307</v>
      </c>
      <c r="O308" s="150" t="str">
        <f t="shared" si="51"/>
        <v>AW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str">
        <f t="shared" si="49"/>
        <v>AW</v>
      </c>
      <c r="N309" s="150">
        <f t="shared" si="50"/>
        <v>308</v>
      </c>
      <c r="O309" s="150" t="str">
        <f t="shared" si="51"/>
        <v>AW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str">
        <f t="shared" si="49"/>
        <v>AW</v>
      </c>
      <c r="N310" s="150">
        <f t="shared" si="50"/>
        <v>309</v>
      </c>
      <c r="O310" s="150" t="str">
        <f t="shared" si="51"/>
        <v>AW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str">
        <f t="shared" si="49"/>
        <v>AW</v>
      </c>
      <c r="N311" s="150">
        <f t="shared" si="50"/>
        <v>310</v>
      </c>
      <c r="O311" s="150" t="str">
        <f t="shared" si="51"/>
        <v>AW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str">
        <f t="shared" si="49"/>
        <v>AW</v>
      </c>
      <c r="N312" s="150">
        <f t="shared" si="50"/>
        <v>311</v>
      </c>
      <c r="O312" s="150" t="str">
        <f t="shared" si="51"/>
        <v>AW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str">
        <f t="shared" si="49"/>
        <v>AW</v>
      </c>
      <c r="N313" s="150">
        <f t="shared" si="50"/>
        <v>312</v>
      </c>
      <c r="O313" s="150" t="str">
        <f t="shared" si="51"/>
        <v>AW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str">
        <f t="shared" si="49"/>
        <v>AW</v>
      </c>
      <c r="N314" s="150">
        <f t="shared" si="50"/>
        <v>313</v>
      </c>
      <c r="O314" s="150" t="str">
        <f t="shared" si="51"/>
        <v>AW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str">
        <f t="shared" si="49"/>
        <v>AW</v>
      </c>
      <c r="N315" s="150">
        <f t="shared" si="50"/>
        <v>314</v>
      </c>
      <c r="O315" s="150" t="str">
        <f t="shared" si="51"/>
        <v>AW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str">
        <f t="shared" si="49"/>
        <v>AW</v>
      </c>
      <c r="N316" s="150">
        <f t="shared" si="50"/>
        <v>315</v>
      </c>
      <c r="O316" s="150" t="str">
        <f t="shared" si="51"/>
        <v>AW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str">
        <f t="shared" si="49"/>
        <v>AW</v>
      </c>
      <c r="N317" s="150">
        <f t="shared" si="50"/>
        <v>316</v>
      </c>
      <c r="O317" s="150" t="str">
        <f t="shared" si="51"/>
        <v>AW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str">
        <f t="shared" si="49"/>
        <v>AW</v>
      </c>
      <c r="N318" s="150">
        <f t="shared" si="50"/>
        <v>317</v>
      </c>
      <c r="O318" s="150" t="str">
        <f t="shared" si="51"/>
        <v>AW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str">
        <f t="shared" si="49"/>
        <v>AW</v>
      </c>
      <c r="N319" s="150">
        <f t="shared" si="50"/>
        <v>318</v>
      </c>
      <c r="O319" s="150" t="str">
        <f t="shared" si="51"/>
        <v>AW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str">
        <f t="shared" si="49"/>
        <v>AW</v>
      </c>
      <c r="N320" s="150">
        <f t="shared" si="50"/>
        <v>319</v>
      </c>
      <c r="O320" s="150" t="str">
        <f t="shared" si="51"/>
        <v>AW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str">
        <f t="shared" si="49"/>
        <v>AW</v>
      </c>
      <c r="N321" s="150">
        <f t="shared" si="50"/>
        <v>320</v>
      </c>
      <c r="O321" s="150" t="str">
        <f t="shared" si="51"/>
        <v>AW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str">
        <f t="shared" si="49"/>
        <v>AW</v>
      </c>
      <c r="N322" s="150">
        <f t="shared" si="50"/>
        <v>321</v>
      </c>
      <c r="O322" s="150" t="str">
        <f t="shared" si="51"/>
        <v>AW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str">
        <f t="shared" ref="M323:M386" si="61">IF(L323="","",IF(L323&lt;=$E$15,VLOOKUP($E$14,$I$1:$J$4,2,FALSE),VLOOKUP($F$14,$I$1:$J$4,2,FALSE)))</f>
        <v>AW</v>
      </c>
      <c r="N323" s="150">
        <f t="shared" ref="N323:N386" si="62">IF($B$20&gt;=K323,K323,"")</f>
        <v>322</v>
      </c>
      <c r="O323" s="150" t="str">
        <f t="shared" ref="O323:O386" si="63">IF(N323="","",IF(N323&lt;=$E$22,VLOOKUP($E$21,$I$1:$J$4,2,FALSE),VLOOKUP($F$21,$I$1:$J$4,2,FALSE)))</f>
        <v>AW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str">
        <f t="shared" si="61"/>
        <v>AW</v>
      </c>
      <c r="N324" s="150">
        <f t="shared" si="62"/>
        <v>323</v>
      </c>
      <c r="O324" s="150" t="str">
        <f t="shared" si="63"/>
        <v>AW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str">
        <f t="shared" si="61"/>
        <v>AW</v>
      </c>
      <c r="N325" s="150">
        <f t="shared" si="62"/>
        <v>324</v>
      </c>
      <c r="O325" s="150" t="str">
        <f t="shared" si="63"/>
        <v>AW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str">
        <f t="shared" si="61"/>
        <v>AW</v>
      </c>
      <c r="N326" s="150">
        <f t="shared" si="62"/>
        <v>325</v>
      </c>
      <c r="O326" s="150" t="str">
        <f t="shared" si="63"/>
        <v>AW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str">
        <f t="shared" si="61"/>
        <v>AW</v>
      </c>
      <c r="N327" s="150">
        <f t="shared" si="62"/>
        <v>326</v>
      </c>
      <c r="O327" s="150" t="str">
        <f t="shared" si="63"/>
        <v>AW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str">
        <f t="shared" si="61"/>
        <v>AW</v>
      </c>
      <c r="N328" s="150">
        <f t="shared" si="62"/>
        <v>327</v>
      </c>
      <c r="O328" s="150" t="str">
        <f t="shared" si="63"/>
        <v>AW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str">
        <f t="shared" si="61"/>
        <v>AW</v>
      </c>
      <c r="N329" s="150">
        <f t="shared" si="62"/>
        <v>328</v>
      </c>
      <c r="O329" s="150" t="str">
        <f t="shared" si="63"/>
        <v>AW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str">
        <f t="shared" si="61"/>
        <v>AW</v>
      </c>
      <c r="N330" s="150">
        <f t="shared" si="62"/>
        <v>329</v>
      </c>
      <c r="O330" s="150" t="str">
        <f t="shared" si="63"/>
        <v>AW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str">
        <f t="shared" si="61"/>
        <v>AW</v>
      </c>
      <c r="N331" s="150">
        <f t="shared" si="62"/>
        <v>330</v>
      </c>
      <c r="O331" s="150" t="str">
        <f t="shared" si="63"/>
        <v>AW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str">
        <f t="shared" si="61"/>
        <v>AW</v>
      </c>
      <c r="N332" s="150">
        <f t="shared" si="62"/>
        <v>331</v>
      </c>
      <c r="O332" s="150" t="str">
        <f t="shared" si="63"/>
        <v>AW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str">
        <f t="shared" si="61"/>
        <v>AW</v>
      </c>
      <c r="N333" s="150">
        <f t="shared" si="62"/>
        <v>332</v>
      </c>
      <c r="O333" s="150" t="str">
        <f t="shared" si="63"/>
        <v>AW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str">
        <f t="shared" si="61"/>
        <v>AW</v>
      </c>
      <c r="N334" s="150">
        <f t="shared" si="62"/>
        <v>333</v>
      </c>
      <c r="O334" s="150" t="str">
        <f t="shared" si="63"/>
        <v>AW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str">
        <f t="shared" si="61"/>
        <v>AW</v>
      </c>
      <c r="N335" s="150">
        <f t="shared" si="62"/>
        <v>334</v>
      </c>
      <c r="O335" s="150" t="str">
        <f t="shared" si="63"/>
        <v>AW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str">
        <f t="shared" si="61"/>
        <v>AW</v>
      </c>
      <c r="N336" s="150">
        <f t="shared" si="62"/>
        <v>335</v>
      </c>
      <c r="O336" s="150" t="str">
        <f t="shared" si="63"/>
        <v>AW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str">
        <f t="shared" si="61"/>
        <v>AW</v>
      </c>
      <c r="N337" s="150">
        <f t="shared" si="62"/>
        <v>336</v>
      </c>
      <c r="O337" s="150" t="str">
        <f t="shared" si="63"/>
        <v>AW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str">
        <f t="shared" si="61"/>
        <v>AW</v>
      </c>
      <c r="N338" s="150">
        <f t="shared" si="62"/>
        <v>337</v>
      </c>
      <c r="O338" s="150" t="str">
        <f t="shared" si="63"/>
        <v>AW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str">
        <f t="shared" si="61"/>
        <v>AW</v>
      </c>
      <c r="N339" s="150">
        <f t="shared" si="62"/>
        <v>338</v>
      </c>
      <c r="O339" s="150" t="str">
        <f t="shared" si="63"/>
        <v>AW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str">
        <f t="shared" si="61"/>
        <v>AW</v>
      </c>
      <c r="N340" s="150">
        <f t="shared" si="62"/>
        <v>339</v>
      </c>
      <c r="O340" s="150" t="str">
        <f t="shared" si="63"/>
        <v>AW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str">
        <f t="shared" si="61"/>
        <v>AW</v>
      </c>
      <c r="N341" s="150">
        <f t="shared" si="62"/>
        <v>340</v>
      </c>
      <c r="O341" s="150" t="str">
        <f t="shared" si="63"/>
        <v>AW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str">
        <f t="shared" si="61"/>
        <v>AW</v>
      </c>
      <c r="N342" s="150">
        <f t="shared" si="62"/>
        <v>341</v>
      </c>
      <c r="O342" s="150" t="str">
        <f t="shared" si="63"/>
        <v>AW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str">
        <f t="shared" si="61"/>
        <v>AW</v>
      </c>
      <c r="N343" s="150">
        <f t="shared" si="62"/>
        <v>342</v>
      </c>
      <c r="O343" s="150" t="str">
        <f t="shared" si="63"/>
        <v>AW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str">
        <f t="shared" si="61"/>
        <v>AW</v>
      </c>
      <c r="N344" s="150">
        <f t="shared" si="62"/>
        <v>343</v>
      </c>
      <c r="O344" s="150" t="str">
        <f t="shared" si="63"/>
        <v>AW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str">
        <f t="shared" si="61"/>
        <v>AW</v>
      </c>
      <c r="N345" s="150">
        <f t="shared" si="62"/>
        <v>344</v>
      </c>
      <c r="O345" s="150" t="str">
        <f t="shared" si="63"/>
        <v>AW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str">
        <f t="shared" si="61"/>
        <v>AW</v>
      </c>
      <c r="N346" s="150">
        <f t="shared" si="62"/>
        <v>345</v>
      </c>
      <c r="O346" s="150" t="str">
        <f t="shared" si="63"/>
        <v>AW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str">
        <f t="shared" si="61"/>
        <v>AW</v>
      </c>
      <c r="N347" s="150">
        <f t="shared" si="62"/>
        <v>346</v>
      </c>
      <c r="O347" s="150" t="str">
        <f t="shared" si="63"/>
        <v>AW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str">
        <f t="shared" si="61"/>
        <v>AW</v>
      </c>
      <c r="N348" s="150">
        <f t="shared" si="62"/>
        <v>347</v>
      </c>
      <c r="O348" s="150" t="str">
        <f t="shared" si="63"/>
        <v>AW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str">
        <f t="shared" si="61"/>
        <v>AW</v>
      </c>
      <c r="N349" s="150">
        <f t="shared" si="62"/>
        <v>348</v>
      </c>
      <c r="O349" s="150" t="str">
        <f t="shared" si="63"/>
        <v>AW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str">
        <f t="shared" si="61"/>
        <v>AW</v>
      </c>
      <c r="N350" s="150">
        <f t="shared" si="62"/>
        <v>349</v>
      </c>
      <c r="O350" s="150" t="str">
        <f t="shared" si="63"/>
        <v>AW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str">
        <f t="shared" si="61"/>
        <v>AW</v>
      </c>
      <c r="N351" s="150">
        <f t="shared" si="62"/>
        <v>350</v>
      </c>
      <c r="O351" s="150" t="str">
        <f t="shared" si="63"/>
        <v>AW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str">
        <f t="shared" si="61"/>
        <v>AW</v>
      </c>
      <c r="N352" s="150">
        <f t="shared" si="62"/>
        <v>351</v>
      </c>
      <c r="O352" s="150" t="str">
        <f t="shared" si="63"/>
        <v>AW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str">
        <f t="shared" si="61"/>
        <v>AW</v>
      </c>
      <c r="N353" s="150">
        <f t="shared" si="62"/>
        <v>352</v>
      </c>
      <c r="O353" s="150" t="str">
        <f t="shared" si="63"/>
        <v>AW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str">
        <f t="shared" si="61"/>
        <v>AW</v>
      </c>
      <c r="N354" s="150">
        <f t="shared" si="62"/>
        <v>353</v>
      </c>
      <c r="O354" s="150" t="str">
        <f t="shared" si="63"/>
        <v>AW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str">
        <f t="shared" si="61"/>
        <v>AW</v>
      </c>
      <c r="N355" s="150">
        <f t="shared" si="62"/>
        <v>354</v>
      </c>
      <c r="O355" s="150" t="str">
        <f t="shared" si="63"/>
        <v>AW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str">
        <f t="shared" si="61"/>
        <v>AW</v>
      </c>
      <c r="N356" s="150">
        <f t="shared" si="62"/>
        <v>355</v>
      </c>
      <c r="O356" s="150" t="str">
        <f t="shared" si="63"/>
        <v>AW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str">
        <f t="shared" si="61"/>
        <v>AW</v>
      </c>
      <c r="N357" s="150">
        <f t="shared" si="62"/>
        <v>356</v>
      </c>
      <c r="O357" s="150" t="str">
        <f t="shared" si="63"/>
        <v>AW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str">
        <f t="shared" si="61"/>
        <v>AW</v>
      </c>
      <c r="N358" s="150">
        <f t="shared" si="62"/>
        <v>357</v>
      </c>
      <c r="O358" s="150" t="str">
        <f t="shared" si="63"/>
        <v>AW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str">
        <f t="shared" si="61"/>
        <v>AW</v>
      </c>
      <c r="N359" s="150">
        <f t="shared" si="62"/>
        <v>358</v>
      </c>
      <c r="O359" s="150" t="str">
        <f t="shared" si="63"/>
        <v>AW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str">
        <f t="shared" si="61"/>
        <v>AW</v>
      </c>
      <c r="N360" s="150">
        <f t="shared" si="62"/>
        <v>359</v>
      </c>
      <c r="O360" s="150" t="str">
        <f t="shared" si="63"/>
        <v>AW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str">
        <f t="shared" si="61"/>
        <v>AW</v>
      </c>
      <c r="N361" s="150">
        <f t="shared" si="62"/>
        <v>360</v>
      </c>
      <c r="O361" s="150" t="str">
        <f t="shared" si="63"/>
        <v>AW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str">
        <f t="shared" si="61"/>
        <v>AW</v>
      </c>
      <c r="N362" s="150">
        <f t="shared" si="62"/>
        <v>361</v>
      </c>
      <c r="O362" s="150" t="str">
        <f t="shared" si="63"/>
        <v>AW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str">
        <f t="shared" si="61"/>
        <v>AW</v>
      </c>
      <c r="N363" s="150">
        <f t="shared" si="62"/>
        <v>362</v>
      </c>
      <c r="O363" s="150" t="str">
        <f t="shared" si="63"/>
        <v>AW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str">
        <f t="shared" si="61"/>
        <v>AW</v>
      </c>
      <c r="N364" s="150">
        <f t="shared" si="62"/>
        <v>363</v>
      </c>
      <c r="O364" s="150" t="str">
        <f t="shared" si="63"/>
        <v>AW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str">
        <f t="shared" si="61"/>
        <v>AW</v>
      </c>
      <c r="N365" s="150">
        <f t="shared" si="62"/>
        <v>364</v>
      </c>
      <c r="O365" s="150" t="str">
        <f t="shared" si="63"/>
        <v>AW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str">
        <f t="shared" si="61"/>
        <v>AW</v>
      </c>
      <c r="N366" s="150">
        <f t="shared" si="62"/>
        <v>365</v>
      </c>
      <c r="O366" s="150" t="str">
        <f t="shared" si="63"/>
        <v>AW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str">
        <f t="shared" si="61"/>
        <v>AW</v>
      </c>
      <c r="N367" s="150">
        <f t="shared" si="62"/>
        <v>366</v>
      </c>
      <c r="O367" s="150" t="str">
        <f t="shared" si="63"/>
        <v>AW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str">
        <f t="shared" si="61"/>
        <v>AW</v>
      </c>
      <c r="N368" s="150">
        <f t="shared" si="62"/>
        <v>367</v>
      </c>
      <c r="O368" s="150" t="str">
        <f t="shared" si="63"/>
        <v>AW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str">
        <f t="shared" si="61"/>
        <v>AW</v>
      </c>
      <c r="N369" s="150">
        <f t="shared" si="62"/>
        <v>368</v>
      </c>
      <c r="O369" s="150" t="str">
        <f t="shared" si="63"/>
        <v>AW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str">
        <f t="shared" si="61"/>
        <v>AW</v>
      </c>
      <c r="N370" s="150">
        <f t="shared" si="62"/>
        <v>369</v>
      </c>
      <c r="O370" s="150" t="str">
        <f t="shared" si="63"/>
        <v>AW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str">
        <f t="shared" si="61"/>
        <v>AW</v>
      </c>
      <c r="N371" s="150">
        <f t="shared" si="62"/>
        <v>370</v>
      </c>
      <c r="O371" s="150" t="str">
        <f t="shared" si="63"/>
        <v>AW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str">
        <f t="shared" si="61"/>
        <v>AW</v>
      </c>
      <c r="N372" s="150">
        <f t="shared" si="62"/>
        <v>371</v>
      </c>
      <c r="O372" s="150" t="str">
        <f t="shared" si="63"/>
        <v>AW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str">
        <f t="shared" si="61"/>
        <v>AW</v>
      </c>
      <c r="N373" s="150">
        <f t="shared" si="62"/>
        <v>372</v>
      </c>
      <c r="O373" s="150" t="str">
        <f t="shared" si="63"/>
        <v>AW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str">
        <f t="shared" si="61"/>
        <v>AW</v>
      </c>
      <c r="N374" s="150">
        <f t="shared" si="62"/>
        <v>373</v>
      </c>
      <c r="O374" s="150" t="str">
        <f t="shared" si="63"/>
        <v>AW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str">
        <f t="shared" si="61"/>
        <v>AW</v>
      </c>
      <c r="N375" s="150">
        <f t="shared" si="62"/>
        <v>374</v>
      </c>
      <c r="O375" s="150" t="str">
        <f t="shared" si="63"/>
        <v>AW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str">
        <f t="shared" si="61"/>
        <v>AW</v>
      </c>
      <c r="N376" s="150">
        <f t="shared" si="62"/>
        <v>375</v>
      </c>
      <c r="O376" s="150" t="str">
        <f t="shared" si="63"/>
        <v>AW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str">
        <f t="shared" si="61"/>
        <v>AW</v>
      </c>
      <c r="N377" s="150">
        <f t="shared" si="62"/>
        <v>376</v>
      </c>
      <c r="O377" s="150" t="str">
        <f t="shared" si="63"/>
        <v>AW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str">
        <f t="shared" si="61"/>
        <v>AW</v>
      </c>
      <c r="N378" s="150">
        <f t="shared" si="62"/>
        <v>377</v>
      </c>
      <c r="O378" s="150" t="str">
        <f t="shared" si="63"/>
        <v>AW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str">
        <f t="shared" si="61"/>
        <v>AW</v>
      </c>
      <c r="N379" s="150">
        <f t="shared" si="62"/>
        <v>378</v>
      </c>
      <c r="O379" s="150" t="str">
        <f t="shared" si="63"/>
        <v>AW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str">
        <f t="shared" si="61"/>
        <v>AW</v>
      </c>
      <c r="N380" s="150">
        <f t="shared" si="62"/>
        <v>379</v>
      </c>
      <c r="O380" s="150" t="str">
        <f t="shared" si="63"/>
        <v>AW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str">
        <f t="shared" si="61"/>
        <v>AW</v>
      </c>
      <c r="N381" s="150">
        <f t="shared" si="62"/>
        <v>380</v>
      </c>
      <c r="O381" s="150" t="str">
        <f t="shared" si="63"/>
        <v>AW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str">
        <f t="shared" si="61"/>
        <v>AW</v>
      </c>
      <c r="N382" s="150">
        <f t="shared" si="62"/>
        <v>381</v>
      </c>
      <c r="O382" s="150" t="str">
        <f t="shared" si="63"/>
        <v>AW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str">
        <f t="shared" si="61"/>
        <v>AW</v>
      </c>
      <c r="N383" s="150">
        <f t="shared" si="62"/>
        <v>382</v>
      </c>
      <c r="O383" s="150" t="str">
        <f t="shared" si="63"/>
        <v>AW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str">
        <f t="shared" si="61"/>
        <v>AW</v>
      </c>
      <c r="N384" s="150">
        <f t="shared" si="62"/>
        <v>383</v>
      </c>
      <c r="O384" s="150" t="str">
        <f t="shared" si="63"/>
        <v>AW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str">
        <f t="shared" si="61"/>
        <v>AW</v>
      </c>
      <c r="N385" s="150">
        <f t="shared" si="62"/>
        <v>384</v>
      </c>
      <c r="O385" s="150" t="str">
        <f t="shared" si="63"/>
        <v>AW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str">
        <f t="shared" si="61"/>
        <v>AW</v>
      </c>
      <c r="N386" s="150">
        <f t="shared" si="62"/>
        <v>385</v>
      </c>
      <c r="O386" s="150" t="str">
        <f t="shared" si="63"/>
        <v>AW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str">
        <f t="shared" ref="M387:M450" si="73">IF(L387="","",IF(L387&lt;=$E$15,VLOOKUP($E$14,$I$1:$J$4,2,FALSE),VLOOKUP($F$14,$I$1:$J$4,2,FALSE)))</f>
        <v>AW</v>
      </c>
      <c r="N387" s="150">
        <f t="shared" ref="N387:N450" si="74">IF($B$20&gt;=K387,K387,"")</f>
        <v>386</v>
      </c>
      <c r="O387" s="150" t="str">
        <f t="shared" ref="O387:O450" si="75">IF(N387="","",IF(N387&lt;=$E$22,VLOOKUP($E$21,$I$1:$J$4,2,FALSE),VLOOKUP($F$21,$I$1:$J$4,2,FALSE)))</f>
        <v>AW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str">
        <f t="shared" si="73"/>
        <v>AW</v>
      </c>
      <c r="N388" s="150">
        <f t="shared" si="74"/>
        <v>387</v>
      </c>
      <c r="O388" s="150" t="str">
        <f t="shared" si="75"/>
        <v>AW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str">
        <f t="shared" si="73"/>
        <v>AW</v>
      </c>
      <c r="N389" s="150">
        <f t="shared" si="74"/>
        <v>388</v>
      </c>
      <c r="O389" s="150" t="str">
        <f t="shared" si="75"/>
        <v>AW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str">
        <f t="shared" si="73"/>
        <v>AW</v>
      </c>
      <c r="N390" s="150">
        <f t="shared" si="74"/>
        <v>389</v>
      </c>
      <c r="O390" s="150" t="str">
        <f t="shared" si="75"/>
        <v>AW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str">
        <f t="shared" si="73"/>
        <v>AW</v>
      </c>
      <c r="N391" s="150">
        <f t="shared" si="74"/>
        <v>390</v>
      </c>
      <c r="O391" s="150" t="str">
        <f t="shared" si="75"/>
        <v>AW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str">
        <f t="shared" si="73"/>
        <v>AW</v>
      </c>
      <c r="N392" s="150">
        <f t="shared" si="74"/>
        <v>391</v>
      </c>
      <c r="O392" s="150" t="str">
        <f t="shared" si="75"/>
        <v>AW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str">
        <f t="shared" si="73"/>
        <v>AW</v>
      </c>
      <c r="N393" s="150">
        <f t="shared" si="74"/>
        <v>392</v>
      </c>
      <c r="O393" s="150" t="str">
        <f t="shared" si="75"/>
        <v>AW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str">
        <f t="shared" si="73"/>
        <v>AW</v>
      </c>
      <c r="N394" s="150">
        <f t="shared" si="74"/>
        <v>393</v>
      </c>
      <c r="O394" s="150" t="str">
        <f t="shared" si="75"/>
        <v>AW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str">
        <f t="shared" si="73"/>
        <v>AW</v>
      </c>
      <c r="N395" s="150">
        <f t="shared" si="74"/>
        <v>394</v>
      </c>
      <c r="O395" s="150" t="str">
        <f t="shared" si="75"/>
        <v>AW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str">
        <f t="shared" si="73"/>
        <v>AW</v>
      </c>
      <c r="N396" s="150">
        <f t="shared" si="74"/>
        <v>395</v>
      </c>
      <c r="O396" s="150" t="str">
        <f t="shared" si="75"/>
        <v>AW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str">
        <f t="shared" si="73"/>
        <v>AW</v>
      </c>
      <c r="N397" s="150">
        <f t="shared" si="74"/>
        <v>396</v>
      </c>
      <c r="O397" s="150" t="str">
        <f t="shared" si="75"/>
        <v>AW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str">
        <f t="shared" si="73"/>
        <v>AW</v>
      </c>
      <c r="N398" s="150">
        <f t="shared" si="74"/>
        <v>397</v>
      </c>
      <c r="O398" s="150" t="str">
        <f t="shared" si="75"/>
        <v>AW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str">
        <f t="shared" si="73"/>
        <v>AW</v>
      </c>
      <c r="N399" s="150">
        <f t="shared" si="74"/>
        <v>398</v>
      </c>
      <c r="O399" s="150" t="str">
        <f t="shared" si="75"/>
        <v>AW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str">
        <f t="shared" si="73"/>
        <v>AW</v>
      </c>
      <c r="N400" s="150">
        <f t="shared" si="74"/>
        <v>399</v>
      </c>
      <c r="O400" s="150" t="str">
        <f t="shared" si="75"/>
        <v>AW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str">
        <f t="shared" si="73"/>
        <v>AW</v>
      </c>
      <c r="N401" s="150">
        <f t="shared" si="74"/>
        <v>400</v>
      </c>
      <c r="O401" s="150" t="str">
        <f t="shared" si="75"/>
        <v>AW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str">
        <f t="shared" si="73"/>
        <v>AW</v>
      </c>
      <c r="N402" s="150">
        <f t="shared" si="74"/>
        <v>401</v>
      </c>
      <c r="O402" s="150" t="str">
        <f t="shared" si="75"/>
        <v>AW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str">
        <f t="shared" si="73"/>
        <v>AW</v>
      </c>
      <c r="N403" s="150">
        <f t="shared" si="74"/>
        <v>402</v>
      </c>
      <c r="O403" s="150" t="str">
        <f t="shared" si="75"/>
        <v>AW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str">
        <f t="shared" si="73"/>
        <v>AW</v>
      </c>
      <c r="N404" s="150">
        <f t="shared" si="74"/>
        <v>403</v>
      </c>
      <c r="O404" s="150" t="str">
        <f t="shared" si="75"/>
        <v>AW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str">
        <f t="shared" si="73"/>
        <v>AW</v>
      </c>
      <c r="N405" s="150">
        <f t="shared" si="74"/>
        <v>404</v>
      </c>
      <c r="O405" s="150" t="str">
        <f t="shared" si="75"/>
        <v>AW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str">
        <f t="shared" si="73"/>
        <v>AW</v>
      </c>
      <c r="N406" s="150">
        <f t="shared" si="74"/>
        <v>405</v>
      </c>
      <c r="O406" s="150" t="str">
        <f t="shared" si="75"/>
        <v>AW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str">
        <f t="shared" si="73"/>
        <v>AW</v>
      </c>
      <c r="N407" s="150">
        <f t="shared" si="74"/>
        <v>406</v>
      </c>
      <c r="O407" s="150" t="str">
        <f t="shared" si="75"/>
        <v>AW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str">
        <f t="shared" si="73"/>
        <v>AW</v>
      </c>
      <c r="N408" s="150">
        <f t="shared" si="74"/>
        <v>407</v>
      </c>
      <c r="O408" s="150" t="str">
        <f t="shared" si="75"/>
        <v>AW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str">
        <f t="shared" si="73"/>
        <v>AW</v>
      </c>
      <c r="N409" s="150">
        <f t="shared" si="74"/>
        <v>408</v>
      </c>
      <c r="O409" s="150" t="str">
        <f t="shared" si="75"/>
        <v>AW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str">
        <f t="shared" si="73"/>
        <v>AW</v>
      </c>
      <c r="N410" s="150">
        <f t="shared" si="74"/>
        <v>409</v>
      </c>
      <c r="O410" s="150" t="str">
        <f t="shared" si="75"/>
        <v>AW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str">
        <f t="shared" si="73"/>
        <v>AW</v>
      </c>
      <c r="N411" s="150">
        <f t="shared" si="74"/>
        <v>410</v>
      </c>
      <c r="O411" s="150" t="str">
        <f t="shared" si="75"/>
        <v>AW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str">
        <f t="shared" si="73"/>
        <v>AW</v>
      </c>
      <c r="N412" s="150">
        <f t="shared" si="74"/>
        <v>411</v>
      </c>
      <c r="O412" s="150" t="str">
        <f t="shared" si="75"/>
        <v>AW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str">
        <f t="shared" si="73"/>
        <v>AW</v>
      </c>
      <c r="N413" s="150">
        <f t="shared" si="74"/>
        <v>412</v>
      </c>
      <c r="O413" s="150" t="str">
        <f t="shared" si="75"/>
        <v>AW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str">
        <f t="shared" si="73"/>
        <v>AW</v>
      </c>
      <c r="N414" s="150">
        <f t="shared" si="74"/>
        <v>413</v>
      </c>
      <c r="O414" s="150" t="str">
        <f t="shared" si="75"/>
        <v>AW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str">
        <f t="shared" si="73"/>
        <v>AW</v>
      </c>
      <c r="N415" s="150">
        <f t="shared" si="74"/>
        <v>414</v>
      </c>
      <c r="O415" s="150" t="str">
        <f t="shared" si="75"/>
        <v>AW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str">
        <f t="shared" si="73"/>
        <v>AW</v>
      </c>
      <c r="N416" s="150">
        <f t="shared" si="74"/>
        <v>415</v>
      </c>
      <c r="O416" s="150" t="str">
        <f t="shared" si="75"/>
        <v>AW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str">
        <f t="shared" si="73"/>
        <v>AW</v>
      </c>
      <c r="N417" s="150">
        <f t="shared" si="74"/>
        <v>416</v>
      </c>
      <c r="O417" s="150" t="str">
        <f t="shared" si="75"/>
        <v>AW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str">
        <f t="shared" si="73"/>
        <v>AW</v>
      </c>
      <c r="N418" s="150">
        <f t="shared" si="74"/>
        <v>417</v>
      </c>
      <c r="O418" s="150" t="str">
        <f t="shared" si="75"/>
        <v>AW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str">
        <f t="shared" si="73"/>
        <v>AW</v>
      </c>
      <c r="N419" s="150">
        <f t="shared" si="74"/>
        <v>418</v>
      </c>
      <c r="O419" s="150" t="str">
        <f t="shared" si="75"/>
        <v>AW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str">
        <f t="shared" si="73"/>
        <v>AW</v>
      </c>
      <c r="N420" s="150">
        <f t="shared" si="74"/>
        <v>419</v>
      </c>
      <c r="O420" s="150" t="str">
        <f t="shared" si="75"/>
        <v>AW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str">
        <f t="shared" si="73"/>
        <v>AW</v>
      </c>
      <c r="N421" s="150">
        <f t="shared" si="74"/>
        <v>420</v>
      </c>
      <c r="O421" s="150" t="str">
        <f t="shared" si="75"/>
        <v>AW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str">
        <f t="shared" si="73"/>
        <v>AW</v>
      </c>
      <c r="N422" s="150">
        <f t="shared" si="74"/>
        <v>421</v>
      </c>
      <c r="O422" s="150" t="str">
        <f t="shared" si="75"/>
        <v>AW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str">
        <f t="shared" si="73"/>
        <v>AW</v>
      </c>
      <c r="N423" s="150">
        <f t="shared" si="74"/>
        <v>422</v>
      </c>
      <c r="O423" s="150" t="str">
        <f t="shared" si="75"/>
        <v>AW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str">
        <f t="shared" si="73"/>
        <v>AW</v>
      </c>
      <c r="N424" s="150">
        <f t="shared" si="74"/>
        <v>423</v>
      </c>
      <c r="O424" s="150" t="str">
        <f t="shared" si="75"/>
        <v>AW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str">
        <f t="shared" si="73"/>
        <v>AW</v>
      </c>
      <c r="N425" s="150">
        <f t="shared" si="74"/>
        <v>424</v>
      </c>
      <c r="O425" s="150" t="str">
        <f t="shared" si="75"/>
        <v>AW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str">
        <f t="shared" si="73"/>
        <v>AW</v>
      </c>
      <c r="N426" s="150">
        <f t="shared" si="74"/>
        <v>425</v>
      </c>
      <c r="O426" s="150" t="str">
        <f t="shared" si="75"/>
        <v>AW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str">
        <f t="shared" si="73"/>
        <v>AW</v>
      </c>
      <c r="N427" s="150">
        <f t="shared" si="74"/>
        <v>426</v>
      </c>
      <c r="O427" s="150" t="str">
        <f t="shared" si="75"/>
        <v>AW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str">
        <f t="shared" si="73"/>
        <v>AW</v>
      </c>
      <c r="N428" s="150">
        <f t="shared" si="74"/>
        <v>427</v>
      </c>
      <c r="O428" s="150" t="str">
        <f t="shared" si="75"/>
        <v>AW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str">
        <f t="shared" si="73"/>
        <v>AW</v>
      </c>
      <c r="N429" s="150">
        <f t="shared" si="74"/>
        <v>428</v>
      </c>
      <c r="O429" s="150" t="str">
        <f t="shared" si="75"/>
        <v>AW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str">
        <f t="shared" si="73"/>
        <v>AW</v>
      </c>
      <c r="N430" s="150">
        <f t="shared" si="74"/>
        <v>429</v>
      </c>
      <c r="O430" s="150" t="str">
        <f t="shared" si="75"/>
        <v>AW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str">
        <f t="shared" si="73"/>
        <v>AW</v>
      </c>
      <c r="N431" s="150">
        <f t="shared" si="74"/>
        <v>430</v>
      </c>
      <c r="O431" s="150" t="str">
        <f t="shared" si="75"/>
        <v>AW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str">
        <f t="shared" si="73"/>
        <v>AW</v>
      </c>
      <c r="N432" s="150">
        <f t="shared" si="74"/>
        <v>431</v>
      </c>
      <c r="O432" s="150" t="str">
        <f t="shared" si="75"/>
        <v>AW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str">
        <f t="shared" si="73"/>
        <v>AW</v>
      </c>
      <c r="N433" s="150">
        <f t="shared" si="74"/>
        <v>432</v>
      </c>
      <c r="O433" s="150" t="str">
        <f t="shared" si="75"/>
        <v>AW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str">
        <f t="shared" si="73"/>
        <v>AW</v>
      </c>
      <c r="N434" s="150">
        <f t="shared" si="74"/>
        <v>433</v>
      </c>
      <c r="O434" s="150" t="str">
        <f t="shared" si="75"/>
        <v>AW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str">
        <f t="shared" si="73"/>
        <v>AW</v>
      </c>
      <c r="N435" s="150">
        <f t="shared" si="74"/>
        <v>434</v>
      </c>
      <c r="O435" s="150" t="str">
        <f t="shared" si="75"/>
        <v>AW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str">
        <f t="shared" si="73"/>
        <v>AW</v>
      </c>
      <c r="N436" s="150">
        <f t="shared" si="74"/>
        <v>435</v>
      </c>
      <c r="O436" s="150" t="str">
        <f t="shared" si="75"/>
        <v>AW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str">
        <f t="shared" si="73"/>
        <v>AW</v>
      </c>
      <c r="N437" s="150">
        <f t="shared" si="74"/>
        <v>436</v>
      </c>
      <c r="O437" s="150" t="str">
        <f t="shared" si="75"/>
        <v>AW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str">
        <f t="shared" si="73"/>
        <v>AW</v>
      </c>
      <c r="N438" s="150">
        <f t="shared" si="74"/>
        <v>437</v>
      </c>
      <c r="O438" s="150" t="str">
        <f t="shared" si="75"/>
        <v>AW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str">
        <f t="shared" si="73"/>
        <v>AW</v>
      </c>
      <c r="N439" s="150">
        <f t="shared" si="74"/>
        <v>438</v>
      </c>
      <c r="O439" s="150" t="str">
        <f t="shared" si="75"/>
        <v>AW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str">
        <f t="shared" si="73"/>
        <v>AW</v>
      </c>
      <c r="N440" s="150">
        <f t="shared" si="74"/>
        <v>439</v>
      </c>
      <c r="O440" s="150" t="str">
        <f t="shared" si="75"/>
        <v>AW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str">
        <f t="shared" si="73"/>
        <v>AW</v>
      </c>
      <c r="N441" s="150">
        <f t="shared" si="74"/>
        <v>440</v>
      </c>
      <c r="O441" s="150" t="str">
        <f t="shared" si="75"/>
        <v>AW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str">
        <f t="shared" si="73"/>
        <v>AW</v>
      </c>
      <c r="N442" s="150">
        <f t="shared" si="74"/>
        <v>441</v>
      </c>
      <c r="O442" s="150" t="str">
        <f t="shared" si="75"/>
        <v>AW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str">
        <f t="shared" si="73"/>
        <v>AW</v>
      </c>
      <c r="N443" s="150">
        <f t="shared" si="74"/>
        <v>442</v>
      </c>
      <c r="O443" s="150" t="str">
        <f t="shared" si="75"/>
        <v>AW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str">
        <f t="shared" si="73"/>
        <v>AW</v>
      </c>
      <c r="N444" s="150">
        <f t="shared" si="74"/>
        <v>443</v>
      </c>
      <c r="O444" s="150" t="str">
        <f t="shared" si="75"/>
        <v>AW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str">
        <f t="shared" si="73"/>
        <v>AW</v>
      </c>
      <c r="N445" s="150">
        <f t="shared" si="74"/>
        <v>444</v>
      </c>
      <c r="O445" s="150" t="str">
        <f t="shared" si="75"/>
        <v>AW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str">
        <f t="shared" si="73"/>
        <v>AW</v>
      </c>
      <c r="N446" s="150">
        <f t="shared" si="74"/>
        <v>445</v>
      </c>
      <c r="O446" s="150" t="str">
        <f t="shared" si="75"/>
        <v>AW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str">
        <f t="shared" si="73"/>
        <v>AW</v>
      </c>
      <c r="N447" s="150">
        <f t="shared" si="74"/>
        <v>446</v>
      </c>
      <c r="O447" s="150" t="str">
        <f t="shared" si="75"/>
        <v>AW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str">
        <f t="shared" si="73"/>
        <v>AW</v>
      </c>
      <c r="N448" s="150">
        <f t="shared" si="74"/>
        <v>447</v>
      </c>
      <c r="O448" s="150" t="str">
        <f t="shared" si="75"/>
        <v>AW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str">
        <f t="shared" si="73"/>
        <v>AW</v>
      </c>
      <c r="N449" s="150">
        <f t="shared" si="74"/>
        <v>448</v>
      </c>
      <c r="O449" s="150" t="str">
        <f t="shared" si="75"/>
        <v>AW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str">
        <f t="shared" si="73"/>
        <v>AW</v>
      </c>
      <c r="N450" s="150">
        <f t="shared" si="74"/>
        <v>449</v>
      </c>
      <c r="O450" s="150" t="str">
        <f t="shared" si="75"/>
        <v>AW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str">
        <f t="shared" ref="M451:M514" si="85">IF(L451="","",IF(L451&lt;=$E$15,VLOOKUP($E$14,$I$1:$J$4,2,FALSE),VLOOKUP($F$14,$I$1:$J$4,2,FALSE)))</f>
        <v>AW</v>
      </c>
      <c r="N451" s="150">
        <f t="shared" ref="N451:N514" si="86">IF($B$20&gt;=K451,K451,"")</f>
        <v>450</v>
      </c>
      <c r="O451" s="150" t="str">
        <f t="shared" ref="O451:O514" si="87">IF(N451="","",IF(N451&lt;=$E$22,VLOOKUP($E$21,$I$1:$J$4,2,FALSE),VLOOKUP($F$21,$I$1:$J$4,2,FALSE)))</f>
        <v>AW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str">
        <f t="shared" si="85"/>
        <v>AW</v>
      </c>
      <c r="N452" s="150">
        <f t="shared" si="86"/>
        <v>451</v>
      </c>
      <c r="O452" s="150" t="str">
        <f t="shared" si="87"/>
        <v>AW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str">
        <f t="shared" si="85"/>
        <v>AW</v>
      </c>
      <c r="N453" s="150">
        <f t="shared" si="86"/>
        <v>452</v>
      </c>
      <c r="O453" s="150" t="str">
        <f t="shared" si="87"/>
        <v>AW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str">
        <f t="shared" si="85"/>
        <v>AW</v>
      </c>
      <c r="N454" s="150">
        <f t="shared" si="86"/>
        <v>453</v>
      </c>
      <c r="O454" s="150" t="str">
        <f t="shared" si="87"/>
        <v>AW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str">
        <f t="shared" si="85"/>
        <v>AW</v>
      </c>
      <c r="N455" s="150">
        <f t="shared" si="86"/>
        <v>454</v>
      </c>
      <c r="O455" s="150" t="str">
        <f t="shared" si="87"/>
        <v>AW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str">
        <f t="shared" si="85"/>
        <v>AW</v>
      </c>
      <c r="N456" s="150">
        <f t="shared" si="86"/>
        <v>455</v>
      </c>
      <c r="O456" s="150" t="str">
        <f t="shared" si="87"/>
        <v>AW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str">
        <f t="shared" si="85"/>
        <v>AW</v>
      </c>
      <c r="N457" s="150">
        <f t="shared" si="86"/>
        <v>456</v>
      </c>
      <c r="O457" s="150" t="str">
        <f t="shared" si="87"/>
        <v>AW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str">
        <f t="shared" si="85"/>
        <v>AW</v>
      </c>
      <c r="N458" s="150">
        <f t="shared" si="86"/>
        <v>457</v>
      </c>
      <c r="O458" s="150" t="str">
        <f t="shared" si="87"/>
        <v>AW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str">
        <f t="shared" si="85"/>
        <v>AW</v>
      </c>
      <c r="N459" s="150">
        <f t="shared" si="86"/>
        <v>458</v>
      </c>
      <c r="O459" s="150" t="str">
        <f t="shared" si="87"/>
        <v>AW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str">
        <f t="shared" si="85"/>
        <v>AW</v>
      </c>
      <c r="N460" s="150">
        <f t="shared" si="86"/>
        <v>459</v>
      </c>
      <c r="O460" s="150" t="str">
        <f t="shared" si="87"/>
        <v>AW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str">
        <f t="shared" si="85"/>
        <v>AW</v>
      </c>
      <c r="N461" s="150">
        <f t="shared" si="86"/>
        <v>460</v>
      </c>
      <c r="O461" s="150" t="str">
        <f t="shared" si="87"/>
        <v>AW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str">
        <f t="shared" si="85"/>
        <v>AW</v>
      </c>
      <c r="N462" s="150">
        <f t="shared" si="86"/>
        <v>461</v>
      </c>
      <c r="O462" s="150" t="str">
        <f t="shared" si="87"/>
        <v>AW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str">
        <f t="shared" si="85"/>
        <v>AW</v>
      </c>
      <c r="N463" s="150">
        <f t="shared" si="86"/>
        <v>462</v>
      </c>
      <c r="O463" s="150" t="str">
        <f t="shared" si="87"/>
        <v>AW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str">
        <f t="shared" si="85"/>
        <v>AW</v>
      </c>
      <c r="N464" s="150">
        <f t="shared" si="86"/>
        <v>463</v>
      </c>
      <c r="O464" s="150" t="str">
        <f t="shared" si="87"/>
        <v>AW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str">
        <f t="shared" si="85"/>
        <v>AW</v>
      </c>
      <c r="N465" s="150">
        <f t="shared" si="86"/>
        <v>464</v>
      </c>
      <c r="O465" s="150" t="str">
        <f t="shared" si="87"/>
        <v>AW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str">
        <f t="shared" si="85"/>
        <v>AW</v>
      </c>
      <c r="N466" s="150">
        <f t="shared" si="86"/>
        <v>465</v>
      </c>
      <c r="O466" s="150" t="str">
        <f t="shared" si="87"/>
        <v>AW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str">
        <f t="shared" si="85"/>
        <v>AW</v>
      </c>
      <c r="N467" s="150">
        <f t="shared" si="86"/>
        <v>466</v>
      </c>
      <c r="O467" s="150" t="str">
        <f t="shared" si="87"/>
        <v>AW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str">
        <f t="shared" si="85"/>
        <v>AW</v>
      </c>
      <c r="N468" s="150">
        <f t="shared" si="86"/>
        <v>467</v>
      </c>
      <c r="O468" s="150" t="str">
        <f t="shared" si="87"/>
        <v>AW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str">
        <f t="shared" si="85"/>
        <v>AW</v>
      </c>
      <c r="N469" s="150">
        <f t="shared" si="86"/>
        <v>468</v>
      </c>
      <c r="O469" s="150" t="str">
        <f t="shared" si="87"/>
        <v>AW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str">
        <f t="shared" si="85"/>
        <v>AW</v>
      </c>
      <c r="N470" s="150">
        <f t="shared" si="86"/>
        <v>469</v>
      </c>
      <c r="O470" s="150" t="str">
        <f t="shared" si="87"/>
        <v>AW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str">
        <f t="shared" si="85"/>
        <v>AW</v>
      </c>
      <c r="N471" s="150">
        <f t="shared" si="86"/>
        <v>470</v>
      </c>
      <c r="O471" s="150" t="str">
        <f t="shared" si="87"/>
        <v>AW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str">
        <f t="shared" si="85"/>
        <v>AW</v>
      </c>
      <c r="N472" s="150">
        <f t="shared" si="86"/>
        <v>471</v>
      </c>
      <c r="O472" s="150" t="str">
        <f t="shared" si="87"/>
        <v>AW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str">
        <f t="shared" si="85"/>
        <v>AW</v>
      </c>
      <c r="N473" s="150">
        <f t="shared" si="86"/>
        <v>472</v>
      </c>
      <c r="O473" s="150" t="str">
        <f t="shared" si="87"/>
        <v>AW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str">
        <f t="shared" si="85"/>
        <v>AW</v>
      </c>
      <c r="N474" s="150">
        <f t="shared" si="86"/>
        <v>473</v>
      </c>
      <c r="O474" s="150" t="str">
        <f t="shared" si="87"/>
        <v>AW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str">
        <f t="shared" si="85"/>
        <v>AW</v>
      </c>
      <c r="N475" s="150">
        <f t="shared" si="86"/>
        <v>474</v>
      </c>
      <c r="O475" s="150" t="str">
        <f t="shared" si="87"/>
        <v>AW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str">
        <f t="shared" si="85"/>
        <v>AW</v>
      </c>
      <c r="N476" s="150">
        <f t="shared" si="86"/>
        <v>475</v>
      </c>
      <c r="O476" s="150" t="str">
        <f t="shared" si="87"/>
        <v>AW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str">
        <f t="shared" si="85"/>
        <v>AW</v>
      </c>
      <c r="N477" s="150">
        <f t="shared" si="86"/>
        <v>476</v>
      </c>
      <c r="O477" s="150" t="str">
        <f t="shared" si="87"/>
        <v>AW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str">
        <f t="shared" si="85"/>
        <v>AW</v>
      </c>
      <c r="N478" s="150">
        <f t="shared" si="86"/>
        <v>477</v>
      </c>
      <c r="O478" s="150" t="str">
        <f t="shared" si="87"/>
        <v>AW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str">
        <f t="shared" si="85"/>
        <v>AW</v>
      </c>
      <c r="N479" s="150">
        <f t="shared" si="86"/>
        <v>478</v>
      </c>
      <c r="O479" s="150" t="str">
        <f t="shared" si="87"/>
        <v>AW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str">
        <f t="shared" si="85"/>
        <v>AW</v>
      </c>
      <c r="N480" s="150">
        <f t="shared" si="86"/>
        <v>479</v>
      </c>
      <c r="O480" s="150" t="str">
        <f t="shared" si="87"/>
        <v>AW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str">
        <f t="shared" si="85"/>
        <v>AW</v>
      </c>
      <c r="N481" s="150">
        <f t="shared" si="86"/>
        <v>480</v>
      </c>
      <c r="O481" s="150" t="str">
        <f t="shared" si="87"/>
        <v>AW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str">
        <f t="shared" si="85"/>
        <v>AW</v>
      </c>
      <c r="N482" s="150">
        <f t="shared" si="86"/>
        <v>481</v>
      </c>
      <c r="O482" s="150" t="str">
        <f t="shared" si="87"/>
        <v>AW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str">
        <f t="shared" si="85"/>
        <v>AW</v>
      </c>
      <c r="N483" s="150">
        <f t="shared" si="86"/>
        <v>482</v>
      </c>
      <c r="O483" s="150" t="str">
        <f t="shared" si="87"/>
        <v>AW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str">
        <f t="shared" si="85"/>
        <v>AW</v>
      </c>
      <c r="N484" s="150">
        <f t="shared" si="86"/>
        <v>483</v>
      </c>
      <c r="O484" s="150" t="str">
        <f t="shared" si="87"/>
        <v>AW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str">
        <f t="shared" si="85"/>
        <v>AW</v>
      </c>
      <c r="N485" s="150">
        <f t="shared" si="86"/>
        <v>484</v>
      </c>
      <c r="O485" s="150" t="str">
        <f t="shared" si="87"/>
        <v>AW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str">
        <f t="shared" si="85"/>
        <v>AW</v>
      </c>
      <c r="N486" s="150">
        <f t="shared" si="86"/>
        <v>485</v>
      </c>
      <c r="O486" s="150" t="str">
        <f t="shared" si="87"/>
        <v>AW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str">
        <f t="shared" si="85"/>
        <v>AW</v>
      </c>
      <c r="N487" s="150">
        <f t="shared" si="86"/>
        <v>486</v>
      </c>
      <c r="O487" s="150" t="str">
        <f t="shared" si="87"/>
        <v>AW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str">
        <f t="shared" si="85"/>
        <v>AW</v>
      </c>
      <c r="N488" s="150">
        <f t="shared" si="86"/>
        <v>487</v>
      </c>
      <c r="O488" s="150" t="str">
        <f t="shared" si="87"/>
        <v>AW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str">
        <f t="shared" si="85"/>
        <v>AW</v>
      </c>
      <c r="N489" s="150">
        <f t="shared" si="86"/>
        <v>488</v>
      </c>
      <c r="O489" s="150" t="str">
        <f t="shared" si="87"/>
        <v>AW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str">
        <f t="shared" si="85"/>
        <v>AW</v>
      </c>
      <c r="N490" s="150">
        <f t="shared" si="86"/>
        <v>489</v>
      </c>
      <c r="O490" s="150" t="str">
        <f t="shared" si="87"/>
        <v>AW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str">
        <f t="shared" si="85"/>
        <v>AW</v>
      </c>
      <c r="N491" s="150">
        <f t="shared" si="86"/>
        <v>490</v>
      </c>
      <c r="O491" s="150" t="str">
        <f t="shared" si="87"/>
        <v>AW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str">
        <f t="shared" si="85"/>
        <v>AW</v>
      </c>
      <c r="N492" s="150">
        <f t="shared" si="86"/>
        <v>491</v>
      </c>
      <c r="O492" s="150" t="str">
        <f t="shared" si="87"/>
        <v>AW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str">
        <f t="shared" si="85"/>
        <v>AW</v>
      </c>
      <c r="N493" s="150">
        <f t="shared" si="86"/>
        <v>492</v>
      </c>
      <c r="O493" s="150" t="str">
        <f t="shared" si="87"/>
        <v>AW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str">
        <f t="shared" si="85"/>
        <v>AW</v>
      </c>
      <c r="N494" s="150">
        <f t="shared" si="86"/>
        <v>493</v>
      </c>
      <c r="O494" s="150" t="str">
        <f t="shared" si="87"/>
        <v>AW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str">
        <f t="shared" si="85"/>
        <v>AW</v>
      </c>
      <c r="N495" s="150">
        <f t="shared" si="86"/>
        <v>494</v>
      </c>
      <c r="O495" s="150" t="str">
        <f t="shared" si="87"/>
        <v>AW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str">
        <f t="shared" si="85"/>
        <v>AW</v>
      </c>
      <c r="N496" s="150">
        <f t="shared" si="86"/>
        <v>495</v>
      </c>
      <c r="O496" s="150" t="str">
        <f t="shared" si="87"/>
        <v>AW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str">
        <f t="shared" si="85"/>
        <v>AW</v>
      </c>
      <c r="N497" s="150">
        <f t="shared" si="86"/>
        <v>496</v>
      </c>
      <c r="O497" s="150" t="str">
        <f t="shared" si="87"/>
        <v>AW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str">
        <f t="shared" si="85"/>
        <v>AW</v>
      </c>
      <c r="N498" s="150">
        <f t="shared" si="86"/>
        <v>497</v>
      </c>
      <c r="O498" s="150" t="str">
        <f t="shared" si="87"/>
        <v>AW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str">
        <f t="shared" si="85"/>
        <v>AW</v>
      </c>
      <c r="N499" s="150">
        <f t="shared" si="86"/>
        <v>498</v>
      </c>
      <c r="O499" s="150" t="str">
        <f t="shared" si="87"/>
        <v>AW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str">
        <f t="shared" si="85"/>
        <v>AW</v>
      </c>
      <c r="N500" s="150">
        <f t="shared" si="86"/>
        <v>499</v>
      </c>
      <c r="O500" s="150" t="str">
        <f t="shared" si="87"/>
        <v>AW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str">
        <f t="shared" si="85"/>
        <v>AW</v>
      </c>
      <c r="N501" s="150">
        <f t="shared" si="86"/>
        <v>500</v>
      </c>
      <c r="O501" s="150" t="str">
        <f t="shared" si="87"/>
        <v>AW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str">
        <f t="shared" si="85"/>
        <v>AW</v>
      </c>
      <c r="N502" s="150">
        <f t="shared" si="86"/>
        <v>501</v>
      </c>
      <c r="O502" s="150" t="str">
        <f t="shared" si="87"/>
        <v>AW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str">
        <f t="shared" si="85"/>
        <v>AW</v>
      </c>
      <c r="N503" s="150">
        <f t="shared" si="86"/>
        <v>502</v>
      </c>
      <c r="O503" s="150" t="str">
        <f t="shared" si="87"/>
        <v>AW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str">
        <f t="shared" si="85"/>
        <v>AW</v>
      </c>
      <c r="N504" s="150">
        <f t="shared" si="86"/>
        <v>503</v>
      </c>
      <c r="O504" s="150" t="str">
        <f t="shared" si="87"/>
        <v>AW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str">
        <f t="shared" si="85"/>
        <v>AW</v>
      </c>
      <c r="N505" s="150">
        <f t="shared" si="86"/>
        <v>504</v>
      </c>
      <c r="O505" s="150" t="str">
        <f t="shared" si="87"/>
        <v>AW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str">
        <f t="shared" si="85"/>
        <v>AW</v>
      </c>
      <c r="N506" s="150">
        <f t="shared" si="86"/>
        <v>505</v>
      </c>
      <c r="O506" s="150" t="str">
        <f t="shared" si="87"/>
        <v>AW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str">
        <f t="shared" si="85"/>
        <v>AW</v>
      </c>
      <c r="N507" s="150">
        <f t="shared" si="86"/>
        <v>506</v>
      </c>
      <c r="O507" s="150" t="str">
        <f t="shared" si="87"/>
        <v>AW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str">
        <f t="shared" si="85"/>
        <v>AW</v>
      </c>
      <c r="N508" s="150">
        <f t="shared" si="86"/>
        <v>507</v>
      </c>
      <c r="O508" s="150" t="str">
        <f t="shared" si="87"/>
        <v>AW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str">
        <f t="shared" si="85"/>
        <v>AW</v>
      </c>
      <c r="N509" s="150">
        <f t="shared" si="86"/>
        <v>508</v>
      </c>
      <c r="O509" s="150" t="str">
        <f t="shared" si="87"/>
        <v>AW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str">
        <f t="shared" si="85"/>
        <v>AW</v>
      </c>
      <c r="N510" s="150">
        <f t="shared" si="86"/>
        <v>509</v>
      </c>
      <c r="O510" s="150" t="str">
        <f t="shared" si="87"/>
        <v>AW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str">
        <f t="shared" si="85"/>
        <v>AW</v>
      </c>
      <c r="N511" s="150">
        <f t="shared" si="86"/>
        <v>510</v>
      </c>
      <c r="O511" s="150" t="str">
        <f t="shared" si="87"/>
        <v>AW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str">
        <f t="shared" si="85"/>
        <v>AW</v>
      </c>
      <c r="N512" s="150">
        <f t="shared" si="86"/>
        <v>511</v>
      </c>
      <c r="O512" s="150" t="str">
        <f t="shared" si="87"/>
        <v>AW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str">
        <f t="shared" si="85"/>
        <v>AW</v>
      </c>
      <c r="N513" s="150">
        <f t="shared" si="86"/>
        <v>512</v>
      </c>
      <c r="O513" s="150" t="str">
        <f t="shared" si="87"/>
        <v>AW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str">
        <f t="shared" si="85"/>
        <v>AW</v>
      </c>
      <c r="N514" s="150">
        <f t="shared" si="86"/>
        <v>513</v>
      </c>
      <c r="O514" s="150" t="str">
        <f t="shared" si="87"/>
        <v>AW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str">
        <f t="shared" ref="M515:M578" si="97">IF(L515="","",IF(L515&lt;=$E$15,VLOOKUP($E$14,$I$1:$J$4,2,FALSE),VLOOKUP($F$14,$I$1:$J$4,2,FALSE)))</f>
        <v>AW</v>
      </c>
      <c r="N515" s="150">
        <f t="shared" ref="N515:N578" si="98">IF($B$20&gt;=K515,K515,"")</f>
        <v>514</v>
      </c>
      <c r="O515" s="150" t="str">
        <f t="shared" ref="O515:O578" si="99">IF(N515="","",IF(N515&lt;=$E$22,VLOOKUP($E$21,$I$1:$J$4,2,FALSE),VLOOKUP($F$21,$I$1:$J$4,2,FALSE)))</f>
        <v>AW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str">
        <f t="shared" si="97"/>
        <v>AW</v>
      </c>
      <c r="N516" s="150">
        <f t="shared" si="98"/>
        <v>515</v>
      </c>
      <c r="O516" s="150" t="str">
        <f t="shared" si="99"/>
        <v>AW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str">
        <f t="shared" si="97"/>
        <v>AW</v>
      </c>
      <c r="N517" s="150">
        <f t="shared" si="98"/>
        <v>516</v>
      </c>
      <c r="O517" s="150" t="str">
        <f t="shared" si="99"/>
        <v>AW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str">
        <f t="shared" si="97"/>
        <v>AW</v>
      </c>
      <c r="N518" s="150">
        <f t="shared" si="98"/>
        <v>517</v>
      </c>
      <c r="O518" s="150" t="str">
        <f t="shared" si="99"/>
        <v>AW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str">
        <f t="shared" si="97"/>
        <v>AW</v>
      </c>
      <c r="N519" s="150">
        <f t="shared" si="98"/>
        <v>518</v>
      </c>
      <c r="O519" s="150" t="str">
        <f t="shared" si="99"/>
        <v>AW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str">
        <f t="shared" si="97"/>
        <v>AW</v>
      </c>
      <c r="N520" s="150">
        <f t="shared" si="98"/>
        <v>519</v>
      </c>
      <c r="O520" s="150" t="str">
        <f t="shared" si="99"/>
        <v>AW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str">
        <f t="shared" si="97"/>
        <v>AW</v>
      </c>
      <c r="N521" s="150">
        <f t="shared" si="98"/>
        <v>520</v>
      </c>
      <c r="O521" s="150" t="str">
        <f t="shared" si="99"/>
        <v>AW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str">
        <f t="shared" si="97"/>
        <v>AW</v>
      </c>
      <c r="N522" s="150">
        <f t="shared" si="98"/>
        <v>521</v>
      </c>
      <c r="O522" s="150" t="str">
        <f t="shared" si="99"/>
        <v>AW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str">
        <f t="shared" si="97"/>
        <v>AW</v>
      </c>
      <c r="N523" s="150">
        <f t="shared" si="98"/>
        <v>522</v>
      </c>
      <c r="O523" s="150" t="str">
        <f t="shared" si="99"/>
        <v>AW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str">
        <f t="shared" si="97"/>
        <v>AW</v>
      </c>
      <c r="N524" s="150">
        <f t="shared" si="98"/>
        <v>523</v>
      </c>
      <c r="O524" s="150" t="str">
        <f t="shared" si="99"/>
        <v>AW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str">
        <f t="shared" si="97"/>
        <v>AW</v>
      </c>
      <c r="N525" s="150">
        <f t="shared" si="98"/>
        <v>524</v>
      </c>
      <c r="O525" s="150" t="str">
        <f t="shared" si="99"/>
        <v>AW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str">
        <f t="shared" si="97"/>
        <v>AW</v>
      </c>
      <c r="N526" s="150">
        <f t="shared" si="98"/>
        <v>525</v>
      </c>
      <c r="O526" s="150" t="str">
        <f t="shared" si="99"/>
        <v>AW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str">
        <f t="shared" si="97"/>
        <v>AW</v>
      </c>
      <c r="N527" s="150">
        <f t="shared" si="98"/>
        <v>526</v>
      </c>
      <c r="O527" s="150" t="str">
        <f t="shared" si="99"/>
        <v>AW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str">
        <f t="shared" si="97"/>
        <v>AW</v>
      </c>
      <c r="N528" s="150">
        <f t="shared" si="98"/>
        <v>527</v>
      </c>
      <c r="O528" s="150" t="str">
        <f t="shared" si="99"/>
        <v>AW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str">
        <f t="shared" si="97"/>
        <v>AW</v>
      </c>
      <c r="N529" s="150">
        <f t="shared" si="98"/>
        <v>528</v>
      </c>
      <c r="O529" s="150" t="str">
        <f t="shared" si="99"/>
        <v>AW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str">
        <f t="shared" si="97"/>
        <v>AW</v>
      </c>
      <c r="N530" s="150">
        <f t="shared" si="98"/>
        <v>529</v>
      </c>
      <c r="O530" s="150" t="str">
        <f t="shared" si="99"/>
        <v>AW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str">
        <f t="shared" si="97"/>
        <v>AW</v>
      </c>
      <c r="N531" s="150">
        <f t="shared" si="98"/>
        <v>530</v>
      </c>
      <c r="O531" s="150" t="str">
        <f t="shared" si="99"/>
        <v>AW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str">
        <f t="shared" si="97"/>
        <v>AW</v>
      </c>
      <c r="N532" s="150">
        <f t="shared" si="98"/>
        <v>531</v>
      </c>
      <c r="O532" s="150" t="str">
        <f t="shared" si="99"/>
        <v>AW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str">
        <f t="shared" si="97"/>
        <v>AW</v>
      </c>
      <c r="N533" s="150">
        <f t="shared" si="98"/>
        <v>532</v>
      </c>
      <c r="O533" s="150" t="str">
        <f t="shared" si="99"/>
        <v>AW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str">
        <f t="shared" si="97"/>
        <v>AW</v>
      </c>
      <c r="N534" s="150">
        <f t="shared" si="98"/>
        <v>533</v>
      </c>
      <c r="O534" s="150" t="str">
        <f t="shared" si="99"/>
        <v>AW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str">
        <f t="shared" si="97"/>
        <v>AW</v>
      </c>
      <c r="N535" s="150">
        <f t="shared" si="98"/>
        <v>534</v>
      </c>
      <c r="O535" s="150" t="str">
        <f t="shared" si="99"/>
        <v>AW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str">
        <f t="shared" si="97"/>
        <v>AW</v>
      </c>
      <c r="N536" s="150">
        <f t="shared" si="98"/>
        <v>535</v>
      </c>
      <c r="O536" s="150" t="str">
        <f t="shared" si="99"/>
        <v>AW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str">
        <f t="shared" si="97"/>
        <v>AW</v>
      </c>
      <c r="N537" s="150">
        <f t="shared" si="98"/>
        <v>536</v>
      </c>
      <c r="O537" s="150" t="str">
        <f t="shared" si="99"/>
        <v>AW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str">
        <f t="shared" si="97"/>
        <v>AW</v>
      </c>
      <c r="N538" s="150">
        <f t="shared" si="98"/>
        <v>537</v>
      </c>
      <c r="O538" s="150" t="str">
        <f t="shared" si="99"/>
        <v>AW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str">
        <f t="shared" si="97"/>
        <v>AW</v>
      </c>
      <c r="N539" s="150">
        <f t="shared" si="98"/>
        <v>538</v>
      </c>
      <c r="O539" s="150" t="str">
        <f t="shared" si="99"/>
        <v>AW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str">
        <f t="shared" si="97"/>
        <v>AW</v>
      </c>
      <c r="N540" s="150">
        <f t="shared" si="98"/>
        <v>539</v>
      </c>
      <c r="O540" s="150" t="str">
        <f t="shared" si="99"/>
        <v>AW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str">
        <f t="shared" si="97"/>
        <v>AW</v>
      </c>
      <c r="N541" s="150">
        <f t="shared" si="98"/>
        <v>540</v>
      </c>
      <c r="O541" s="150" t="str">
        <f t="shared" si="99"/>
        <v>AW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str">
        <f t="shared" si="97"/>
        <v>AW</v>
      </c>
      <c r="N542" s="150">
        <f t="shared" si="98"/>
        <v>541</v>
      </c>
      <c r="O542" s="150" t="str">
        <f t="shared" si="99"/>
        <v>AW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str">
        <f t="shared" si="97"/>
        <v>AW</v>
      </c>
      <c r="N543" s="150">
        <f t="shared" si="98"/>
        <v>542</v>
      </c>
      <c r="O543" s="150" t="str">
        <f t="shared" si="99"/>
        <v>AW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str">
        <f t="shared" si="97"/>
        <v>AW</v>
      </c>
      <c r="N544" s="150">
        <f t="shared" si="98"/>
        <v>543</v>
      </c>
      <c r="O544" s="150" t="str">
        <f t="shared" si="99"/>
        <v>AW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str">
        <f t="shared" si="97"/>
        <v>AW</v>
      </c>
      <c r="N545" s="150">
        <f t="shared" si="98"/>
        <v>544</v>
      </c>
      <c r="O545" s="150" t="str">
        <f t="shared" si="99"/>
        <v>AW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str">
        <f t="shared" si="97"/>
        <v>AW</v>
      </c>
      <c r="N546" s="150">
        <f t="shared" si="98"/>
        <v>545</v>
      </c>
      <c r="O546" s="150" t="str">
        <f t="shared" si="99"/>
        <v>AW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str">
        <f t="shared" si="97"/>
        <v>AW</v>
      </c>
      <c r="N547" s="150">
        <f t="shared" si="98"/>
        <v>546</v>
      </c>
      <c r="O547" s="150" t="str">
        <f t="shared" si="99"/>
        <v>AW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str">
        <f t="shared" si="97"/>
        <v>AW</v>
      </c>
      <c r="N548" s="150">
        <f t="shared" si="98"/>
        <v>547</v>
      </c>
      <c r="O548" s="150" t="str">
        <f t="shared" si="99"/>
        <v>AW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str">
        <f t="shared" si="97"/>
        <v>AW</v>
      </c>
      <c r="N549" s="150">
        <f t="shared" si="98"/>
        <v>548</v>
      </c>
      <c r="O549" s="150" t="str">
        <f t="shared" si="99"/>
        <v>AW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str">
        <f t="shared" si="97"/>
        <v>AW</v>
      </c>
      <c r="N550" s="150">
        <f t="shared" si="98"/>
        <v>549</v>
      </c>
      <c r="O550" s="150" t="str">
        <f t="shared" si="99"/>
        <v>AW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str">
        <f t="shared" si="97"/>
        <v>AW</v>
      </c>
      <c r="N551" s="150">
        <f t="shared" si="98"/>
        <v>550</v>
      </c>
      <c r="O551" s="150" t="str">
        <f t="shared" si="99"/>
        <v>AW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str">
        <f t="shared" si="97"/>
        <v>AW</v>
      </c>
      <c r="N552" s="150">
        <f t="shared" si="98"/>
        <v>551</v>
      </c>
      <c r="O552" s="150" t="str">
        <f t="shared" si="99"/>
        <v>AW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str">
        <f t="shared" si="97"/>
        <v>AW</v>
      </c>
      <c r="N553" s="150">
        <f t="shared" si="98"/>
        <v>552</v>
      </c>
      <c r="O553" s="150" t="str">
        <f t="shared" si="99"/>
        <v>AW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str">
        <f t="shared" si="97"/>
        <v>AW</v>
      </c>
      <c r="N554" s="150">
        <f t="shared" si="98"/>
        <v>553</v>
      </c>
      <c r="O554" s="150" t="str">
        <f t="shared" si="99"/>
        <v>AW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str">
        <f t="shared" si="97"/>
        <v>AW</v>
      </c>
      <c r="N555" s="150">
        <f t="shared" si="98"/>
        <v>554</v>
      </c>
      <c r="O555" s="150" t="str">
        <f t="shared" si="99"/>
        <v>AW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str">
        <f t="shared" si="97"/>
        <v>AW</v>
      </c>
      <c r="N556" s="150">
        <f t="shared" si="98"/>
        <v>555</v>
      </c>
      <c r="O556" s="150" t="str">
        <f t="shared" si="99"/>
        <v>AW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str">
        <f t="shared" si="97"/>
        <v>AW</v>
      </c>
      <c r="N557" s="150">
        <f t="shared" si="98"/>
        <v>556</v>
      </c>
      <c r="O557" s="150" t="str">
        <f t="shared" si="99"/>
        <v>AW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str">
        <f t="shared" si="97"/>
        <v>AW</v>
      </c>
      <c r="N558" s="150">
        <f t="shared" si="98"/>
        <v>557</v>
      </c>
      <c r="O558" s="150" t="str">
        <f t="shared" si="99"/>
        <v>AW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str">
        <f t="shared" si="97"/>
        <v>AW</v>
      </c>
      <c r="N559" s="150">
        <f t="shared" si="98"/>
        <v>558</v>
      </c>
      <c r="O559" s="150" t="str">
        <f t="shared" si="99"/>
        <v>AW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str">
        <f t="shared" si="97"/>
        <v>AW</v>
      </c>
      <c r="N560" s="150">
        <f t="shared" si="98"/>
        <v>559</v>
      </c>
      <c r="O560" s="150" t="str">
        <f t="shared" si="99"/>
        <v>AW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str">
        <f t="shared" si="97"/>
        <v>AW</v>
      </c>
      <c r="N561" s="150">
        <f t="shared" si="98"/>
        <v>560</v>
      </c>
      <c r="O561" s="150" t="str">
        <f t="shared" si="99"/>
        <v>AW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str">
        <f t="shared" si="97"/>
        <v>AW</v>
      </c>
      <c r="N562" s="150">
        <f t="shared" si="98"/>
        <v>561</v>
      </c>
      <c r="O562" s="150" t="str">
        <f t="shared" si="99"/>
        <v>AW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str">
        <f t="shared" si="97"/>
        <v>AW</v>
      </c>
      <c r="N563" s="150">
        <f t="shared" si="98"/>
        <v>562</v>
      </c>
      <c r="O563" s="150" t="str">
        <f t="shared" si="99"/>
        <v>AW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str">
        <f t="shared" si="97"/>
        <v>AW</v>
      </c>
      <c r="N564" s="150">
        <f t="shared" si="98"/>
        <v>563</v>
      </c>
      <c r="O564" s="150" t="str">
        <f t="shared" si="99"/>
        <v>AW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str">
        <f t="shared" si="97"/>
        <v>AW</v>
      </c>
      <c r="N565" s="150">
        <f t="shared" si="98"/>
        <v>564</v>
      </c>
      <c r="O565" s="150" t="str">
        <f t="shared" si="99"/>
        <v>AW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str">
        <f t="shared" si="97"/>
        <v>AW</v>
      </c>
      <c r="N566" s="150">
        <f t="shared" si="98"/>
        <v>565</v>
      </c>
      <c r="O566" s="150" t="str">
        <f t="shared" si="99"/>
        <v>AW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str">
        <f t="shared" si="97"/>
        <v>AW</v>
      </c>
      <c r="N567" s="150">
        <f t="shared" si="98"/>
        <v>566</v>
      </c>
      <c r="O567" s="150" t="str">
        <f t="shared" si="99"/>
        <v>AW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str">
        <f t="shared" si="97"/>
        <v>AW</v>
      </c>
      <c r="N568" s="150">
        <f t="shared" si="98"/>
        <v>567</v>
      </c>
      <c r="O568" s="150" t="str">
        <f t="shared" si="99"/>
        <v>AW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str">
        <f t="shared" si="97"/>
        <v>AW</v>
      </c>
      <c r="N569" s="150">
        <f t="shared" si="98"/>
        <v>568</v>
      </c>
      <c r="O569" s="150" t="str">
        <f t="shared" si="99"/>
        <v>AW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str">
        <f t="shared" si="97"/>
        <v>AW</v>
      </c>
      <c r="N570" s="150">
        <f t="shared" si="98"/>
        <v>569</v>
      </c>
      <c r="O570" s="150" t="str">
        <f t="shared" si="99"/>
        <v>AW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str">
        <f t="shared" si="97"/>
        <v>AW</v>
      </c>
      <c r="N571" s="150">
        <f t="shared" si="98"/>
        <v>570</v>
      </c>
      <c r="O571" s="150" t="str">
        <f t="shared" si="99"/>
        <v>AW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str">
        <f t="shared" si="97"/>
        <v>AW</v>
      </c>
      <c r="N572" s="150">
        <f t="shared" si="98"/>
        <v>571</v>
      </c>
      <c r="O572" s="150" t="str">
        <f t="shared" si="99"/>
        <v>AW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str">
        <f t="shared" si="97"/>
        <v>AW</v>
      </c>
      <c r="N573" s="150">
        <f t="shared" si="98"/>
        <v>572</v>
      </c>
      <c r="O573" s="150" t="str">
        <f t="shared" si="99"/>
        <v>AW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str">
        <f t="shared" si="97"/>
        <v>AW</v>
      </c>
      <c r="N574" s="150">
        <f t="shared" si="98"/>
        <v>573</v>
      </c>
      <c r="O574" s="150" t="str">
        <f t="shared" si="99"/>
        <v>AW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str">
        <f t="shared" si="97"/>
        <v>AW</v>
      </c>
      <c r="N575" s="150">
        <f t="shared" si="98"/>
        <v>574</v>
      </c>
      <c r="O575" s="150" t="str">
        <f t="shared" si="99"/>
        <v>AW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str">
        <f t="shared" si="97"/>
        <v>AW</v>
      </c>
      <c r="N576" s="150">
        <f t="shared" si="98"/>
        <v>575</v>
      </c>
      <c r="O576" s="150" t="str">
        <f t="shared" si="99"/>
        <v>AW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str">
        <f t="shared" si="97"/>
        <v>AW</v>
      </c>
      <c r="N577" s="150">
        <f t="shared" si="98"/>
        <v>576</v>
      </c>
      <c r="O577" s="150" t="str">
        <f t="shared" si="99"/>
        <v>AW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str">
        <f t="shared" si="97"/>
        <v>AW</v>
      </c>
      <c r="N578" s="150">
        <f t="shared" si="98"/>
        <v>577</v>
      </c>
      <c r="O578" s="150" t="str">
        <f t="shared" si="99"/>
        <v>AW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str">
        <f t="shared" ref="M579:M642" si="109">IF(L579="","",IF(L579&lt;=$E$15,VLOOKUP($E$14,$I$1:$J$4,2,FALSE),VLOOKUP($F$14,$I$1:$J$4,2,FALSE)))</f>
        <v>AW</v>
      </c>
      <c r="N579" s="150">
        <f t="shared" ref="N579:N642" si="110">IF($B$20&gt;=K579,K579,"")</f>
        <v>578</v>
      </c>
      <c r="O579" s="150" t="str">
        <f t="shared" ref="O579:O642" si="111">IF(N579="","",IF(N579&lt;=$E$22,VLOOKUP($E$21,$I$1:$J$4,2,FALSE),VLOOKUP($F$21,$I$1:$J$4,2,FALSE)))</f>
        <v>AW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str">
        <f t="shared" si="109"/>
        <v>AW</v>
      </c>
      <c r="N580" s="150">
        <f t="shared" si="110"/>
        <v>579</v>
      </c>
      <c r="O580" s="150" t="str">
        <f t="shared" si="111"/>
        <v>AW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str">
        <f t="shared" si="109"/>
        <v>AW</v>
      </c>
      <c r="N581" s="150">
        <f t="shared" si="110"/>
        <v>580</v>
      </c>
      <c r="O581" s="150" t="str">
        <f t="shared" si="111"/>
        <v>AW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str">
        <f t="shared" si="109"/>
        <v>AW</v>
      </c>
      <c r="N582" s="150">
        <f t="shared" si="110"/>
        <v>581</v>
      </c>
      <c r="O582" s="150" t="str">
        <f t="shared" si="111"/>
        <v>AW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str">
        <f t="shared" si="109"/>
        <v>AW</v>
      </c>
      <c r="N583" s="150">
        <f t="shared" si="110"/>
        <v>582</v>
      </c>
      <c r="O583" s="150" t="str">
        <f t="shared" si="111"/>
        <v>AW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str">
        <f t="shared" si="109"/>
        <v>AW</v>
      </c>
      <c r="N584" s="150">
        <f t="shared" si="110"/>
        <v>583</v>
      </c>
      <c r="O584" s="150" t="str">
        <f t="shared" si="111"/>
        <v>AW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str">
        <f t="shared" si="109"/>
        <v>AW</v>
      </c>
      <c r="N585" s="150">
        <f t="shared" si="110"/>
        <v>584</v>
      </c>
      <c r="O585" s="150" t="str">
        <f t="shared" si="111"/>
        <v>AW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str">
        <f t="shared" si="109"/>
        <v>AW</v>
      </c>
      <c r="N586" s="150">
        <f t="shared" si="110"/>
        <v>585</v>
      </c>
      <c r="O586" s="150" t="str">
        <f t="shared" si="111"/>
        <v>AW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str">
        <f t="shared" si="109"/>
        <v>AW</v>
      </c>
      <c r="N587" s="150">
        <f t="shared" si="110"/>
        <v>586</v>
      </c>
      <c r="O587" s="150" t="str">
        <f t="shared" si="111"/>
        <v>AW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str">
        <f t="shared" si="109"/>
        <v>AW</v>
      </c>
      <c r="N588" s="150">
        <f t="shared" si="110"/>
        <v>587</v>
      </c>
      <c r="O588" s="150" t="str">
        <f t="shared" si="111"/>
        <v>AW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str">
        <f t="shared" si="109"/>
        <v>AW</v>
      </c>
      <c r="N589" s="150">
        <f t="shared" si="110"/>
        <v>588</v>
      </c>
      <c r="O589" s="150" t="str">
        <f t="shared" si="111"/>
        <v>AW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str">
        <f t="shared" si="109"/>
        <v>AW</v>
      </c>
      <c r="N590" s="150">
        <f t="shared" si="110"/>
        <v>589</v>
      </c>
      <c r="O590" s="150" t="str">
        <f t="shared" si="111"/>
        <v>AW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str">
        <f t="shared" si="109"/>
        <v>AW</v>
      </c>
      <c r="N591" s="150">
        <f t="shared" si="110"/>
        <v>590</v>
      </c>
      <c r="O591" s="150" t="str">
        <f t="shared" si="111"/>
        <v>AW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str">
        <f t="shared" si="109"/>
        <v>AW</v>
      </c>
      <c r="N592" s="150">
        <f t="shared" si="110"/>
        <v>591</v>
      </c>
      <c r="O592" s="150" t="str">
        <f t="shared" si="111"/>
        <v>AW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str">
        <f t="shared" si="109"/>
        <v>AW</v>
      </c>
      <c r="N593" s="150">
        <f t="shared" si="110"/>
        <v>592</v>
      </c>
      <c r="O593" s="150" t="str">
        <f t="shared" si="111"/>
        <v>AW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str">
        <f t="shared" si="109"/>
        <v>AW</v>
      </c>
      <c r="N594" s="150">
        <f t="shared" si="110"/>
        <v>593</v>
      </c>
      <c r="O594" s="150" t="str">
        <f t="shared" si="111"/>
        <v>AW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str">
        <f t="shared" si="109"/>
        <v>AW</v>
      </c>
      <c r="N595" s="150">
        <f t="shared" si="110"/>
        <v>594</v>
      </c>
      <c r="O595" s="150" t="str">
        <f t="shared" si="111"/>
        <v>AW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str">
        <f t="shared" si="109"/>
        <v>AW</v>
      </c>
      <c r="N596" s="150">
        <f t="shared" si="110"/>
        <v>595</v>
      </c>
      <c r="O596" s="150" t="str">
        <f t="shared" si="111"/>
        <v>AW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str">
        <f t="shared" si="109"/>
        <v>AW</v>
      </c>
      <c r="N597" s="150">
        <f t="shared" si="110"/>
        <v>596</v>
      </c>
      <c r="O597" s="150" t="str">
        <f t="shared" si="111"/>
        <v>AW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str">
        <f t="shared" si="109"/>
        <v>AW</v>
      </c>
      <c r="N598" s="150">
        <f t="shared" si="110"/>
        <v>597</v>
      </c>
      <c r="O598" s="150" t="str">
        <f t="shared" si="111"/>
        <v>AW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str">
        <f t="shared" si="109"/>
        <v>AW</v>
      </c>
      <c r="N599" s="150">
        <f t="shared" si="110"/>
        <v>598</v>
      </c>
      <c r="O599" s="150" t="str">
        <f t="shared" si="111"/>
        <v>AW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str">
        <f t="shared" si="109"/>
        <v>AW</v>
      </c>
      <c r="N600" s="150">
        <f t="shared" si="110"/>
        <v>599</v>
      </c>
      <c r="O600" s="150" t="str">
        <f t="shared" si="111"/>
        <v>AW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str">
        <f t="shared" si="109"/>
        <v>AW</v>
      </c>
      <c r="N601" s="150">
        <f t="shared" si="110"/>
        <v>600</v>
      </c>
      <c r="O601" s="150" t="str">
        <f t="shared" si="111"/>
        <v>AW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str">
        <f t="shared" si="109"/>
        <v>AW</v>
      </c>
      <c r="N602" s="150">
        <f t="shared" si="110"/>
        <v>601</v>
      </c>
      <c r="O602" s="150" t="str">
        <f t="shared" si="111"/>
        <v>AW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str">
        <f t="shared" si="109"/>
        <v>AW</v>
      </c>
      <c r="N603" s="150">
        <f t="shared" si="110"/>
        <v>602</v>
      </c>
      <c r="O603" s="150" t="str">
        <f t="shared" si="111"/>
        <v>AW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str">
        <f t="shared" si="109"/>
        <v>AW</v>
      </c>
      <c r="N604" s="150">
        <f t="shared" si="110"/>
        <v>603</v>
      </c>
      <c r="O604" s="150" t="str">
        <f t="shared" si="111"/>
        <v>AW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str">
        <f t="shared" si="109"/>
        <v>AW</v>
      </c>
      <c r="N605" s="150">
        <f t="shared" si="110"/>
        <v>604</v>
      </c>
      <c r="O605" s="150" t="str">
        <f t="shared" si="111"/>
        <v>AW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str">
        <f t="shared" si="109"/>
        <v>AW</v>
      </c>
      <c r="N606" s="150">
        <f t="shared" si="110"/>
        <v>605</v>
      </c>
      <c r="O606" s="150" t="str">
        <f t="shared" si="111"/>
        <v>AW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str">
        <f t="shared" si="109"/>
        <v>AW</v>
      </c>
      <c r="N607" s="150">
        <f t="shared" si="110"/>
        <v>606</v>
      </c>
      <c r="O607" s="150" t="str">
        <f t="shared" si="111"/>
        <v>AW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str">
        <f t="shared" si="109"/>
        <v>AW</v>
      </c>
      <c r="N608" s="150">
        <f t="shared" si="110"/>
        <v>607</v>
      </c>
      <c r="O608" s="150" t="str">
        <f t="shared" si="111"/>
        <v>AW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str">
        <f t="shared" si="109"/>
        <v>AW</v>
      </c>
      <c r="N609" s="150">
        <f t="shared" si="110"/>
        <v>608</v>
      </c>
      <c r="O609" s="150" t="str">
        <f t="shared" si="111"/>
        <v>AW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str">
        <f t="shared" si="109"/>
        <v>AW</v>
      </c>
      <c r="N610" s="150">
        <f t="shared" si="110"/>
        <v>609</v>
      </c>
      <c r="O610" s="150" t="str">
        <f t="shared" si="111"/>
        <v>AW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str">
        <f t="shared" si="109"/>
        <v>AW</v>
      </c>
      <c r="N611" s="150">
        <f t="shared" si="110"/>
        <v>610</v>
      </c>
      <c r="O611" s="150" t="str">
        <f t="shared" si="111"/>
        <v>AW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str">
        <f t="shared" si="109"/>
        <v>AW</v>
      </c>
      <c r="N612" s="150">
        <f t="shared" si="110"/>
        <v>611</v>
      </c>
      <c r="O612" s="150" t="str">
        <f t="shared" si="111"/>
        <v>AW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str">
        <f t="shared" si="109"/>
        <v>AW</v>
      </c>
      <c r="N613" s="150">
        <f t="shared" si="110"/>
        <v>612</v>
      </c>
      <c r="O613" s="150" t="str">
        <f t="shared" si="111"/>
        <v>AW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str">
        <f t="shared" si="109"/>
        <v>AW</v>
      </c>
      <c r="N614" s="150">
        <f t="shared" si="110"/>
        <v>613</v>
      </c>
      <c r="O614" s="150" t="str">
        <f t="shared" si="111"/>
        <v>AW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str">
        <f t="shared" si="109"/>
        <v>AW</v>
      </c>
      <c r="N615" s="150">
        <f t="shared" si="110"/>
        <v>614</v>
      </c>
      <c r="O615" s="150" t="str">
        <f t="shared" si="111"/>
        <v>AW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str">
        <f t="shared" si="109"/>
        <v>AW</v>
      </c>
      <c r="N616" s="150">
        <f t="shared" si="110"/>
        <v>615</v>
      </c>
      <c r="O616" s="150" t="str">
        <f t="shared" si="111"/>
        <v>AW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str">
        <f t="shared" si="109"/>
        <v>AW</v>
      </c>
      <c r="N617" s="150">
        <f t="shared" si="110"/>
        <v>616</v>
      </c>
      <c r="O617" s="150" t="str">
        <f t="shared" si="111"/>
        <v>AW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str">
        <f t="shared" si="109"/>
        <v>AW</v>
      </c>
      <c r="N618" s="150">
        <f t="shared" si="110"/>
        <v>617</v>
      </c>
      <c r="O618" s="150" t="str">
        <f t="shared" si="111"/>
        <v>AW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str">
        <f t="shared" si="109"/>
        <v>AW</v>
      </c>
      <c r="N619" s="150">
        <f t="shared" si="110"/>
        <v>618</v>
      </c>
      <c r="O619" s="150" t="str">
        <f t="shared" si="111"/>
        <v>AW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str">
        <f t="shared" si="109"/>
        <v>AW</v>
      </c>
      <c r="N620" s="150">
        <f t="shared" si="110"/>
        <v>619</v>
      </c>
      <c r="O620" s="150" t="str">
        <f t="shared" si="111"/>
        <v>AW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str">
        <f t="shared" si="109"/>
        <v>AW</v>
      </c>
      <c r="N621" s="150">
        <f t="shared" si="110"/>
        <v>620</v>
      </c>
      <c r="O621" s="150" t="str">
        <f t="shared" si="111"/>
        <v>AW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str">
        <f t="shared" si="109"/>
        <v>AW</v>
      </c>
      <c r="N622" s="150">
        <f t="shared" si="110"/>
        <v>621</v>
      </c>
      <c r="O622" s="150" t="str">
        <f t="shared" si="111"/>
        <v>AW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str">
        <f t="shared" si="109"/>
        <v>AW</v>
      </c>
      <c r="N623" s="150">
        <f t="shared" si="110"/>
        <v>622</v>
      </c>
      <c r="O623" s="150" t="str">
        <f t="shared" si="111"/>
        <v>AW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str">
        <f t="shared" si="109"/>
        <v>AW</v>
      </c>
      <c r="N624" s="150">
        <f t="shared" si="110"/>
        <v>623</v>
      </c>
      <c r="O624" s="150" t="str">
        <f t="shared" si="111"/>
        <v>AW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str">
        <f t="shared" si="109"/>
        <v>AW</v>
      </c>
      <c r="N625" s="150">
        <f t="shared" si="110"/>
        <v>624</v>
      </c>
      <c r="O625" s="150" t="str">
        <f t="shared" si="111"/>
        <v>AW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str">
        <f t="shared" si="109"/>
        <v>AW</v>
      </c>
      <c r="N626" s="150">
        <f t="shared" si="110"/>
        <v>625</v>
      </c>
      <c r="O626" s="150" t="str">
        <f t="shared" si="111"/>
        <v>AW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str">
        <f t="shared" si="109"/>
        <v>AW</v>
      </c>
      <c r="N627" s="150">
        <f t="shared" si="110"/>
        <v>626</v>
      </c>
      <c r="O627" s="150" t="str">
        <f t="shared" si="111"/>
        <v>AW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str">
        <f t="shared" si="109"/>
        <v>AW</v>
      </c>
      <c r="N628" s="150">
        <f t="shared" si="110"/>
        <v>627</v>
      </c>
      <c r="O628" s="150" t="str">
        <f t="shared" si="111"/>
        <v>AW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str">
        <f t="shared" si="109"/>
        <v>AW</v>
      </c>
      <c r="N629" s="150">
        <f t="shared" si="110"/>
        <v>628</v>
      </c>
      <c r="O629" s="150" t="str">
        <f t="shared" si="111"/>
        <v>AW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str">
        <f t="shared" si="109"/>
        <v>AW</v>
      </c>
      <c r="N630" s="150">
        <f t="shared" si="110"/>
        <v>629</v>
      </c>
      <c r="O630" s="150" t="str">
        <f t="shared" si="111"/>
        <v>AW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str">
        <f t="shared" si="109"/>
        <v>AW</v>
      </c>
      <c r="N631" s="150">
        <f t="shared" si="110"/>
        <v>630</v>
      </c>
      <c r="O631" s="150" t="str">
        <f t="shared" si="111"/>
        <v>AW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str">
        <f t="shared" si="109"/>
        <v>AW</v>
      </c>
      <c r="N632" s="150">
        <f t="shared" si="110"/>
        <v>631</v>
      </c>
      <c r="O632" s="150" t="str">
        <f t="shared" si="111"/>
        <v>AW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str">
        <f t="shared" si="109"/>
        <v>AW</v>
      </c>
      <c r="N633" s="150">
        <f t="shared" si="110"/>
        <v>632</v>
      </c>
      <c r="O633" s="150" t="str">
        <f t="shared" si="111"/>
        <v>AW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str">
        <f t="shared" si="109"/>
        <v>AW</v>
      </c>
      <c r="N634" s="150">
        <f t="shared" si="110"/>
        <v>633</v>
      </c>
      <c r="O634" s="150" t="str">
        <f t="shared" si="111"/>
        <v>AW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str">
        <f t="shared" si="109"/>
        <v>AW</v>
      </c>
      <c r="N635" s="150">
        <f t="shared" si="110"/>
        <v>634</v>
      </c>
      <c r="O635" s="150" t="str">
        <f t="shared" si="111"/>
        <v>AW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str">
        <f t="shared" si="109"/>
        <v>AW</v>
      </c>
      <c r="N636" s="150">
        <f t="shared" si="110"/>
        <v>635</v>
      </c>
      <c r="O636" s="150" t="str">
        <f t="shared" si="111"/>
        <v>AW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str">
        <f t="shared" si="109"/>
        <v>AW</v>
      </c>
      <c r="N637" s="150">
        <f t="shared" si="110"/>
        <v>636</v>
      </c>
      <c r="O637" s="150" t="str">
        <f t="shared" si="111"/>
        <v>AW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str">
        <f t="shared" si="109"/>
        <v>AW</v>
      </c>
      <c r="N638" s="150">
        <f t="shared" si="110"/>
        <v>637</v>
      </c>
      <c r="O638" s="150" t="str">
        <f t="shared" si="111"/>
        <v>AW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str">
        <f t="shared" si="109"/>
        <v>AW</v>
      </c>
      <c r="N639" s="150">
        <f t="shared" si="110"/>
        <v>638</v>
      </c>
      <c r="O639" s="150" t="str">
        <f t="shared" si="111"/>
        <v>AW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str">
        <f t="shared" si="109"/>
        <v>AW</v>
      </c>
      <c r="N640" s="150">
        <f t="shared" si="110"/>
        <v>639</v>
      </c>
      <c r="O640" s="150" t="str">
        <f t="shared" si="111"/>
        <v>AW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str">
        <f t="shared" si="109"/>
        <v>AW</v>
      </c>
      <c r="N641" s="150">
        <f t="shared" si="110"/>
        <v>640</v>
      </c>
      <c r="O641" s="150" t="str">
        <f t="shared" si="111"/>
        <v>AW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str">
        <f t="shared" si="109"/>
        <v>AW</v>
      </c>
      <c r="N642" s="150">
        <f t="shared" si="110"/>
        <v>641</v>
      </c>
      <c r="O642" s="150" t="str">
        <f t="shared" si="111"/>
        <v>AW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str">
        <f t="shared" ref="M643:M706" si="121">IF(L643="","",IF(L643&lt;=$E$15,VLOOKUP($E$14,$I$1:$J$4,2,FALSE),VLOOKUP($F$14,$I$1:$J$4,2,FALSE)))</f>
        <v>AW</v>
      </c>
      <c r="N643" s="150">
        <f t="shared" ref="N643:N706" si="122">IF($B$20&gt;=K643,K643,"")</f>
        <v>642</v>
      </c>
      <c r="O643" s="150" t="str">
        <f t="shared" ref="O643:O706" si="123">IF(N643="","",IF(N643&lt;=$E$22,VLOOKUP($E$21,$I$1:$J$4,2,FALSE),VLOOKUP($F$21,$I$1:$J$4,2,FALSE)))</f>
        <v>AW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str">
        <f t="shared" si="121"/>
        <v>AW</v>
      </c>
      <c r="N644" s="150">
        <f t="shared" si="122"/>
        <v>643</v>
      </c>
      <c r="O644" s="150" t="str">
        <f t="shared" si="123"/>
        <v>AW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str">
        <f t="shared" si="121"/>
        <v>AW</v>
      </c>
      <c r="N645" s="150">
        <f t="shared" si="122"/>
        <v>644</v>
      </c>
      <c r="O645" s="150" t="str">
        <f t="shared" si="123"/>
        <v>AW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str">
        <f t="shared" si="121"/>
        <v>AW</v>
      </c>
      <c r="N646" s="150">
        <f t="shared" si="122"/>
        <v>645</v>
      </c>
      <c r="O646" s="150" t="str">
        <f t="shared" si="123"/>
        <v>AW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str">
        <f t="shared" si="121"/>
        <v>AW</v>
      </c>
      <c r="N647" s="150">
        <f t="shared" si="122"/>
        <v>646</v>
      </c>
      <c r="O647" s="150" t="str">
        <f t="shared" si="123"/>
        <v>AW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str">
        <f t="shared" si="121"/>
        <v>AW</v>
      </c>
      <c r="N648" s="150">
        <f t="shared" si="122"/>
        <v>647</v>
      </c>
      <c r="O648" s="150" t="str">
        <f t="shared" si="123"/>
        <v>AW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str">
        <f t="shared" si="121"/>
        <v>AW</v>
      </c>
      <c r="N649" s="150">
        <f t="shared" si="122"/>
        <v>648</v>
      </c>
      <c r="O649" s="150" t="str">
        <f t="shared" si="123"/>
        <v>AW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str">
        <f t="shared" si="121"/>
        <v>AW</v>
      </c>
      <c r="N650" s="150">
        <f t="shared" si="122"/>
        <v>649</v>
      </c>
      <c r="O650" s="150" t="str">
        <f t="shared" si="123"/>
        <v>AW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str">
        <f t="shared" si="121"/>
        <v>AW</v>
      </c>
      <c r="N651" s="150">
        <f t="shared" si="122"/>
        <v>650</v>
      </c>
      <c r="O651" s="150" t="str">
        <f t="shared" si="123"/>
        <v>AW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str">
        <f t="shared" si="121"/>
        <v>AW</v>
      </c>
      <c r="N652" s="150">
        <f t="shared" si="122"/>
        <v>651</v>
      </c>
      <c r="O652" s="150" t="str">
        <f t="shared" si="123"/>
        <v>AW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str">
        <f t="shared" si="121"/>
        <v>AW</v>
      </c>
      <c r="N653" s="150">
        <f t="shared" si="122"/>
        <v>652</v>
      </c>
      <c r="O653" s="150" t="str">
        <f t="shared" si="123"/>
        <v>AW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str">
        <f t="shared" si="121"/>
        <v>AW</v>
      </c>
      <c r="N654" s="150">
        <f t="shared" si="122"/>
        <v>653</v>
      </c>
      <c r="O654" s="150" t="str">
        <f t="shared" si="123"/>
        <v>AW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str">
        <f t="shared" si="121"/>
        <v>AW</v>
      </c>
      <c r="N655" s="150">
        <f t="shared" si="122"/>
        <v>654</v>
      </c>
      <c r="O655" s="150" t="str">
        <f t="shared" si="123"/>
        <v>AW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str">
        <f t="shared" si="121"/>
        <v>AW</v>
      </c>
      <c r="N656" s="150">
        <f t="shared" si="122"/>
        <v>655</v>
      </c>
      <c r="O656" s="150" t="str">
        <f t="shared" si="123"/>
        <v>AW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str">
        <f t="shared" si="121"/>
        <v>AW</v>
      </c>
      <c r="N657" s="150">
        <f t="shared" si="122"/>
        <v>656</v>
      </c>
      <c r="O657" s="150" t="str">
        <f t="shared" si="123"/>
        <v>AW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str">
        <f t="shared" si="121"/>
        <v>AW</v>
      </c>
      <c r="N658" s="150">
        <f t="shared" si="122"/>
        <v>657</v>
      </c>
      <c r="O658" s="150" t="str">
        <f t="shared" si="123"/>
        <v>AW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str">
        <f t="shared" si="121"/>
        <v>AW</v>
      </c>
      <c r="N659" s="150">
        <f t="shared" si="122"/>
        <v>658</v>
      </c>
      <c r="O659" s="150" t="str">
        <f t="shared" si="123"/>
        <v>AW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str">
        <f t="shared" si="121"/>
        <v>AW</v>
      </c>
      <c r="N660" s="150">
        <f t="shared" si="122"/>
        <v>659</v>
      </c>
      <c r="O660" s="150" t="str">
        <f t="shared" si="123"/>
        <v>AW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str">
        <f t="shared" si="121"/>
        <v>AW</v>
      </c>
      <c r="N661" s="150">
        <f t="shared" si="122"/>
        <v>660</v>
      </c>
      <c r="O661" s="150" t="str">
        <f t="shared" si="123"/>
        <v>AW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str">
        <f t="shared" si="121"/>
        <v>AW</v>
      </c>
      <c r="N662" s="150">
        <f t="shared" si="122"/>
        <v>661</v>
      </c>
      <c r="O662" s="150" t="str">
        <f t="shared" si="123"/>
        <v>AW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str">
        <f t="shared" si="121"/>
        <v>AW</v>
      </c>
      <c r="N663" s="150">
        <f t="shared" si="122"/>
        <v>662</v>
      </c>
      <c r="O663" s="150" t="str">
        <f t="shared" si="123"/>
        <v>AW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str">
        <f t="shared" si="121"/>
        <v>AW</v>
      </c>
      <c r="N664" s="150">
        <f t="shared" si="122"/>
        <v>663</v>
      </c>
      <c r="O664" s="150" t="str">
        <f t="shared" si="123"/>
        <v>AW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str">
        <f t="shared" si="121"/>
        <v>AW</v>
      </c>
      <c r="N665" s="150">
        <f t="shared" si="122"/>
        <v>664</v>
      </c>
      <c r="O665" s="150" t="str">
        <f t="shared" si="123"/>
        <v>AW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str">
        <f t="shared" si="121"/>
        <v>AW</v>
      </c>
      <c r="N666" s="150">
        <f t="shared" si="122"/>
        <v>665</v>
      </c>
      <c r="O666" s="150" t="str">
        <f t="shared" si="123"/>
        <v>AW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str">
        <f t="shared" si="121"/>
        <v>AW</v>
      </c>
      <c r="N667" s="150">
        <f t="shared" si="122"/>
        <v>666</v>
      </c>
      <c r="O667" s="150" t="str">
        <f t="shared" si="123"/>
        <v>AW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str">
        <f t="shared" si="121"/>
        <v>AW</v>
      </c>
      <c r="N668" s="150">
        <f t="shared" si="122"/>
        <v>667</v>
      </c>
      <c r="O668" s="150" t="str">
        <f t="shared" si="123"/>
        <v>AW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str">
        <f t="shared" si="121"/>
        <v>AW</v>
      </c>
      <c r="N669" s="150">
        <f t="shared" si="122"/>
        <v>668</v>
      </c>
      <c r="O669" s="150" t="str">
        <f t="shared" si="123"/>
        <v>AW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str">
        <f t="shared" si="121"/>
        <v>AW</v>
      </c>
      <c r="N670" s="150">
        <f t="shared" si="122"/>
        <v>669</v>
      </c>
      <c r="O670" s="150" t="str">
        <f t="shared" si="123"/>
        <v>AW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str">
        <f t="shared" si="121"/>
        <v>AW</v>
      </c>
      <c r="N671" s="150">
        <f t="shared" si="122"/>
        <v>670</v>
      </c>
      <c r="O671" s="150" t="str">
        <f t="shared" si="123"/>
        <v>AW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str">
        <f t="shared" si="121"/>
        <v>AW</v>
      </c>
      <c r="N672" s="150">
        <f t="shared" si="122"/>
        <v>671</v>
      </c>
      <c r="O672" s="150" t="str">
        <f t="shared" si="123"/>
        <v>AW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str">
        <f t="shared" si="121"/>
        <v>AW</v>
      </c>
      <c r="N673" s="150">
        <f t="shared" si="122"/>
        <v>672</v>
      </c>
      <c r="O673" s="150" t="str">
        <f t="shared" si="123"/>
        <v>AW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str">
        <f t="shared" si="121"/>
        <v>AW</v>
      </c>
      <c r="N674" s="150">
        <f t="shared" si="122"/>
        <v>673</v>
      </c>
      <c r="O674" s="150" t="str">
        <f t="shared" si="123"/>
        <v>AW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str">
        <f t="shared" si="121"/>
        <v>AW</v>
      </c>
      <c r="N675" s="150">
        <f t="shared" si="122"/>
        <v>674</v>
      </c>
      <c r="O675" s="150" t="str">
        <f t="shared" si="123"/>
        <v>AW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str">
        <f t="shared" si="121"/>
        <v>AW</v>
      </c>
      <c r="N676" s="150">
        <f t="shared" si="122"/>
        <v>675</v>
      </c>
      <c r="O676" s="150" t="str">
        <f t="shared" si="123"/>
        <v>AW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str">
        <f t="shared" si="121"/>
        <v>AW</v>
      </c>
      <c r="N677" s="150">
        <f t="shared" si="122"/>
        <v>676</v>
      </c>
      <c r="O677" s="150" t="str">
        <f t="shared" si="123"/>
        <v>AW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str">
        <f t="shared" si="121"/>
        <v>AW</v>
      </c>
      <c r="N678" s="150">
        <f t="shared" si="122"/>
        <v>677</v>
      </c>
      <c r="O678" s="150" t="str">
        <f t="shared" si="123"/>
        <v>AW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str">
        <f t="shared" si="121"/>
        <v>AW</v>
      </c>
      <c r="N679" s="150">
        <f t="shared" si="122"/>
        <v>678</v>
      </c>
      <c r="O679" s="150" t="str">
        <f t="shared" si="123"/>
        <v>AW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str">
        <f t="shared" si="121"/>
        <v>AW</v>
      </c>
      <c r="N680" s="150">
        <f t="shared" si="122"/>
        <v>679</v>
      </c>
      <c r="O680" s="150" t="str">
        <f t="shared" si="123"/>
        <v>AW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str">
        <f t="shared" si="121"/>
        <v>AW</v>
      </c>
      <c r="N681" s="150">
        <f t="shared" si="122"/>
        <v>680</v>
      </c>
      <c r="O681" s="150" t="str">
        <f t="shared" si="123"/>
        <v>AW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str">
        <f t="shared" si="121"/>
        <v>AW</v>
      </c>
      <c r="N682" s="150">
        <f t="shared" si="122"/>
        <v>681</v>
      </c>
      <c r="O682" s="150" t="str">
        <f t="shared" si="123"/>
        <v>AW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str">
        <f t="shared" si="121"/>
        <v>AW</v>
      </c>
      <c r="N683" s="150">
        <f t="shared" si="122"/>
        <v>682</v>
      </c>
      <c r="O683" s="150" t="str">
        <f t="shared" si="123"/>
        <v>AW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str">
        <f t="shared" si="121"/>
        <v>AW</v>
      </c>
      <c r="N684" s="150">
        <f t="shared" si="122"/>
        <v>683</v>
      </c>
      <c r="O684" s="150" t="str">
        <f t="shared" si="123"/>
        <v>AW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str">
        <f t="shared" si="121"/>
        <v>AW</v>
      </c>
      <c r="N685" s="150">
        <f t="shared" si="122"/>
        <v>684</v>
      </c>
      <c r="O685" s="150" t="str">
        <f t="shared" si="123"/>
        <v>AW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str">
        <f t="shared" si="121"/>
        <v>AW</v>
      </c>
      <c r="N686" s="150">
        <f t="shared" si="122"/>
        <v>685</v>
      </c>
      <c r="O686" s="150" t="str">
        <f t="shared" si="123"/>
        <v>AW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str">
        <f t="shared" si="121"/>
        <v>AW</v>
      </c>
      <c r="N687" s="150">
        <f t="shared" si="122"/>
        <v>686</v>
      </c>
      <c r="O687" s="150" t="str">
        <f t="shared" si="123"/>
        <v>AW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str">
        <f t="shared" si="121"/>
        <v>AW</v>
      </c>
      <c r="N688" s="150">
        <f t="shared" si="122"/>
        <v>687</v>
      </c>
      <c r="O688" s="150" t="str">
        <f t="shared" si="123"/>
        <v>AW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str">
        <f t="shared" si="121"/>
        <v>AW</v>
      </c>
      <c r="N689" s="150">
        <f t="shared" si="122"/>
        <v>688</v>
      </c>
      <c r="O689" s="150" t="str">
        <f t="shared" si="123"/>
        <v>AW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str">
        <f t="shared" si="121"/>
        <v>AW</v>
      </c>
      <c r="N690" s="150">
        <f t="shared" si="122"/>
        <v>689</v>
      </c>
      <c r="O690" s="150" t="str">
        <f t="shared" si="123"/>
        <v>AW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str">
        <f t="shared" si="121"/>
        <v>AW</v>
      </c>
      <c r="N691" s="150">
        <f t="shared" si="122"/>
        <v>690</v>
      </c>
      <c r="O691" s="150" t="str">
        <f t="shared" si="123"/>
        <v>AW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str">
        <f t="shared" si="121"/>
        <v>AW</v>
      </c>
      <c r="N692" s="150">
        <f t="shared" si="122"/>
        <v>691</v>
      </c>
      <c r="O692" s="150" t="str">
        <f t="shared" si="123"/>
        <v>AW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str">
        <f t="shared" si="121"/>
        <v>AW</v>
      </c>
      <c r="N693" s="150">
        <f t="shared" si="122"/>
        <v>692</v>
      </c>
      <c r="O693" s="150" t="str">
        <f t="shared" si="123"/>
        <v>AW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str">
        <f t="shared" si="121"/>
        <v>AW</v>
      </c>
      <c r="N694" s="150">
        <f t="shared" si="122"/>
        <v>693</v>
      </c>
      <c r="O694" s="150" t="str">
        <f t="shared" si="123"/>
        <v>AW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str">
        <f t="shared" si="121"/>
        <v>AW</v>
      </c>
      <c r="N695" s="150">
        <f t="shared" si="122"/>
        <v>694</v>
      </c>
      <c r="O695" s="150" t="str">
        <f t="shared" si="123"/>
        <v>AW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str">
        <f t="shared" si="121"/>
        <v>AW</v>
      </c>
      <c r="N696" s="150">
        <f t="shared" si="122"/>
        <v>695</v>
      </c>
      <c r="O696" s="150" t="str">
        <f t="shared" si="123"/>
        <v>AW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str">
        <f t="shared" si="121"/>
        <v>AW</v>
      </c>
      <c r="N697" s="150">
        <f t="shared" si="122"/>
        <v>696</v>
      </c>
      <c r="O697" s="150" t="str">
        <f t="shared" si="123"/>
        <v>AW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str">
        <f t="shared" si="121"/>
        <v>AW</v>
      </c>
      <c r="N698" s="150">
        <f t="shared" si="122"/>
        <v>697</v>
      </c>
      <c r="O698" s="150" t="str">
        <f t="shared" si="123"/>
        <v>AW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str">
        <f t="shared" si="121"/>
        <v>AW</v>
      </c>
      <c r="N699" s="150">
        <f t="shared" si="122"/>
        <v>698</v>
      </c>
      <c r="O699" s="150" t="str">
        <f t="shared" si="123"/>
        <v>AW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str">
        <f t="shared" si="121"/>
        <v>AW</v>
      </c>
      <c r="N700" s="150">
        <f t="shared" si="122"/>
        <v>699</v>
      </c>
      <c r="O700" s="150" t="str">
        <f t="shared" si="123"/>
        <v>AW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str">
        <f t="shared" si="121"/>
        <v>AW</v>
      </c>
      <c r="N701" s="150">
        <f t="shared" si="122"/>
        <v>700</v>
      </c>
      <c r="O701" s="150" t="str">
        <f t="shared" si="123"/>
        <v>AW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str">
        <f t="shared" si="121"/>
        <v>AW</v>
      </c>
      <c r="N702" s="150">
        <f t="shared" si="122"/>
        <v>701</v>
      </c>
      <c r="O702" s="150" t="str">
        <f t="shared" si="123"/>
        <v>AW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str">
        <f t="shared" si="121"/>
        <v>AW</v>
      </c>
      <c r="N703" s="150">
        <f t="shared" si="122"/>
        <v>702</v>
      </c>
      <c r="O703" s="150" t="str">
        <f t="shared" si="123"/>
        <v>AW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str">
        <f t="shared" si="121"/>
        <v>AW</v>
      </c>
      <c r="N704" s="150">
        <f t="shared" si="122"/>
        <v>703</v>
      </c>
      <c r="O704" s="150" t="str">
        <f t="shared" si="123"/>
        <v>AW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str">
        <f t="shared" si="121"/>
        <v>AW</v>
      </c>
      <c r="N705" s="150">
        <f t="shared" si="122"/>
        <v>704</v>
      </c>
      <c r="O705" s="150" t="str">
        <f t="shared" si="123"/>
        <v>AW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str">
        <f t="shared" si="121"/>
        <v>AW</v>
      </c>
      <c r="N706" s="150">
        <f t="shared" si="122"/>
        <v>705</v>
      </c>
      <c r="O706" s="150" t="str">
        <f t="shared" si="123"/>
        <v>AW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str">
        <f t="shared" ref="M707:M770" si="133">IF(L707="","",IF(L707&lt;=$E$15,VLOOKUP($E$14,$I$1:$J$4,2,FALSE),VLOOKUP($F$14,$I$1:$J$4,2,FALSE)))</f>
        <v>AW</v>
      </c>
      <c r="N707" s="150">
        <f t="shared" ref="N707:N770" si="134">IF($B$20&gt;=K707,K707,"")</f>
        <v>706</v>
      </c>
      <c r="O707" s="150" t="str">
        <f t="shared" ref="O707:O770" si="135">IF(N707="","",IF(N707&lt;=$E$22,VLOOKUP($E$21,$I$1:$J$4,2,FALSE),VLOOKUP($F$21,$I$1:$J$4,2,FALSE)))</f>
        <v>AW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str">
        <f t="shared" si="133"/>
        <v>AW</v>
      </c>
      <c r="N708" s="150">
        <f t="shared" si="134"/>
        <v>707</v>
      </c>
      <c r="O708" s="150" t="str">
        <f t="shared" si="135"/>
        <v>AW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str">
        <f t="shared" si="133"/>
        <v>AW</v>
      </c>
      <c r="N709" s="150">
        <f t="shared" si="134"/>
        <v>708</v>
      </c>
      <c r="O709" s="150" t="str">
        <f t="shared" si="135"/>
        <v>AW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str">
        <f t="shared" si="133"/>
        <v>AW</v>
      </c>
      <c r="N710" s="150">
        <f t="shared" si="134"/>
        <v>709</v>
      </c>
      <c r="O710" s="150" t="str">
        <f t="shared" si="135"/>
        <v>AW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str">
        <f t="shared" si="133"/>
        <v>AW</v>
      </c>
      <c r="N711" s="150">
        <f t="shared" si="134"/>
        <v>710</v>
      </c>
      <c r="O711" s="150" t="str">
        <f t="shared" si="135"/>
        <v>AW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str">
        <f t="shared" si="133"/>
        <v>AW</v>
      </c>
      <c r="N712" s="150">
        <f t="shared" si="134"/>
        <v>711</v>
      </c>
      <c r="O712" s="150" t="str">
        <f t="shared" si="135"/>
        <v>AW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str">
        <f t="shared" si="133"/>
        <v>AW</v>
      </c>
      <c r="N713" s="150">
        <f t="shared" si="134"/>
        <v>712</v>
      </c>
      <c r="O713" s="150" t="str">
        <f t="shared" si="135"/>
        <v>AW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str">
        <f t="shared" si="133"/>
        <v>AW</v>
      </c>
      <c r="N714" s="150">
        <f t="shared" si="134"/>
        <v>713</v>
      </c>
      <c r="O714" s="150" t="str">
        <f t="shared" si="135"/>
        <v>AW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str">
        <f t="shared" si="133"/>
        <v>AW</v>
      </c>
      <c r="N715" s="150">
        <f t="shared" si="134"/>
        <v>714</v>
      </c>
      <c r="O715" s="150" t="str">
        <f t="shared" si="135"/>
        <v>AW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str">
        <f t="shared" si="133"/>
        <v>AW</v>
      </c>
      <c r="N716" s="150">
        <f t="shared" si="134"/>
        <v>715</v>
      </c>
      <c r="O716" s="150" t="str">
        <f t="shared" si="135"/>
        <v>AW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str">
        <f t="shared" si="133"/>
        <v>AW</v>
      </c>
      <c r="N717" s="150">
        <f t="shared" si="134"/>
        <v>716</v>
      </c>
      <c r="O717" s="150" t="str">
        <f t="shared" si="135"/>
        <v>AW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str">
        <f t="shared" si="133"/>
        <v>AW</v>
      </c>
      <c r="N718" s="150">
        <f t="shared" si="134"/>
        <v>717</v>
      </c>
      <c r="O718" s="150" t="str">
        <f t="shared" si="135"/>
        <v>AW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str">
        <f t="shared" si="133"/>
        <v>AW</v>
      </c>
      <c r="N719" s="150">
        <f t="shared" si="134"/>
        <v>718</v>
      </c>
      <c r="O719" s="150" t="str">
        <f t="shared" si="135"/>
        <v>AW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str">
        <f t="shared" si="133"/>
        <v>AW</v>
      </c>
      <c r="N720" s="150">
        <f t="shared" si="134"/>
        <v>719</v>
      </c>
      <c r="O720" s="150" t="str">
        <f t="shared" si="135"/>
        <v>AW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str">
        <f t="shared" si="133"/>
        <v>AW</v>
      </c>
      <c r="N721" s="150">
        <f t="shared" si="134"/>
        <v>720</v>
      </c>
      <c r="O721" s="150" t="str">
        <f t="shared" si="135"/>
        <v>AW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str">
        <f t="shared" si="133"/>
        <v>AW</v>
      </c>
      <c r="N722" s="150">
        <f t="shared" si="134"/>
        <v>721</v>
      </c>
      <c r="O722" s="150" t="str">
        <f t="shared" si="135"/>
        <v>AW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str">
        <f t="shared" si="133"/>
        <v>AW</v>
      </c>
      <c r="N723" s="150">
        <f t="shared" si="134"/>
        <v>722</v>
      </c>
      <c r="O723" s="150" t="str">
        <f t="shared" si="135"/>
        <v>AW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str">
        <f t="shared" si="133"/>
        <v>AW</v>
      </c>
      <c r="N724" s="150">
        <f t="shared" si="134"/>
        <v>723</v>
      </c>
      <c r="O724" s="150" t="str">
        <f t="shared" si="135"/>
        <v>AW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str">
        <f t="shared" si="133"/>
        <v>AW</v>
      </c>
      <c r="N725" s="150">
        <f t="shared" si="134"/>
        <v>724</v>
      </c>
      <c r="O725" s="150" t="str">
        <f t="shared" si="135"/>
        <v>AW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str">
        <f t="shared" si="133"/>
        <v>AW</v>
      </c>
      <c r="N726" s="150">
        <f t="shared" si="134"/>
        <v>725</v>
      </c>
      <c r="O726" s="150" t="str">
        <f t="shared" si="135"/>
        <v>AW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str">
        <f t="shared" si="133"/>
        <v>AW</v>
      </c>
      <c r="N727" s="150">
        <f t="shared" si="134"/>
        <v>726</v>
      </c>
      <c r="O727" s="150" t="str">
        <f t="shared" si="135"/>
        <v>AW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str">
        <f t="shared" si="133"/>
        <v>AW</v>
      </c>
      <c r="N728" s="150">
        <f t="shared" si="134"/>
        <v>727</v>
      </c>
      <c r="O728" s="150" t="str">
        <f t="shared" si="135"/>
        <v>AW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str">
        <f t="shared" si="133"/>
        <v>AW</v>
      </c>
      <c r="N729" s="150">
        <f t="shared" si="134"/>
        <v>728</v>
      </c>
      <c r="O729" s="150" t="str">
        <f t="shared" si="135"/>
        <v>AW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str">
        <f t="shared" si="133"/>
        <v>AW</v>
      </c>
      <c r="N730" s="150">
        <f t="shared" si="134"/>
        <v>729</v>
      </c>
      <c r="O730" s="150" t="str">
        <f t="shared" si="135"/>
        <v>AW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str">
        <f t="shared" si="133"/>
        <v>AW</v>
      </c>
      <c r="N731" s="150">
        <f t="shared" si="134"/>
        <v>730</v>
      </c>
      <c r="O731" s="150" t="str">
        <f t="shared" si="135"/>
        <v>AW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str">
        <f t="shared" si="133"/>
        <v>AW</v>
      </c>
      <c r="N732" s="150">
        <f t="shared" si="134"/>
        <v>731</v>
      </c>
      <c r="O732" s="150" t="str">
        <f t="shared" si="135"/>
        <v>AW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str">
        <f t="shared" si="133"/>
        <v>AW</v>
      </c>
      <c r="N733" s="150">
        <f t="shared" si="134"/>
        <v>732</v>
      </c>
      <c r="O733" s="150" t="str">
        <f t="shared" si="135"/>
        <v>AW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str">
        <f t="shared" si="133"/>
        <v>AW</v>
      </c>
      <c r="N734" s="150">
        <f t="shared" si="134"/>
        <v>733</v>
      </c>
      <c r="O734" s="150" t="str">
        <f t="shared" si="135"/>
        <v>AW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str">
        <f t="shared" si="133"/>
        <v>AW</v>
      </c>
      <c r="N735" s="150">
        <f t="shared" si="134"/>
        <v>734</v>
      </c>
      <c r="O735" s="150" t="str">
        <f t="shared" si="135"/>
        <v>AW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str">
        <f t="shared" si="133"/>
        <v>AW</v>
      </c>
      <c r="N736" s="150">
        <f t="shared" si="134"/>
        <v>735</v>
      </c>
      <c r="O736" s="150" t="str">
        <f t="shared" si="135"/>
        <v>AW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str">
        <f t="shared" si="133"/>
        <v>AW</v>
      </c>
      <c r="N737" s="150">
        <f t="shared" si="134"/>
        <v>736</v>
      </c>
      <c r="O737" s="150" t="str">
        <f t="shared" si="135"/>
        <v>AW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str">
        <f t="shared" si="133"/>
        <v>AW</v>
      </c>
      <c r="N738" s="150">
        <f t="shared" si="134"/>
        <v>737</v>
      </c>
      <c r="O738" s="150" t="str">
        <f t="shared" si="135"/>
        <v>AW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str">
        <f t="shared" si="133"/>
        <v>AW</v>
      </c>
      <c r="N739" s="150">
        <f t="shared" si="134"/>
        <v>738</v>
      </c>
      <c r="O739" s="150" t="str">
        <f t="shared" si="135"/>
        <v>AW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str">
        <f t="shared" si="133"/>
        <v>AW</v>
      </c>
      <c r="N740" s="150">
        <f t="shared" si="134"/>
        <v>739</v>
      </c>
      <c r="O740" s="150" t="str">
        <f t="shared" si="135"/>
        <v>AW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str">
        <f t="shared" si="133"/>
        <v>AW</v>
      </c>
      <c r="N741" s="150">
        <f t="shared" si="134"/>
        <v>740</v>
      </c>
      <c r="O741" s="150" t="str">
        <f t="shared" si="135"/>
        <v>AW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str">
        <f t="shared" si="133"/>
        <v>AW</v>
      </c>
      <c r="N742" s="150">
        <f t="shared" si="134"/>
        <v>741</v>
      </c>
      <c r="O742" s="150" t="str">
        <f t="shared" si="135"/>
        <v>AW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str">
        <f t="shared" si="133"/>
        <v>AW</v>
      </c>
      <c r="N743" s="150">
        <f t="shared" si="134"/>
        <v>742</v>
      </c>
      <c r="O743" s="150" t="str">
        <f t="shared" si="135"/>
        <v>AW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str">
        <f t="shared" si="133"/>
        <v>AW</v>
      </c>
      <c r="N744" s="150">
        <f t="shared" si="134"/>
        <v>743</v>
      </c>
      <c r="O744" s="150" t="str">
        <f t="shared" si="135"/>
        <v>AW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str">
        <f t="shared" si="133"/>
        <v>AW</v>
      </c>
      <c r="N745" s="150">
        <f t="shared" si="134"/>
        <v>744</v>
      </c>
      <c r="O745" s="150" t="str">
        <f t="shared" si="135"/>
        <v>AW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str">
        <f t="shared" si="133"/>
        <v>AW</v>
      </c>
      <c r="N746" s="150">
        <f t="shared" si="134"/>
        <v>745</v>
      </c>
      <c r="O746" s="150" t="str">
        <f t="shared" si="135"/>
        <v>AW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str">
        <f t="shared" si="133"/>
        <v>AW</v>
      </c>
      <c r="N747" s="150">
        <f t="shared" si="134"/>
        <v>746</v>
      </c>
      <c r="O747" s="150" t="str">
        <f t="shared" si="135"/>
        <v>AW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str">
        <f t="shared" si="133"/>
        <v>AW</v>
      </c>
      <c r="N748" s="150">
        <f t="shared" si="134"/>
        <v>747</v>
      </c>
      <c r="O748" s="150" t="str">
        <f t="shared" si="135"/>
        <v>AW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str">
        <f t="shared" si="133"/>
        <v>AW</v>
      </c>
      <c r="N749" s="150">
        <f t="shared" si="134"/>
        <v>748</v>
      </c>
      <c r="O749" s="150" t="str">
        <f t="shared" si="135"/>
        <v>AW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str">
        <f t="shared" si="133"/>
        <v>AW</v>
      </c>
      <c r="N750" s="150">
        <f t="shared" si="134"/>
        <v>749</v>
      </c>
      <c r="O750" s="150" t="str">
        <f t="shared" si="135"/>
        <v>AW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str">
        <f t="shared" si="133"/>
        <v>AW</v>
      </c>
      <c r="N751" s="150">
        <f t="shared" si="134"/>
        <v>750</v>
      </c>
      <c r="O751" s="150" t="str">
        <f t="shared" si="135"/>
        <v>AW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str">
        <f t="shared" si="133"/>
        <v>AW</v>
      </c>
      <c r="N752" s="150">
        <f t="shared" si="134"/>
        <v>751</v>
      </c>
      <c r="O752" s="150" t="str">
        <f t="shared" si="135"/>
        <v>AW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str">
        <f t="shared" si="133"/>
        <v>AW</v>
      </c>
      <c r="N753" s="150">
        <f t="shared" si="134"/>
        <v>752</v>
      </c>
      <c r="O753" s="150" t="str">
        <f t="shared" si="135"/>
        <v>AW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str">
        <f t="shared" si="133"/>
        <v>AW</v>
      </c>
      <c r="N754" s="150">
        <f t="shared" si="134"/>
        <v>753</v>
      </c>
      <c r="O754" s="150" t="str">
        <f t="shared" si="135"/>
        <v>AW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str">
        <f t="shared" si="133"/>
        <v>AW</v>
      </c>
      <c r="N755" s="150">
        <f t="shared" si="134"/>
        <v>754</v>
      </c>
      <c r="O755" s="150" t="str">
        <f t="shared" si="135"/>
        <v>AW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str">
        <f t="shared" si="133"/>
        <v>AW</v>
      </c>
      <c r="N756" s="150">
        <f t="shared" si="134"/>
        <v>755</v>
      </c>
      <c r="O756" s="150" t="str">
        <f t="shared" si="135"/>
        <v>AW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str">
        <f t="shared" si="133"/>
        <v>AW</v>
      </c>
      <c r="N757" s="150">
        <f t="shared" si="134"/>
        <v>756</v>
      </c>
      <c r="O757" s="150" t="str">
        <f t="shared" si="135"/>
        <v>AW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str">
        <f t="shared" si="133"/>
        <v>AW</v>
      </c>
      <c r="N758" s="150">
        <f t="shared" si="134"/>
        <v>757</v>
      </c>
      <c r="O758" s="150" t="str">
        <f t="shared" si="135"/>
        <v>AW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str">
        <f t="shared" si="133"/>
        <v>AW</v>
      </c>
      <c r="N759" s="150">
        <f t="shared" si="134"/>
        <v>758</v>
      </c>
      <c r="O759" s="150" t="str">
        <f t="shared" si="135"/>
        <v>AW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str">
        <f t="shared" si="133"/>
        <v>AW</v>
      </c>
      <c r="N760" s="150">
        <f t="shared" si="134"/>
        <v>759</v>
      </c>
      <c r="O760" s="150" t="str">
        <f t="shared" si="135"/>
        <v>AW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str">
        <f t="shared" si="133"/>
        <v>AW</v>
      </c>
      <c r="N761" s="150">
        <f t="shared" si="134"/>
        <v>760</v>
      </c>
      <c r="O761" s="150" t="str">
        <f t="shared" si="135"/>
        <v>AW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str">
        <f t="shared" si="133"/>
        <v>AW</v>
      </c>
      <c r="N762" s="150">
        <f t="shared" si="134"/>
        <v>761</v>
      </c>
      <c r="O762" s="150" t="str">
        <f t="shared" si="135"/>
        <v>AW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str">
        <f t="shared" si="133"/>
        <v>AW</v>
      </c>
      <c r="N763" s="150">
        <f t="shared" si="134"/>
        <v>762</v>
      </c>
      <c r="O763" s="150" t="str">
        <f t="shared" si="135"/>
        <v>AW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str">
        <f t="shared" si="133"/>
        <v>AW</v>
      </c>
      <c r="N764" s="150">
        <f t="shared" si="134"/>
        <v>763</v>
      </c>
      <c r="O764" s="150" t="str">
        <f t="shared" si="135"/>
        <v>AW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str">
        <f t="shared" si="133"/>
        <v>AW</v>
      </c>
      <c r="N765" s="150">
        <f t="shared" si="134"/>
        <v>764</v>
      </c>
      <c r="O765" s="150" t="str">
        <f t="shared" si="135"/>
        <v>AW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str">
        <f t="shared" si="133"/>
        <v>AW</v>
      </c>
      <c r="N766" s="150">
        <f t="shared" si="134"/>
        <v>765</v>
      </c>
      <c r="O766" s="150" t="str">
        <f t="shared" si="135"/>
        <v>AW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str">
        <f t="shared" si="133"/>
        <v>AW</v>
      </c>
      <c r="N767" s="150">
        <f t="shared" si="134"/>
        <v>766</v>
      </c>
      <c r="O767" s="150" t="str">
        <f t="shared" si="135"/>
        <v>AW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str">
        <f t="shared" si="133"/>
        <v>AW</v>
      </c>
      <c r="N768" s="150">
        <f t="shared" si="134"/>
        <v>767</v>
      </c>
      <c r="O768" s="150" t="str">
        <f t="shared" si="135"/>
        <v>AW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str">
        <f t="shared" si="133"/>
        <v>AW</v>
      </c>
      <c r="N769" s="150">
        <f t="shared" si="134"/>
        <v>768</v>
      </c>
      <c r="O769" s="150" t="str">
        <f t="shared" si="135"/>
        <v>AW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str">
        <f t="shared" si="133"/>
        <v>AW</v>
      </c>
      <c r="N770" s="150">
        <f t="shared" si="134"/>
        <v>769</v>
      </c>
      <c r="O770" s="150" t="str">
        <f t="shared" si="135"/>
        <v>AW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str">
        <f t="shared" ref="M771:M834" si="145">IF(L771="","",IF(L771&lt;=$E$15,VLOOKUP($E$14,$I$1:$J$4,2,FALSE),VLOOKUP($F$14,$I$1:$J$4,2,FALSE)))</f>
        <v>AW</v>
      </c>
      <c r="N771" s="150">
        <f t="shared" ref="N771:N834" si="146">IF($B$20&gt;=K771,K771,"")</f>
        <v>770</v>
      </c>
      <c r="O771" s="150" t="str">
        <f t="shared" ref="O771:O834" si="147">IF(N771="","",IF(N771&lt;=$E$22,VLOOKUP($E$21,$I$1:$J$4,2,FALSE),VLOOKUP($F$21,$I$1:$J$4,2,FALSE)))</f>
        <v>AW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str">
        <f t="shared" si="145"/>
        <v>AW</v>
      </c>
      <c r="N772" s="150">
        <f t="shared" si="146"/>
        <v>771</v>
      </c>
      <c r="O772" s="150" t="str">
        <f t="shared" si="147"/>
        <v>AW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str">
        <f t="shared" si="145"/>
        <v>AW</v>
      </c>
      <c r="N773" s="150">
        <f t="shared" si="146"/>
        <v>772</v>
      </c>
      <c r="O773" s="150" t="str">
        <f t="shared" si="147"/>
        <v>AW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str">
        <f t="shared" si="145"/>
        <v>AW</v>
      </c>
      <c r="N774" s="150">
        <f t="shared" si="146"/>
        <v>773</v>
      </c>
      <c r="O774" s="150" t="str">
        <f t="shared" si="147"/>
        <v>AW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str">
        <f t="shared" si="145"/>
        <v>AW</v>
      </c>
      <c r="N775" s="150">
        <f t="shared" si="146"/>
        <v>774</v>
      </c>
      <c r="O775" s="150" t="str">
        <f t="shared" si="147"/>
        <v>AW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str">
        <f t="shared" si="145"/>
        <v>AW</v>
      </c>
      <c r="N776" s="150">
        <f t="shared" si="146"/>
        <v>775</v>
      </c>
      <c r="O776" s="150" t="str">
        <f t="shared" si="147"/>
        <v>AW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str">
        <f t="shared" si="145"/>
        <v>AW</v>
      </c>
      <c r="N777" s="150">
        <f t="shared" si="146"/>
        <v>776</v>
      </c>
      <c r="O777" s="150" t="str">
        <f t="shared" si="147"/>
        <v>AW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str">
        <f t="shared" si="145"/>
        <v>AW</v>
      </c>
      <c r="N778" s="150">
        <f t="shared" si="146"/>
        <v>777</v>
      </c>
      <c r="O778" s="150" t="str">
        <f t="shared" si="147"/>
        <v>AW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str">
        <f t="shared" si="145"/>
        <v>AW</v>
      </c>
      <c r="N779" s="150">
        <f t="shared" si="146"/>
        <v>778</v>
      </c>
      <c r="O779" s="150" t="str">
        <f t="shared" si="147"/>
        <v>AW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str">
        <f t="shared" si="145"/>
        <v>AW</v>
      </c>
      <c r="N780" s="150">
        <f t="shared" si="146"/>
        <v>779</v>
      </c>
      <c r="O780" s="150" t="str">
        <f t="shared" si="147"/>
        <v>AW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str">
        <f t="shared" si="145"/>
        <v>AW</v>
      </c>
      <c r="N781" s="150">
        <f t="shared" si="146"/>
        <v>780</v>
      </c>
      <c r="O781" s="150" t="str">
        <f t="shared" si="147"/>
        <v>AW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str">
        <f t="shared" si="145"/>
        <v>AW</v>
      </c>
      <c r="N782" s="150">
        <f t="shared" si="146"/>
        <v>781</v>
      </c>
      <c r="O782" s="150" t="str">
        <f t="shared" si="147"/>
        <v>AW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str">
        <f t="shared" si="145"/>
        <v>AW</v>
      </c>
      <c r="N783" s="150">
        <f t="shared" si="146"/>
        <v>782</v>
      </c>
      <c r="O783" s="150" t="str">
        <f t="shared" si="147"/>
        <v>AW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str">
        <f t="shared" si="145"/>
        <v>AW</v>
      </c>
      <c r="N784" s="150">
        <f t="shared" si="146"/>
        <v>783</v>
      </c>
      <c r="O784" s="150" t="str">
        <f t="shared" si="147"/>
        <v>AW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str">
        <f t="shared" si="145"/>
        <v>AW</v>
      </c>
      <c r="N785" s="150">
        <f t="shared" si="146"/>
        <v>784</v>
      </c>
      <c r="O785" s="150" t="str">
        <f t="shared" si="147"/>
        <v>AW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str">
        <f t="shared" si="145"/>
        <v>AW</v>
      </c>
      <c r="N786" s="150">
        <f t="shared" si="146"/>
        <v>785</v>
      </c>
      <c r="O786" s="150" t="str">
        <f t="shared" si="147"/>
        <v>AW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str">
        <f t="shared" si="145"/>
        <v>AW</v>
      </c>
      <c r="N787" s="150">
        <f t="shared" si="146"/>
        <v>786</v>
      </c>
      <c r="O787" s="150" t="str">
        <f t="shared" si="147"/>
        <v>AW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str">
        <f t="shared" si="145"/>
        <v>AW</v>
      </c>
      <c r="N788" s="150">
        <f t="shared" si="146"/>
        <v>787</v>
      </c>
      <c r="O788" s="150" t="str">
        <f t="shared" si="147"/>
        <v>AW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str">
        <f t="shared" si="145"/>
        <v>AW</v>
      </c>
      <c r="N789" s="150">
        <f t="shared" si="146"/>
        <v>788</v>
      </c>
      <c r="O789" s="150" t="str">
        <f t="shared" si="147"/>
        <v>AW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str">
        <f t="shared" si="145"/>
        <v>AW</v>
      </c>
      <c r="N790" s="150">
        <f t="shared" si="146"/>
        <v>789</v>
      </c>
      <c r="O790" s="150" t="str">
        <f t="shared" si="147"/>
        <v>AW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str">
        <f t="shared" si="145"/>
        <v>AW</v>
      </c>
      <c r="N791" s="150">
        <f t="shared" si="146"/>
        <v>790</v>
      </c>
      <c r="O791" s="150" t="str">
        <f t="shared" si="147"/>
        <v>AW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str">
        <f t="shared" si="145"/>
        <v>AW</v>
      </c>
      <c r="N792" s="150">
        <f t="shared" si="146"/>
        <v>791</v>
      </c>
      <c r="O792" s="150" t="str">
        <f t="shared" si="147"/>
        <v>AW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str">
        <f t="shared" si="145"/>
        <v>AW</v>
      </c>
      <c r="N793" s="150">
        <f t="shared" si="146"/>
        <v>792</v>
      </c>
      <c r="O793" s="150" t="str">
        <f t="shared" si="147"/>
        <v>AW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str">
        <f t="shared" si="145"/>
        <v>AW</v>
      </c>
      <c r="N794" s="150">
        <f t="shared" si="146"/>
        <v>793</v>
      </c>
      <c r="O794" s="150" t="str">
        <f t="shared" si="147"/>
        <v>AW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str">
        <f t="shared" si="145"/>
        <v>AW</v>
      </c>
      <c r="N795" s="150">
        <f t="shared" si="146"/>
        <v>794</v>
      </c>
      <c r="O795" s="150" t="str">
        <f t="shared" si="147"/>
        <v>AW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str">
        <f t="shared" si="145"/>
        <v>AW</v>
      </c>
      <c r="N796" s="150">
        <f t="shared" si="146"/>
        <v>795</v>
      </c>
      <c r="O796" s="150" t="str">
        <f t="shared" si="147"/>
        <v>AW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str">
        <f t="shared" si="145"/>
        <v>AW</v>
      </c>
      <c r="N797" s="150">
        <f t="shared" si="146"/>
        <v>796</v>
      </c>
      <c r="O797" s="150" t="str">
        <f t="shared" si="147"/>
        <v>AW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str">
        <f t="shared" si="145"/>
        <v>AW</v>
      </c>
      <c r="N798" s="150">
        <f t="shared" si="146"/>
        <v>797</v>
      </c>
      <c r="O798" s="150" t="str">
        <f t="shared" si="147"/>
        <v>AW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str">
        <f t="shared" si="145"/>
        <v>AW</v>
      </c>
      <c r="N799" s="150">
        <f t="shared" si="146"/>
        <v>798</v>
      </c>
      <c r="O799" s="150" t="str">
        <f t="shared" si="147"/>
        <v>AW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str">
        <f t="shared" si="145"/>
        <v>AW</v>
      </c>
      <c r="N800" s="150">
        <f t="shared" si="146"/>
        <v>799</v>
      </c>
      <c r="O800" s="150" t="str">
        <f t="shared" si="147"/>
        <v>AW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str">
        <f t="shared" si="145"/>
        <v>AW</v>
      </c>
      <c r="N801" s="150">
        <f t="shared" si="146"/>
        <v>800</v>
      </c>
      <c r="O801" s="150" t="str">
        <f t="shared" si="147"/>
        <v>AW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str">
        <f t="shared" si="145"/>
        <v>AW</v>
      </c>
      <c r="N802" s="150">
        <f t="shared" si="146"/>
        <v>801</v>
      </c>
      <c r="O802" s="150" t="str">
        <f t="shared" si="147"/>
        <v>AW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str">
        <f t="shared" si="145"/>
        <v>AW</v>
      </c>
      <c r="N803" s="150">
        <f t="shared" si="146"/>
        <v>802</v>
      </c>
      <c r="O803" s="150" t="str">
        <f t="shared" si="147"/>
        <v>AW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str">
        <f t="shared" si="145"/>
        <v>AW</v>
      </c>
      <c r="N804" s="150">
        <f t="shared" si="146"/>
        <v>803</v>
      </c>
      <c r="O804" s="150" t="str">
        <f t="shared" si="147"/>
        <v>AW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str">
        <f t="shared" si="145"/>
        <v>AW</v>
      </c>
      <c r="N805" s="150">
        <f t="shared" si="146"/>
        <v>804</v>
      </c>
      <c r="O805" s="150" t="str">
        <f t="shared" si="147"/>
        <v>AW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str">
        <f t="shared" si="145"/>
        <v>AW</v>
      </c>
      <c r="N806" s="150">
        <f t="shared" si="146"/>
        <v>805</v>
      </c>
      <c r="O806" s="150" t="str">
        <f t="shared" si="147"/>
        <v>AW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str">
        <f t="shared" si="145"/>
        <v>AW</v>
      </c>
      <c r="N807" s="150">
        <f t="shared" si="146"/>
        <v>806</v>
      </c>
      <c r="O807" s="150" t="str">
        <f t="shared" si="147"/>
        <v>AW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str">
        <f t="shared" si="145"/>
        <v>AW</v>
      </c>
      <c r="N808" s="150">
        <f t="shared" si="146"/>
        <v>807</v>
      </c>
      <c r="O808" s="150" t="str">
        <f t="shared" si="147"/>
        <v>AW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str">
        <f t="shared" si="145"/>
        <v>AW</v>
      </c>
      <c r="N809" s="150">
        <f t="shared" si="146"/>
        <v>808</v>
      </c>
      <c r="O809" s="150" t="str">
        <f t="shared" si="147"/>
        <v>AW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str">
        <f t="shared" si="145"/>
        <v>AW</v>
      </c>
      <c r="N810" s="150">
        <f t="shared" si="146"/>
        <v>809</v>
      </c>
      <c r="O810" s="150" t="str">
        <f t="shared" si="147"/>
        <v>AW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str">
        <f t="shared" si="145"/>
        <v>AW</v>
      </c>
      <c r="N811" s="150">
        <f t="shared" si="146"/>
        <v>810</v>
      </c>
      <c r="O811" s="150" t="str">
        <f t="shared" si="147"/>
        <v>AW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str">
        <f t="shared" si="145"/>
        <v>AW</v>
      </c>
      <c r="N812" s="150">
        <f t="shared" si="146"/>
        <v>811</v>
      </c>
      <c r="O812" s="150" t="str">
        <f t="shared" si="147"/>
        <v>AW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str">
        <f t="shared" si="145"/>
        <v>AW</v>
      </c>
      <c r="N813" s="150">
        <f t="shared" si="146"/>
        <v>812</v>
      </c>
      <c r="O813" s="150" t="str">
        <f t="shared" si="147"/>
        <v>AW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str">
        <f t="shared" si="145"/>
        <v>AW</v>
      </c>
      <c r="N814" s="150">
        <f t="shared" si="146"/>
        <v>813</v>
      </c>
      <c r="O814" s="150" t="str">
        <f t="shared" si="147"/>
        <v>AW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str">
        <f t="shared" si="145"/>
        <v>AW</v>
      </c>
      <c r="N815" s="150">
        <f t="shared" si="146"/>
        <v>814</v>
      </c>
      <c r="O815" s="150" t="str">
        <f t="shared" si="147"/>
        <v>AW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str">
        <f t="shared" si="145"/>
        <v>AW</v>
      </c>
      <c r="N816" s="150">
        <f t="shared" si="146"/>
        <v>815</v>
      </c>
      <c r="O816" s="150" t="str">
        <f t="shared" si="147"/>
        <v>AW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str">
        <f t="shared" si="145"/>
        <v>AW</v>
      </c>
      <c r="N817" s="150">
        <f t="shared" si="146"/>
        <v>816</v>
      </c>
      <c r="O817" s="150" t="str">
        <f t="shared" si="147"/>
        <v>AW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str">
        <f t="shared" si="145"/>
        <v>AW</v>
      </c>
      <c r="N818" s="150">
        <f t="shared" si="146"/>
        <v>817</v>
      </c>
      <c r="O818" s="150" t="str">
        <f t="shared" si="147"/>
        <v>AW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str">
        <f t="shared" si="145"/>
        <v>AW</v>
      </c>
      <c r="N819" s="150">
        <f t="shared" si="146"/>
        <v>818</v>
      </c>
      <c r="O819" s="150" t="str">
        <f t="shared" si="147"/>
        <v>AW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str">
        <f t="shared" si="145"/>
        <v>AW</v>
      </c>
      <c r="N820" s="150">
        <f t="shared" si="146"/>
        <v>819</v>
      </c>
      <c r="O820" s="150" t="str">
        <f t="shared" si="147"/>
        <v>AW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str">
        <f t="shared" si="145"/>
        <v>AW</v>
      </c>
      <c r="N821" s="150">
        <f t="shared" si="146"/>
        <v>820</v>
      </c>
      <c r="O821" s="150" t="str">
        <f t="shared" si="147"/>
        <v>AW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str">
        <f t="shared" si="145"/>
        <v>AW</v>
      </c>
      <c r="N822" s="150">
        <f t="shared" si="146"/>
        <v>821</v>
      </c>
      <c r="O822" s="150" t="str">
        <f t="shared" si="147"/>
        <v>AW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str">
        <f t="shared" si="145"/>
        <v>AW</v>
      </c>
      <c r="N823" s="150">
        <f t="shared" si="146"/>
        <v>822</v>
      </c>
      <c r="O823" s="150" t="str">
        <f t="shared" si="147"/>
        <v>AW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str">
        <f t="shared" si="145"/>
        <v>AW</v>
      </c>
      <c r="N824" s="150">
        <f t="shared" si="146"/>
        <v>823</v>
      </c>
      <c r="O824" s="150" t="str">
        <f t="shared" si="147"/>
        <v>AW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str">
        <f t="shared" si="145"/>
        <v>AW</v>
      </c>
      <c r="N825" s="150">
        <f t="shared" si="146"/>
        <v>824</v>
      </c>
      <c r="O825" s="150" t="str">
        <f t="shared" si="147"/>
        <v>AW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str">
        <f t="shared" si="145"/>
        <v>AW</v>
      </c>
      <c r="N826" s="150">
        <f t="shared" si="146"/>
        <v>825</v>
      </c>
      <c r="O826" s="150" t="str">
        <f t="shared" si="147"/>
        <v>AW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str">
        <f t="shared" si="145"/>
        <v>AW</v>
      </c>
      <c r="N827" s="150">
        <f t="shared" si="146"/>
        <v>826</v>
      </c>
      <c r="O827" s="150" t="str">
        <f t="shared" si="147"/>
        <v>AW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str">
        <f t="shared" si="145"/>
        <v>AW</v>
      </c>
      <c r="N828" s="150">
        <f t="shared" si="146"/>
        <v>827</v>
      </c>
      <c r="O828" s="150" t="str">
        <f t="shared" si="147"/>
        <v>AW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str">
        <f t="shared" si="145"/>
        <v>AW</v>
      </c>
      <c r="N829" s="150">
        <f t="shared" si="146"/>
        <v>828</v>
      </c>
      <c r="O829" s="150" t="str">
        <f t="shared" si="147"/>
        <v>AW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str">
        <f t="shared" si="145"/>
        <v>AW</v>
      </c>
      <c r="N830" s="150">
        <f t="shared" si="146"/>
        <v>829</v>
      </c>
      <c r="O830" s="150" t="str">
        <f t="shared" si="147"/>
        <v>AW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str">
        <f t="shared" si="145"/>
        <v>AW</v>
      </c>
      <c r="N831" s="150">
        <f t="shared" si="146"/>
        <v>830</v>
      </c>
      <c r="O831" s="150" t="str">
        <f t="shared" si="147"/>
        <v>AW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str">
        <f t="shared" si="145"/>
        <v>AW</v>
      </c>
      <c r="N832" s="150">
        <f t="shared" si="146"/>
        <v>831</v>
      </c>
      <c r="O832" s="150" t="str">
        <f t="shared" si="147"/>
        <v>AW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str">
        <f t="shared" si="145"/>
        <v>AW</v>
      </c>
      <c r="N833" s="150">
        <f t="shared" si="146"/>
        <v>832</v>
      </c>
      <c r="O833" s="150" t="str">
        <f t="shared" si="147"/>
        <v>AW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str">
        <f t="shared" si="145"/>
        <v>AW</v>
      </c>
      <c r="N834" s="150">
        <f t="shared" si="146"/>
        <v>833</v>
      </c>
      <c r="O834" s="150" t="str">
        <f t="shared" si="147"/>
        <v>AW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str">
        <f t="shared" ref="M835:M865" si="157">IF(L835="","",IF(L835&lt;=$E$15,VLOOKUP($E$14,$I$1:$J$4,2,FALSE),VLOOKUP($F$14,$I$1:$J$4,2,FALSE)))</f>
        <v>AW</v>
      </c>
      <c r="N835" s="150">
        <f t="shared" ref="N835:N865" si="158">IF($B$20&gt;=K835,K835,"")</f>
        <v>834</v>
      </c>
      <c r="O835" s="150" t="str">
        <f t="shared" ref="O835:O865" si="159">IF(N835="","",IF(N835&lt;=$E$22,VLOOKUP($E$21,$I$1:$J$4,2,FALSE),VLOOKUP($F$21,$I$1:$J$4,2,FALSE)))</f>
        <v>AW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str">
        <f t="shared" si="157"/>
        <v>AW</v>
      </c>
      <c r="N836" s="150">
        <f t="shared" si="158"/>
        <v>835</v>
      </c>
      <c r="O836" s="150" t="str">
        <f t="shared" si="159"/>
        <v>AW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str">
        <f t="shared" si="157"/>
        <v>AW</v>
      </c>
      <c r="N837" s="150">
        <f t="shared" si="158"/>
        <v>836</v>
      </c>
      <c r="O837" s="150" t="str">
        <f t="shared" si="159"/>
        <v>AW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str">
        <f t="shared" si="157"/>
        <v>AW</v>
      </c>
      <c r="N838" s="150">
        <f t="shared" si="158"/>
        <v>837</v>
      </c>
      <c r="O838" s="150" t="str">
        <f t="shared" si="159"/>
        <v>AW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str">
        <f t="shared" si="157"/>
        <v>AW</v>
      </c>
      <c r="N839" s="150">
        <f t="shared" si="158"/>
        <v>838</v>
      </c>
      <c r="O839" s="150" t="str">
        <f t="shared" si="159"/>
        <v>AW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str">
        <f t="shared" si="157"/>
        <v>AW</v>
      </c>
      <c r="N840" s="150">
        <f t="shared" si="158"/>
        <v>839</v>
      </c>
      <c r="O840" s="150" t="str">
        <f t="shared" si="159"/>
        <v>AW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str">
        <f t="shared" si="157"/>
        <v>AW</v>
      </c>
      <c r="N841" s="150">
        <f t="shared" si="158"/>
        <v>840</v>
      </c>
      <c r="O841" s="150" t="str">
        <f t="shared" si="159"/>
        <v>AW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str">
        <f t="shared" si="157"/>
        <v>AW</v>
      </c>
      <c r="N842" s="150">
        <f t="shared" si="158"/>
        <v>841</v>
      </c>
      <c r="O842" s="150" t="str">
        <f t="shared" si="159"/>
        <v>AW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str">
        <f t="shared" si="157"/>
        <v>AW</v>
      </c>
      <c r="N843" s="150">
        <f t="shared" si="158"/>
        <v>842</v>
      </c>
      <c r="O843" s="150" t="str">
        <f t="shared" si="159"/>
        <v>AW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str">
        <f t="shared" si="157"/>
        <v>AW</v>
      </c>
      <c r="N844" s="150">
        <f t="shared" si="158"/>
        <v>843</v>
      </c>
      <c r="O844" s="150" t="str">
        <f t="shared" si="159"/>
        <v>AW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str">
        <f t="shared" si="157"/>
        <v>AW</v>
      </c>
      <c r="N845" s="150">
        <f t="shared" si="158"/>
        <v>844</v>
      </c>
      <c r="O845" s="150" t="str">
        <f t="shared" si="159"/>
        <v>AW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str">
        <f t="shared" si="157"/>
        <v>AW</v>
      </c>
      <c r="N846" s="150">
        <f t="shared" si="158"/>
        <v>845</v>
      </c>
      <c r="O846" s="150" t="str">
        <f t="shared" si="159"/>
        <v>AW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str">
        <f t="shared" si="157"/>
        <v>AW</v>
      </c>
      <c r="N847" s="150">
        <f t="shared" si="158"/>
        <v>846</v>
      </c>
      <c r="O847" s="150" t="str">
        <f t="shared" si="159"/>
        <v>AW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str">
        <f t="shared" si="157"/>
        <v>AW</v>
      </c>
      <c r="N848" s="150">
        <f t="shared" si="158"/>
        <v>847</v>
      </c>
      <c r="O848" s="150" t="str">
        <f t="shared" si="159"/>
        <v>AW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str">
        <f t="shared" si="157"/>
        <v>AW</v>
      </c>
      <c r="N849" s="150">
        <f t="shared" si="158"/>
        <v>848</v>
      </c>
      <c r="O849" s="150" t="str">
        <f t="shared" si="159"/>
        <v>AW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str">
        <f t="shared" si="157"/>
        <v>AW</v>
      </c>
      <c r="N850" s="150">
        <f t="shared" si="158"/>
        <v>849</v>
      </c>
      <c r="O850" s="150" t="str">
        <f t="shared" si="159"/>
        <v>AW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str">
        <f t="shared" si="157"/>
        <v>AW</v>
      </c>
      <c r="N851" s="150">
        <f t="shared" si="158"/>
        <v>850</v>
      </c>
      <c r="O851" s="150" t="str">
        <f t="shared" si="159"/>
        <v>AW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str">
        <f t="shared" si="157"/>
        <v>AW</v>
      </c>
      <c r="N852" s="150">
        <f t="shared" si="158"/>
        <v>851</v>
      </c>
      <c r="O852" s="150" t="str">
        <f t="shared" si="159"/>
        <v>AW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str">
        <f t="shared" si="157"/>
        <v>AW</v>
      </c>
      <c r="N853" s="150">
        <f t="shared" si="158"/>
        <v>852</v>
      </c>
      <c r="O853" s="150" t="str">
        <f t="shared" si="159"/>
        <v>AW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str">
        <f t="shared" si="157"/>
        <v>AW</v>
      </c>
      <c r="N854" s="150">
        <f t="shared" si="158"/>
        <v>853</v>
      </c>
      <c r="O854" s="150" t="str">
        <f t="shared" si="159"/>
        <v>AW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str">
        <f t="shared" si="157"/>
        <v>AW</v>
      </c>
      <c r="N855" s="150">
        <f t="shared" si="158"/>
        <v>854</v>
      </c>
      <c r="O855" s="150" t="str">
        <f t="shared" si="159"/>
        <v>AW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str">
        <f t="shared" si="157"/>
        <v>AW</v>
      </c>
      <c r="N856" s="150">
        <f t="shared" si="158"/>
        <v>855</v>
      </c>
      <c r="O856" s="150" t="str">
        <f t="shared" si="159"/>
        <v>AW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str">
        <f t="shared" si="157"/>
        <v>AW</v>
      </c>
      <c r="N857" s="150">
        <f t="shared" si="158"/>
        <v>856</v>
      </c>
      <c r="O857" s="150" t="str">
        <f t="shared" si="159"/>
        <v>AW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str">
        <f t="shared" si="157"/>
        <v>AW</v>
      </c>
      <c r="N858" s="150">
        <f t="shared" si="158"/>
        <v>857</v>
      </c>
      <c r="O858" s="150" t="str">
        <f t="shared" si="159"/>
        <v>AW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str">
        <f t="shared" si="157"/>
        <v>AW</v>
      </c>
      <c r="N859" s="150">
        <f t="shared" si="158"/>
        <v>858</v>
      </c>
      <c r="O859" s="150" t="str">
        <f t="shared" si="159"/>
        <v>AW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str">
        <f t="shared" si="157"/>
        <v>AW</v>
      </c>
      <c r="N860" s="150">
        <f t="shared" si="158"/>
        <v>859</v>
      </c>
      <c r="O860" s="150" t="str">
        <f t="shared" si="159"/>
        <v>AW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str">
        <f t="shared" si="157"/>
        <v>AW</v>
      </c>
      <c r="N861" s="150">
        <f t="shared" si="158"/>
        <v>860</v>
      </c>
      <c r="O861" s="150" t="str">
        <f t="shared" si="159"/>
        <v>AW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str">
        <f t="shared" si="157"/>
        <v>AW</v>
      </c>
      <c r="N862" s="150">
        <f t="shared" si="158"/>
        <v>861</v>
      </c>
      <c r="O862" s="150" t="str">
        <f t="shared" si="159"/>
        <v>AW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str">
        <f t="shared" si="157"/>
        <v>AW</v>
      </c>
      <c r="N863" s="150">
        <f t="shared" si="158"/>
        <v>862</v>
      </c>
      <c r="O863" s="150" t="str">
        <f t="shared" si="159"/>
        <v>AW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str">
        <f t="shared" si="157"/>
        <v>AW</v>
      </c>
      <c r="N864" s="150">
        <f t="shared" si="158"/>
        <v>863</v>
      </c>
      <c r="O864" s="150" t="str">
        <f t="shared" si="159"/>
        <v>AW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str">
        <f t="shared" si="157"/>
        <v>AW</v>
      </c>
      <c r="N865" s="150">
        <f t="shared" si="158"/>
        <v>864</v>
      </c>
      <c r="O865" s="150" t="str">
        <f t="shared" si="159"/>
        <v>AW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19 D21:F22 E20:F20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6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autoPict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100771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60" zoomScaleNormal="60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100771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99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CL27" sqref="CL27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CA-24</v>
      </c>
      <c r="AI1" s="120" t="s">
        <v>17</v>
      </c>
      <c r="AJ1" s="121" t="s">
        <v>12</v>
      </c>
      <c r="AM1" s="121" t="str">
        <f>AF1</f>
        <v>[A] CA-24</v>
      </c>
      <c r="AN1" s="121" t="s">
        <v>17</v>
      </c>
      <c r="AO1" s="121" t="s">
        <v>13</v>
      </c>
      <c r="AR1" s="121" t="str">
        <f>AF2</f>
        <v>[B] CA-24</v>
      </c>
      <c r="AS1" s="121" t="s">
        <v>17</v>
      </c>
      <c r="AT1" s="121" t="s">
        <v>36</v>
      </c>
      <c r="AW1" s="121" t="str">
        <f>AF3</f>
        <v>[C] CA-2S9: 9999-ENT-N-1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CA-24</v>
      </c>
      <c r="AJ2" s="121" t="str">
        <f>IF('Cable Info'!L2="","",CONCATENATE('Cable Info'!L2," - ",'Cable Info'!M2))</f>
        <v>1 - TW</v>
      </c>
      <c r="AM2" s="121" t="str">
        <f>IF(AK2="",AJ2,CONCATENATE(AJ2,"  &lt;=&gt; ",AK2," ",AL2))</f>
        <v>1 - TW</v>
      </c>
      <c r="AO2" s="121" t="str">
        <f>IF('Cable Info'!N2="","",CONCATENATE('Cable Info'!N2," - ",'Cable Info'!O2))</f>
        <v>1 - TW</v>
      </c>
      <c r="AR2" s="121" t="str">
        <f>IF(AP2="",AO2,CONCATENATE(AO2,"  &lt;=&gt; ",AP2," ",AQ2))</f>
        <v>1 - TW</v>
      </c>
      <c r="AT2" s="121" t="str">
        <f>IF('Cable Info'!P2="","",CONCATENATE('Cable Info'!P2," - ",'Cable Info'!Q2))</f>
        <v>1 - AW</v>
      </c>
      <c r="AW2" s="121" t="str">
        <f>IF(AU2="",AT2,CONCATENATE(AT2,"  &lt;=&gt; ",AU2," ",AV2))</f>
        <v>1 - AW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100771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CA-2S9: 9999-ENT-N-1</v>
      </c>
      <c r="AJ3" s="121" t="str">
        <f>IF('Cable Info'!L3="","",CONCATENATE('Cable Info'!L3," - ",'Cable Info'!M3))</f>
        <v>2 - TW</v>
      </c>
      <c r="AM3" s="121" t="str">
        <f t="shared" ref="AM3:AM10" si="0">IF(AK3="",AJ3,CONCATENATE(AJ3,"  &lt;=&gt; ",AK3," ",AL3))</f>
        <v>2 - TW</v>
      </c>
      <c r="AO3" s="121" t="str">
        <f>IF('Cable Info'!N3="","",CONCATENATE('Cable Info'!N3," - ",'Cable Info'!O3))</f>
        <v>2 - TW</v>
      </c>
      <c r="AR3" s="121" t="str">
        <f t="shared" ref="AR3:AR10" si="1">IF(AP3="",AO3,CONCATENATE(AO3,"  &lt;=&gt; ",AP3," ",AQ3))</f>
        <v>2 - TW</v>
      </c>
      <c r="AT3" s="121" t="str">
        <f>IF('Cable Info'!P3="","",CONCATENATE('Cable Info'!P3," - ",'Cable Info'!Q3))</f>
        <v>2 - AW</v>
      </c>
      <c r="AW3" s="121" t="str">
        <f t="shared" ref="AW3:AW10" si="2">IF(AU3="",AT3,CONCATENATE(AT3,"  &lt;=&gt; ",AU3," ",AV3))</f>
        <v>2 - AW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TW</v>
      </c>
      <c r="AM4" s="121" t="str">
        <f t="shared" si="0"/>
        <v>3 - TW</v>
      </c>
      <c r="AO4" s="121" t="str">
        <f>IF('Cable Info'!N4="","",CONCATENATE('Cable Info'!N4," - ",'Cable Info'!O4))</f>
        <v>3 - TW</v>
      </c>
      <c r="AR4" s="121" t="str">
        <f t="shared" si="1"/>
        <v>3 - TW</v>
      </c>
      <c r="AT4" s="121" t="str">
        <f>IF('Cable Info'!P4="","",CONCATENATE('Cable Info'!P4," - ",'Cable Info'!Q4))</f>
        <v>3 - AW</v>
      </c>
      <c r="AW4" s="121" t="str">
        <f t="shared" si="2"/>
        <v>3 - AW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TW</v>
      </c>
      <c r="AM5" s="121" t="str">
        <f t="shared" si="0"/>
        <v>4 - TW</v>
      </c>
      <c r="AO5" s="121" t="str">
        <f>IF('Cable Info'!N5="","",CONCATENATE('Cable Info'!N5," - ",'Cable Info'!O5))</f>
        <v>4 - TW</v>
      </c>
      <c r="AR5" s="121" t="str">
        <f t="shared" si="1"/>
        <v>4 - TW</v>
      </c>
      <c r="AT5" s="121" t="str">
        <f>IF('Cable Info'!P5="","",CONCATENATE('Cable Info'!P5," - ",'Cable Info'!Q5))</f>
        <v>4 - AW</v>
      </c>
      <c r="AW5" s="121" t="str">
        <f t="shared" si="2"/>
        <v>4 - AW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TW</v>
      </c>
      <c r="AM6" s="121" t="str">
        <f t="shared" si="0"/>
        <v>5 - TW</v>
      </c>
      <c r="AO6" s="121" t="str">
        <f>IF('Cable Info'!N6="","",CONCATENATE('Cable Info'!N6," - ",'Cable Info'!O6))</f>
        <v>5 - TW</v>
      </c>
      <c r="AR6" s="121" t="str">
        <f t="shared" si="1"/>
        <v>5 - TW</v>
      </c>
      <c r="AT6" s="121" t="str">
        <f>IF('Cable Info'!P6="","",CONCATENATE('Cable Info'!P6," - ",'Cable Info'!Q6))</f>
        <v>5 - AW</v>
      </c>
      <c r="AW6" s="121" t="str">
        <f t="shared" si="2"/>
        <v>5 - AW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TW</v>
      </c>
      <c r="AM7" s="121" t="str">
        <f t="shared" si="0"/>
        <v>6 - TW</v>
      </c>
      <c r="AO7" s="121" t="str">
        <f>IF('Cable Info'!N7="","",CONCATENATE('Cable Info'!N7," - ",'Cable Info'!O7))</f>
        <v>6 - TW</v>
      </c>
      <c r="AR7" s="121" t="str">
        <f t="shared" si="1"/>
        <v>6 - TW</v>
      </c>
      <c r="AT7" s="121" t="str">
        <f>IF('Cable Info'!P7="","",CONCATENATE('Cable Info'!P7," - ",'Cable Info'!Q7))</f>
        <v>6 - AW</v>
      </c>
      <c r="AW7" s="121" t="str">
        <f t="shared" si="2"/>
        <v>6 - AW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TW</v>
      </c>
      <c r="AM8" s="121" t="str">
        <f t="shared" si="0"/>
        <v>7 - TW</v>
      </c>
      <c r="AO8" s="121" t="str">
        <f>IF('Cable Info'!N8="","",CONCATENATE('Cable Info'!N8," - ",'Cable Info'!O8))</f>
        <v>7 - TW</v>
      </c>
      <c r="AR8" s="121" t="str">
        <f t="shared" si="1"/>
        <v>7 - TW</v>
      </c>
      <c r="AT8" s="121" t="str">
        <f>IF('Cable Info'!P8="","",CONCATENATE('Cable Info'!P8," - ",'Cable Info'!Q8))</f>
        <v>7 - AW</v>
      </c>
      <c r="AW8" s="121" t="str">
        <f t="shared" si="2"/>
        <v>7 - AW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TW</v>
      </c>
      <c r="AM9" s="121" t="str">
        <f t="shared" si="0"/>
        <v>8 - TW</v>
      </c>
      <c r="AO9" s="121" t="str">
        <f>IF('Cable Info'!N9="","",CONCATENATE('Cable Info'!N9," - ",'Cable Info'!O9))</f>
        <v>8 - TW</v>
      </c>
      <c r="AR9" s="121" t="str">
        <f t="shared" si="1"/>
        <v>8 - TW</v>
      </c>
      <c r="AT9" s="121" t="str">
        <f>IF('Cable Info'!P9="","",CONCATENATE('Cable Info'!P9," - ",'Cable Info'!Q9))</f>
        <v>8 - AW</v>
      </c>
      <c r="AW9" s="121" t="str">
        <f t="shared" si="2"/>
        <v>8 - AW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13</v>
      </c>
      <c r="C10" s="114" t="str">
        <f>IFERROR(IF(B10="","",IF((COUNTIF('Cable Info'!$B$11:$C$50,B10)=0),VLOOKUP(B10,'Cable Info (2)'!$B$11:$C$50,2,FALSE),(VLOOKUP(B10,'Cable Info'!$B$11:$C$50,2,FALSE)))),"NO SUCH EXIT")</f>
        <v>CA-24</v>
      </c>
      <c r="D10" s="243" t="s">
        <v>100</v>
      </c>
      <c r="E10" s="259">
        <v>347</v>
      </c>
      <c r="F10" s="110" t="s">
        <v>45</v>
      </c>
      <c r="G10" s="262">
        <v>348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 t="s">
        <v>101</v>
      </c>
      <c r="M10" s="114" t="str">
        <f>IFERROR(IF(P10="","",IF((COUNTIF('Cable Info'!$B$11:$C$50,P10)=0),VLOOKUP(P10,'Cable Info (2)'!$B$11:$C$50,2,FALSE),(VLOOKUP(P10,'Cable Info'!$B$11:$C$50,2,FALSE)))),"NO SUCH EXIT")</f>
        <v>CA-2S9: 9999-ENT-N-1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42719</v>
      </c>
      <c r="U10" s="132">
        <v>42725</v>
      </c>
      <c r="V10" s="133" t="s">
        <v>10</v>
      </c>
      <c r="W10" s="133" t="s">
        <v>102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TW</v>
      </c>
      <c r="AM10" s="121" t="str">
        <f t="shared" si="0"/>
        <v>9 - TW</v>
      </c>
      <c r="AO10" s="121" t="str">
        <f>IF('Cable Info'!N10="","",CONCATENATE('Cable Info'!N10," - ",'Cable Info'!O10))</f>
        <v>9 - TW</v>
      </c>
      <c r="AR10" s="121" t="str">
        <f t="shared" si="1"/>
        <v>9 - TW</v>
      </c>
      <c r="AT10" s="121" t="str">
        <f>IF('Cable Info'!P10="","",CONCATENATE('Cable Info'!P10," - ",'Cable Info'!Q10))</f>
        <v>9 - AW</v>
      </c>
      <c r="AW10" s="121" t="str">
        <f t="shared" si="2"/>
        <v>9 - AW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106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TW</v>
      </c>
      <c r="AM11" s="121" t="str">
        <f t="shared" ref="AM11" si="11">IF(AK11="",AJ11,CONCATENATE(AJ11,"  &lt;=&gt; ",AK11," ",AL11))</f>
        <v>9 - TW</v>
      </c>
      <c r="AO11" s="121" t="str">
        <f>IF('Cable Info'!N10="","",CONCATENATE('Cable Info'!N10," - ",'Cable Info'!O10))</f>
        <v>9 - TW</v>
      </c>
      <c r="AR11" s="121" t="str">
        <f t="shared" ref="AR11" si="12">IF(AP11="",AO11,CONCATENATE(AO11,"  &lt;=&gt; ",AP11," ",AQ11))</f>
        <v>9 - TW</v>
      </c>
      <c r="AT11" s="121" t="str">
        <f>IF('Cable Info'!P10="","",CONCATENATE('Cable Info'!P10," - ",'Cable Info'!Q10))</f>
        <v>9 - AW</v>
      </c>
      <c r="AU11" s="121" t="s">
        <v>51</v>
      </c>
      <c r="AW11" s="121" t="str">
        <f t="shared" ref="AW11" si="13">IF(AU11="",AT11,CONCATENATE(AT11,"  &lt;=&gt; ",AU11," ",AV11))</f>
        <v xml:space="preserve">9 - AW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107</v>
      </c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TW</v>
      </c>
      <c r="AM12" s="121" t="str">
        <f t="shared" ref="AM12" si="23">IF(AK12="",AJ12,CONCATENATE(AJ12,"  &lt;=&gt; ",AK12," ",AL12))</f>
        <v>10 - TW</v>
      </c>
      <c r="AO12" s="121" t="str">
        <f>IF('Cable Info'!N11="","",CONCATENATE('Cable Info'!N11," - ",'Cable Info'!O11))</f>
        <v>10 - TW</v>
      </c>
      <c r="AR12" s="121" t="str">
        <f t="shared" ref="AR12" si="24">IF(AP12="",AO12,CONCATENATE(AO12,"  &lt;=&gt; ",AP12," ",AQ12))</f>
        <v>10 - TW</v>
      </c>
      <c r="AT12" s="121" t="str">
        <f>IF('Cable Info'!P11="","",CONCATENATE('Cable Info'!P11," - ",'Cable Info'!Q11))</f>
        <v>10 - AW</v>
      </c>
      <c r="AU12" s="121" t="s">
        <v>51</v>
      </c>
      <c r="AW12" s="121" t="str">
        <f t="shared" ref="AW12" si="25">IF(AU12="",AT12,CONCATENATE(AT12,"  &lt;=&gt; ",AU12," ",AV12))</f>
        <v xml:space="preserve">10 - AW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 t="s">
        <v>108</v>
      </c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TW</v>
      </c>
      <c r="AM13" s="121" t="str">
        <f t="shared" ref="AM13:AM76" si="35">IF(AK13="",AJ13,CONCATENATE(AJ13,"  &lt;=&gt; ",AK13," ",AL13))</f>
        <v>11 - TW</v>
      </c>
      <c r="AO13" s="121" t="str">
        <f>IF('Cable Info'!N12="","",CONCATENATE('Cable Info'!N12," - ",'Cable Info'!O12))</f>
        <v>11 - TW</v>
      </c>
      <c r="AR13" s="121" t="str">
        <f t="shared" ref="AR13:AR76" si="36">IF(AP13="",AO13,CONCATENATE(AO13,"  &lt;=&gt; ",AP13," ",AQ13))</f>
        <v>11 - TW</v>
      </c>
      <c r="AT13" s="121" t="str">
        <f>IF('Cable Info'!P12="","",CONCATENATE('Cable Info'!P12," - ",'Cable Info'!Q12))</f>
        <v>11 - AW</v>
      </c>
      <c r="AU13" s="121" t="s">
        <v>51</v>
      </c>
      <c r="AW13" s="121" t="str">
        <f t="shared" ref="AW13:AW76" si="37">IF(AU13="",AT13,CONCATENATE(AT13,"  &lt;=&gt; ",AU13," ",AV13))</f>
        <v xml:space="preserve">11 - AW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TW</v>
      </c>
      <c r="AM14" s="121" t="str">
        <f t="shared" si="35"/>
        <v>12 - TW</v>
      </c>
      <c r="AO14" s="121" t="str">
        <f>IF('Cable Info'!N13="","",CONCATENATE('Cable Info'!N13," - ",'Cable Info'!O13))</f>
        <v>12 - TW</v>
      </c>
      <c r="AR14" s="121" t="str">
        <f t="shared" si="36"/>
        <v>12 - TW</v>
      </c>
      <c r="AT14" s="121" t="str">
        <f>IF('Cable Info'!P13="","",CONCATENATE('Cable Info'!P13," - ",'Cable Info'!Q13))</f>
        <v>12 - AW</v>
      </c>
      <c r="AU14" s="121" t="s">
        <v>51</v>
      </c>
      <c r="AW14" s="121" t="str">
        <f t="shared" si="37"/>
        <v xml:space="preserve">12 - AW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TW</v>
      </c>
      <c r="AM15" s="121" t="str">
        <f t="shared" si="35"/>
        <v>13 - TW</v>
      </c>
      <c r="AO15" s="121" t="str">
        <f>IF('Cable Info'!N14="","",CONCATENATE('Cable Info'!N14," - ",'Cable Info'!O14))</f>
        <v>13 - TW</v>
      </c>
      <c r="AR15" s="121" t="str">
        <f t="shared" si="36"/>
        <v>13 - TW</v>
      </c>
      <c r="AT15" s="121" t="str">
        <f>IF('Cable Info'!P14="","",CONCATENATE('Cable Info'!P14," - ",'Cable Info'!Q14))</f>
        <v>13 - AW</v>
      </c>
      <c r="AU15" s="121" t="s">
        <v>51</v>
      </c>
      <c r="AW15" s="121" t="str">
        <f t="shared" si="37"/>
        <v xml:space="preserve">13 - AW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TW</v>
      </c>
      <c r="AM16" s="121" t="str">
        <f t="shared" si="35"/>
        <v>14 - TW</v>
      </c>
      <c r="AO16" s="121" t="str">
        <f>IF('Cable Info'!N15="","",CONCATENATE('Cable Info'!N15," - ",'Cable Info'!O15))</f>
        <v>14 - TW</v>
      </c>
      <c r="AR16" s="121" t="str">
        <f t="shared" si="36"/>
        <v>14 - TW</v>
      </c>
      <c r="AT16" s="121" t="str">
        <f>IF('Cable Info'!P15="","",CONCATENATE('Cable Info'!P15," - ",'Cable Info'!Q15))</f>
        <v>14 - AW</v>
      </c>
      <c r="AU16" s="121" t="s">
        <v>51</v>
      </c>
      <c r="AW16" s="121" t="str">
        <f t="shared" si="37"/>
        <v xml:space="preserve">14 - AW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TW</v>
      </c>
      <c r="AM17" s="121" t="str">
        <f t="shared" si="35"/>
        <v>15 - TW</v>
      </c>
      <c r="AO17" s="121" t="str">
        <f>IF('Cable Info'!N16="","",CONCATENATE('Cable Info'!N16," - ",'Cable Info'!O16))</f>
        <v>15 - TW</v>
      </c>
      <c r="AR17" s="121" t="str">
        <f t="shared" si="36"/>
        <v>15 - TW</v>
      </c>
      <c r="AT17" s="121" t="str">
        <f>IF('Cable Info'!P16="","",CONCATENATE('Cable Info'!P16," - ",'Cable Info'!Q16))</f>
        <v>15 - AW</v>
      </c>
      <c r="AU17" s="121" t="s">
        <v>51</v>
      </c>
      <c r="AW17" s="121" t="str">
        <f t="shared" si="37"/>
        <v xml:space="preserve">15 - AW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TW</v>
      </c>
      <c r="AM18" s="121" t="str">
        <f t="shared" si="35"/>
        <v>16 - TW</v>
      </c>
      <c r="AO18" s="121" t="str">
        <f>IF('Cable Info'!N17="","",CONCATENATE('Cable Info'!N17," - ",'Cable Info'!O17))</f>
        <v>16 - TW</v>
      </c>
      <c r="AR18" s="121" t="str">
        <f t="shared" si="36"/>
        <v>16 - TW</v>
      </c>
      <c r="AT18" s="121" t="str">
        <f>IF('Cable Info'!P17="","",CONCATENATE('Cable Info'!P17," - ",'Cable Info'!Q17))</f>
        <v>16 - AW</v>
      </c>
      <c r="AU18" s="121" t="s">
        <v>51</v>
      </c>
      <c r="AW18" s="121" t="str">
        <f t="shared" si="37"/>
        <v xml:space="preserve">16 - AW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TW</v>
      </c>
      <c r="AM19" s="121" t="str">
        <f t="shared" si="35"/>
        <v>17 - TW</v>
      </c>
      <c r="AO19" s="121" t="str">
        <f>IF('Cable Info'!N18="","",CONCATENATE('Cable Info'!N18," - ",'Cable Info'!O18))</f>
        <v>17 - TW</v>
      </c>
      <c r="AR19" s="121" t="str">
        <f t="shared" si="36"/>
        <v>17 - TW</v>
      </c>
      <c r="AT19" s="121" t="str">
        <f>IF('Cable Info'!P18="","",CONCATENATE('Cable Info'!P18," - ",'Cable Info'!Q18))</f>
        <v>17 - AW</v>
      </c>
      <c r="AU19" s="121" t="s">
        <v>51</v>
      </c>
      <c r="AW19" s="121" t="str">
        <f t="shared" si="37"/>
        <v xml:space="preserve">17 - AW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TW</v>
      </c>
      <c r="AM20" s="121" t="str">
        <f t="shared" si="35"/>
        <v>18 - TW</v>
      </c>
      <c r="AO20" s="121" t="str">
        <f>IF('Cable Info'!N19="","",CONCATENATE('Cable Info'!N19," - ",'Cable Info'!O19))</f>
        <v>18 - TW</v>
      </c>
      <c r="AR20" s="121" t="str">
        <f t="shared" si="36"/>
        <v>18 - TW</v>
      </c>
      <c r="AT20" s="121" t="str">
        <f>IF('Cable Info'!P19="","",CONCATENATE('Cable Info'!P19," - ",'Cable Info'!Q19))</f>
        <v>18 - AW</v>
      </c>
      <c r="AU20" s="121" t="s">
        <v>51</v>
      </c>
      <c r="AW20" s="121" t="str">
        <f t="shared" si="37"/>
        <v xml:space="preserve">18 - AW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TW</v>
      </c>
      <c r="AM21" s="121" t="str">
        <f t="shared" si="35"/>
        <v>19 - TW</v>
      </c>
      <c r="AO21" s="121" t="str">
        <f>IF('Cable Info'!N20="","",CONCATENATE('Cable Info'!N20," - ",'Cable Info'!O20))</f>
        <v>19 - TW</v>
      </c>
      <c r="AR21" s="121" t="str">
        <f t="shared" si="36"/>
        <v>19 - TW</v>
      </c>
      <c r="AT21" s="121" t="str">
        <f>IF('Cable Info'!P20="","",CONCATENATE('Cable Info'!P20," - ",'Cable Info'!Q20))</f>
        <v>19 - AW</v>
      </c>
      <c r="AU21" s="121" t="s">
        <v>51</v>
      </c>
      <c r="AW21" s="121" t="str">
        <f t="shared" si="37"/>
        <v xml:space="preserve">19 - AW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TW</v>
      </c>
      <c r="AM22" s="121" t="str">
        <f t="shared" si="35"/>
        <v>20 - TW</v>
      </c>
      <c r="AO22" s="121" t="str">
        <f>IF('Cable Info'!N21="","",CONCATENATE('Cable Info'!N21," - ",'Cable Info'!O21))</f>
        <v>20 - TW</v>
      </c>
      <c r="AR22" s="121" t="str">
        <f t="shared" si="36"/>
        <v>20 - TW</v>
      </c>
      <c r="AT22" s="121" t="str">
        <f>IF('Cable Info'!P21="","",CONCATENATE('Cable Info'!P21," - ",'Cable Info'!Q21))</f>
        <v>20 - AW</v>
      </c>
      <c r="AU22" s="121" t="s">
        <v>51</v>
      </c>
      <c r="AW22" s="121" t="str">
        <f t="shared" si="37"/>
        <v xml:space="preserve">20 - AW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TW</v>
      </c>
      <c r="AM23" s="121" t="str">
        <f t="shared" si="35"/>
        <v>21 - TW</v>
      </c>
      <c r="AO23" s="121" t="str">
        <f>IF('Cable Info'!N22="","",CONCATENATE('Cable Info'!N22," - ",'Cable Info'!O22))</f>
        <v>21 - TW</v>
      </c>
      <c r="AR23" s="121" t="str">
        <f t="shared" si="36"/>
        <v>21 - TW</v>
      </c>
      <c r="AT23" s="121" t="str">
        <f>IF('Cable Info'!P22="","",CONCATENATE('Cable Info'!P22," - ",'Cable Info'!Q22))</f>
        <v>21 - AW</v>
      </c>
      <c r="AU23" s="121" t="s">
        <v>51</v>
      </c>
      <c r="AW23" s="121" t="str">
        <f t="shared" si="37"/>
        <v xml:space="preserve">21 - AW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TW</v>
      </c>
      <c r="AM24" s="121" t="str">
        <f t="shared" si="35"/>
        <v>22 - TW</v>
      </c>
      <c r="AO24" s="121" t="str">
        <f>IF('Cable Info'!N23="","",CONCATENATE('Cable Info'!N23," - ",'Cable Info'!O23))</f>
        <v>22 - TW</v>
      </c>
      <c r="AR24" s="121" t="str">
        <f t="shared" si="36"/>
        <v>22 - TW</v>
      </c>
      <c r="AT24" s="121" t="str">
        <f>IF('Cable Info'!P23="","",CONCATENATE('Cable Info'!P23," - ",'Cable Info'!Q23))</f>
        <v>22 - AW</v>
      </c>
      <c r="AU24" s="121" t="s">
        <v>51</v>
      </c>
      <c r="AW24" s="121" t="str">
        <f t="shared" si="37"/>
        <v xml:space="preserve">22 - AW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TW</v>
      </c>
      <c r="AM25" s="121" t="str">
        <f t="shared" si="35"/>
        <v>23 - TW</v>
      </c>
      <c r="AO25" s="121" t="str">
        <f>IF('Cable Info'!N24="","",CONCATENATE('Cable Info'!N24," - ",'Cable Info'!O24))</f>
        <v>23 - TW</v>
      </c>
      <c r="AR25" s="121" t="str">
        <f t="shared" si="36"/>
        <v>23 - TW</v>
      </c>
      <c r="AT25" s="121" t="str">
        <f>IF('Cable Info'!P24="","",CONCATENATE('Cable Info'!P24," - ",'Cable Info'!Q24))</f>
        <v>23 - AW</v>
      </c>
      <c r="AU25" s="121" t="s">
        <v>51</v>
      </c>
      <c r="AW25" s="121" t="str">
        <f t="shared" si="37"/>
        <v xml:space="preserve">23 - AW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TW</v>
      </c>
      <c r="AM26" s="121" t="str">
        <f t="shared" si="35"/>
        <v>24 - TW</v>
      </c>
      <c r="AO26" s="121" t="str">
        <f>IF('Cable Info'!N25="","",CONCATENATE('Cable Info'!N25," - ",'Cable Info'!O25))</f>
        <v>24 - TW</v>
      </c>
      <c r="AR26" s="121" t="str">
        <f t="shared" si="36"/>
        <v>24 - TW</v>
      </c>
      <c r="AT26" s="121" t="str">
        <f>IF('Cable Info'!P25="","",CONCATENATE('Cable Info'!P25," - ",'Cable Info'!Q25))</f>
        <v>24 - AW</v>
      </c>
      <c r="AU26" s="121" t="s">
        <v>51</v>
      </c>
      <c r="AW26" s="121" t="str">
        <f t="shared" si="37"/>
        <v xml:space="preserve">24 - AW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TW</v>
      </c>
      <c r="AM27" s="121" t="str">
        <f t="shared" si="35"/>
        <v>25 - TW</v>
      </c>
      <c r="AO27" s="121" t="str">
        <f>IF('Cable Info'!N26="","",CONCATENATE('Cable Info'!N26," - ",'Cable Info'!O26))</f>
        <v>25 - TW</v>
      </c>
      <c r="AR27" s="121" t="str">
        <f t="shared" si="36"/>
        <v>25 - TW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TW</v>
      </c>
      <c r="AM28" s="121" t="str">
        <f t="shared" si="35"/>
        <v>26 - TW</v>
      </c>
      <c r="AO28" s="121" t="str">
        <f>IF('Cable Info'!N27="","",CONCATENATE('Cable Info'!N27," - ",'Cable Info'!O27))</f>
        <v>26 - TW</v>
      </c>
      <c r="AR28" s="121" t="str">
        <f t="shared" si="36"/>
        <v>26 - TW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TW</v>
      </c>
      <c r="AM29" s="121" t="str">
        <f t="shared" si="35"/>
        <v>27 - TW</v>
      </c>
      <c r="AO29" s="121" t="str">
        <f>IF('Cable Info'!N28="","",CONCATENATE('Cable Info'!N28," - ",'Cable Info'!O28))</f>
        <v>27 - TW</v>
      </c>
      <c r="AR29" s="121" t="str">
        <f t="shared" si="36"/>
        <v>27 - TW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TW</v>
      </c>
      <c r="AM30" s="121" t="str">
        <f t="shared" si="35"/>
        <v>28 - TW</v>
      </c>
      <c r="AO30" s="121" t="str">
        <f>IF('Cable Info'!N29="","",CONCATENATE('Cable Info'!N29," - ",'Cable Info'!O29))</f>
        <v>28 - TW</v>
      </c>
      <c r="AR30" s="121" t="str">
        <f t="shared" si="36"/>
        <v>28 - TW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TW</v>
      </c>
      <c r="AM31" s="121" t="str">
        <f t="shared" si="35"/>
        <v>29 - TW</v>
      </c>
      <c r="AO31" s="121" t="str">
        <f>IF('Cable Info'!N30="","",CONCATENATE('Cable Info'!N30," - ",'Cable Info'!O30))</f>
        <v>29 - TW</v>
      </c>
      <c r="AR31" s="121" t="str">
        <f t="shared" si="36"/>
        <v>29 - TW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TW</v>
      </c>
      <c r="AM32" s="121" t="str">
        <f t="shared" si="35"/>
        <v>30 - TW</v>
      </c>
      <c r="AO32" s="121" t="str">
        <f>IF('Cable Info'!N31="","",CONCATENATE('Cable Info'!N31," - ",'Cable Info'!O31))</f>
        <v>30 - TW</v>
      </c>
      <c r="AR32" s="121" t="str">
        <f t="shared" si="36"/>
        <v>30 - TW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TW</v>
      </c>
      <c r="AM33" s="121" t="str">
        <f t="shared" si="35"/>
        <v>31 - TW</v>
      </c>
      <c r="AO33" s="121" t="str">
        <f>IF('Cable Info'!N32="","",CONCATENATE('Cable Info'!N32," - ",'Cable Info'!O32))</f>
        <v>31 - TW</v>
      </c>
      <c r="AR33" s="121" t="str">
        <f t="shared" si="36"/>
        <v>31 - TW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TW</v>
      </c>
      <c r="AM34" s="121" t="str">
        <f t="shared" si="35"/>
        <v>32 - TW</v>
      </c>
      <c r="AO34" s="121" t="str">
        <f>IF('Cable Info'!N33="","",CONCATENATE('Cable Info'!N33," - ",'Cable Info'!O33))</f>
        <v>32 - TW</v>
      </c>
      <c r="AR34" s="121" t="str">
        <f t="shared" si="36"/>
        <v>32 - TW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TW</v>
      </c>
      <c r="AM35" s="121" t="str">
        <f t="shared" si="35"/>
        <v>33 - TW</v>
      </c>
      <c r="AO35" s="121" t="str">
        <f>IF('Cable Info'!N34="","",CONCATENATE('Cable Info'!N34," - ",'Cable Info'!O34))</f>
        <v>33 - TW</v>
      </c>
      <c r="AR35" s="121" t="str">
        <f t="shared" si="36"/>
        <v>33 - TW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TW</v>
      </c>
      <c r="AM36" s="121" t="str">
        <f t="shared" si="35"/>
        <v>34 - TW</v>
      </c>
      <c r="AO36" s="121" t="str">
        <f>IF('Cable Info'!N35="","",CONCATENATE('Cable Info'!N35," - ",'Cable Info'!O35))</f>
        <v>34 - TW</v>
      </c>
      <c r="AR36" s="121" t="str">
        <f t="shared" si="36"/>
        <v>34 - TW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TW</v>
      </c>
      <c r="AM37" s="121" t="str">
        <f t="shared" si="35"/>
        <v>35 - TW</v>
      </c>
      <c r="AO37" s="121" t="str">
        <f>IF('Cable Info'!N36="","",CONCATENATE('Cable Info'!N36," - ",'Cable Info'!O36))</f>
        <v>35 - TW</v>
      </c>
      <c r="AR37" s="121" t="str">
        <f t="shared" si="36"/>
        <v>35 - TW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TW</v>
      </c>
      <c r="AM38" s="121" t="str">
        <f t="shared" si="35"/>
        <v>36 - TW</v>
      </c>
      <c r="AO38" s="121" t="str">
        <f>IF('Cable Info'!N37="","",CONCATENATE('Cable Info'!N37," - ",'Cable Info'!O37))</f>
        <v>36 - TW</v>
      </c>
      <c r="AR38" s="121" t="str">
        <f t="shared" si="36"/>
        <v>36 - TW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TW</v>
      </c>
      <c r="AM39" s="121" t="str">
        <f t="shared" si="35"/>
        <v>37 - TW</v>
      </c>
      <c r="AO39" s="121" t="str">
        <f>IF('Cable Info'!N38="","",CONCATENATE('Cable Info'!N38," - ",'Cable Info'!O38))</f>
        <v>37 - TW</v>
      </c>
      <c r="AR39" s="121" t="str">
        <f t="shared" si="36"/>
        <v>37 - TW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TW</v>
      </c>
      <c r="AM40" s="121" t="str">
        <f t="shared" si="35"/>
        <v>38 - TW</v>
      </c>
      <c r="AO40" s="121" t="str">
        <f>IF('Cable Info'!N39="","",CONCATENATE('Cable Info'!N39," - ",'Cable Info'!O39))</f>
        <v>38 - TW</v>
      </c>
      <c r="AR40" s="121" t="str">
        <f t="shared" si="36"/>
        <v>38 - TW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TW</v>
      </c>
      <c r="AM41" s="121" t="str">
        <f t="shared" si="35"/>
        <v>39 - TW</v>
      </c>
      <c r="AO41" s="121" t="str">
        <f>IF('Cable Info'!N40="","",CONCATENATE('Cable Info'!N40," - ",'Cable Info'!O40))</f>
        <v>39 - TW</v>
      </c>
      <c r="AR41" s="121" t="str">
        <f t="shared" si="36"/>
        <v>39 - TW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TW</v>
      </c>
      <c r="AM42" s="121" t="str">
        <f t="shared" si="35"/>
        <v>40 - TW</v>
      </c>
      <c r="AO42" s="121" t="str">
        <f>IF('Cable Info'!N41="","",CONCATENATE('Cable Info'!N41," - ",'Cable Info'!O41))</f>
        <v>40 - TW</v>
      </c>
      <c r="AR42" s="121" t="str">
        <f t="shared" si="36"/>
        <v>40 - TW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TW</v>
      </c>
      <c r="AM43" s="121" t="str">
        <f t="shared" si="35"/>
        <v>41 - TW</v>
      </c>
      <c r="AO43" s="121" t="str">
        <f>IF('Cable Info'!N42="","",CONCATENATE('Cable Info'!N42," - ",'Cable Info'!O42))</f>
        <v>41 - TW</v>
      </c>
      <c r="AR43" s="121" t="str">
        <f t="shared" si="36"/>
        <v>41 - TW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TW</v>
      </c>
      <c r="AM44" s="121" t="str">
        <f t="shared" si="35"/>
        <v>42 - TW</v>
      </c>
      <c r="AO44" s="121" t="str">
        <f>IF('Cable Info'!N43="","",CONCATENATE('Cable Info'!N43," - ",'Cable Info'!O43))</f>
        <v>42 - TW</v>
      </c>
      <c r="AR44" s="121" t="str">
        <f t="shared" si="36"/>
        <v>42 - TW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TW</v>
      </c>
      <c r="AM45" s="121" t="str">
        <f t="shared" si="35"/>
        <v>43 - TW</v>
      </c>
      <c r="AO45" s="121" t="str">
        <f>IF('Cable Info'!N44="","",CONCATENATE('Cable Info'!N44," - ",'Cable Info'!O44))</f>
        <v>43 - TW</v>
      </c>
      <c r="AR45" s="121" t="str">
        <f t="shared" si="36"/>
        <v>43 - TW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TW</v>
      </c>
      <c r="AM46" s="121" t="str">
        <f t="shared" si="35"/>
        <v>44 - TW</v>
      </c>
      <c r="AO46" s="121" t="str">
        <f>IF('Cable Info'!N45="","",CONCATENATE('Cable Info'!N45," - ",'Cable Info'!O45))</f>
        <v>44 - TW</v>
      </c>
      <c r="AR46" s="121" t="str">
        <f t="shared" si="36"/>
        <v>44 - TW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TW</v>
      </c>
      <c r="AM47" s="121" t="str">
        <f t="shared" si="35"/>
        <v>45 - TW</v>
      </c>
      <c r="AO47" s="121" t="str">
        <f>IF('Cable Info'!N46="","",CONCATENATE('Cable Info'!N46," - ",'Cable Info'!O46))</f>
        <v>45 - TW</v>
      </c>
      <c r="AR47" s="121" t="str">
        <f t="shared" si="36"/>
        <v>45 - TW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TW</v>
      </c>
      <c r="AM48" s="121" t="str">
        <f t="shared" si="35"/>
        <v>46 - TW</v>
      </c>
      <c r="AO48" s="121" t="str">
        <f>IF('Cable Info'!N47="","",CONCATENATE('Cable Info'!N47," - ",'Cable Info'!O47))</f>
        <v>46 - TW</v>
      </c>
      <c r="AR48" s="121" t="str">
        <f t="shared" si="36"/>
        <v>46 - TW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TW</v>
      </c>
      <c r="AM49" s="121" t="str">
        <f t="shared" si="35"/>
        <v>47 - TW</v>
      </c>
      <c r="AO49" s="121" t="str">
        <f>IF('Cable Info'!N48="","",CONCATENATE('Cable Info'!N48," - ",'Cable Info'!O48))</f>
        <v>47 - TW</v>
      </c>
      <c r="AR49" s="121" t="str">
        <f t="shared" si="36"/>
        <v>47 - TW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TW</v>
      </c>
      <c r="AM50" s="121" t="str">
        <f t="shared" si="35"/>
        <v>48 - TW</v>
      </c>
      <c r="AO50" s="121" t="str">
        <f>IF('Cable Info'!N49="","",CONCATENATE('Cable Info'!N49," - ",'Cable Info'!O49))</f>
        <v>48 - TW</v>
      </c>
      <c r="AR50" s="121" t="str">
        <f t="shared" si="36"/>
        <v>48 - TW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>49 - TW</v>
      </c>
      <c r="AM51" s="121" t="str">
        <f t="shared" si="35"/>
        <v>49 - TW</v>
      </c>
      <c r="AO51" s="121" t="str">
        <f>IF('Cable Info'!N50="","",CONCATENATE('Cable Info'!N50," - ",'Cable Info'!O50))</f>
        <v>49 - TW</v>
      </c>
      <c r="AR51" s="121" t="str">
        <f t="shared" si="36"/>
        <v>49 - TW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>50 - TW</v>
      </c>
      <c r="AM52" s="121" t="str">
        <f t="shared" si="35"/>
        <v>50 - TW</v>
      </c>
      <c r="AO52" s="121" t="str">
        <f>IF('Cable Info'!N51="","",CONCATENATE('Cable Info'!N51," - ",'Cable Info'!O51))</f>
        <v>50 - TW</v>
      </c>
      <c r="AR52" s="121" t="str">
        <f t="shared" si="36"/>
        <v>50 - TW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>51 - TW</v>
      </c>
      <c r="AM53" s="121" t="str">
        <f t="shared" si="35"/>
        <v>51 - TW</v>
      </c>
      <c r="AO53" s="121" t="str">
        <f>IF('Cable Info'!N52="","",CONCATENATE('Cable Info'!N52," - ",'Cable Info'!O52))</f>
        <v>51 - TW</v>
      </c>
      <c r="AR53" s="121" t="str">
        <f t="shared" si="36"/>
        <v>51 - TW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>52 - TW</v>
      </c>
      <c r="AM54" s="121" t="str">
        <f t="shared" si="35"/>
        <v>52 - TW</v>
      </c>
      <c r="AO54" s="121" t="str">
        <f>IF('Cable Info'!N53="","",CONCATENATE('Cable Info'!N53," - ",'Cable Info'!O53))</f>
        <v>52 - TW</v>
      </c>
      <c r="AR54" s="121" t="str">
        <f t="shared" si="36"/>
        <v>52 - TW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>53 - TW</v>
      </c>
      <c r="AM55" s="121" t="str">
        <f t="shared" si="35"/>
        <v>53 - TW</v>
      </c>
      <c r="AO55" s="121" t="str">
        <f>IF('Cable Info'!N54="","",CONCATENATE('Cable Info'!N54," - ",'Cable Info'!O54))</f>
        <v>53 - TW</v>
      </c>
      <c r="AR55" s="121" t="str">
        <f t="shared" si="36"/>
        <v>53 - TW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>54 - TW</v>
      </c>
      <c r="AM56" s="121" t="str">
        <f t="shared" si="35"/>
        <v>54 - TW</v>
      </c>
      <c r="AO56" s="121" t="str">
        <f>IF('Cable Info'!N55="","",CONCATENATE('Cable Info'!N55," - ",'Cable Info'!O55))</f>
        <v>54 - TW</v>
      </c>
      <c r="AR56" s="121" t="str">
        <f t="shared" si="36"/>
        <v>54 - TW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>55 - TW</v>
      </c>
      <c r="AM57" s="121" t="str">
        <f t="shared" si="35"/>
        <v>55 - TW</v>
      </c>
      <c r="AO57" s="121" t="str">
        <f>IF('Cable Info'!N56="","",CONCATENATE('Cable Info'!N56," - ",'Cable Info'!O56))</f>
        <v>55 - TW</v>
      </c>
      <c r="AR57" s="121" t="str">
        <f t="shared" si="36"/>
        <v>55 - TW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>56 - TW</v>
      </c>
      <c r="AM58" s="121" t="str">
        <f t="shared" si="35"/>
        <v>56 - TW</v>
      </c>
      <c r="AO58" s="121" t="str">
        <f>IF('Cable Info'!N57="","",CONCATENATE('Cable Info'!N57," - ",'Cable Info'!O57))</f>
        <v>56 - TW</v>
      </c>
      <c r="AR58" s="121" t="str">
        <f t="shared" si="36"/>
        <v>56 - TW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>57 - TW</v>
      </c>
      <c r="AM59" s="121" t="str">
        <f t="shared" si="35"/>
        <v>57 - TW</v>
      </c>
      <c r="AO59" s="121" t="str">
        <f>IF('Cable Info'!N58="","",CONCATENATE('Cable Info'!N58," - ",'Cable Info'!O58))</f>
        <v>57 - TW</v>
      </c>
      <c r="AR59" s="121" t="str">
        <f t="shared" si="36"/>
        <v>57 - TW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>58 - TW</v>
      </c>
      <c r="AM60" s="121" t="str">
        <f t="shared" si="35"/>
        <v>58 - TW</v>
      </c>
      <c r="AO60" s="121" t="str">
        <f>IF('Cable Info'!N59="","",CONCATENATE('Cable Info'!N59," - ",'Cable Info'!O59))</f>
        <v>58 - TW</v>
      </c>
      <c r="AR60" s="121" t="str">
        <f t="shared" si="36"/>
        <v>58 - TW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>59 - TW</v>
      </c>
      <c r="AM61" s="121" t="str">
        <f t="shared" si="35"/>
        <v>59 - TW</v>
      </c>
      <c r="AO61" s="121" t="str">
        <f>IF('Cable Info'!N60="","",CONCATENATE('Cable Info'!N60," - ",'Cable Info'!O60))</f>
        <v>59 - TW</v>
      </c>
      <c r="AR61" s="121" t="str">
        <f t="shared" si="36"/>
        <v>59 - TW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>60 - TW</v>
      </c>
      <c r="AM62" s="121" t="str">
        <f t="shared" si="35"/>
        <v>60 - TW</v>
      </c>
      <c r="AO62" s="121" t="str">
        <f>IF('Cable Info'!N61="","",CONCATENATE('Cable Info'!N61," - ",'Cable Info'!O61))</f>
        <v>60 - TW</v>
      </c>
      <c r="AR62" s="121" t="str">
        <f t="shared" si="36"/>
        <v>60 - TW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>61 - TW</v>
      </c>
      <c r="AM63" s="121" t="str">
        <f t="shared" si="35"/>
        <v>61 - TW</v>
      </c>
      <c r="AO63" s="121" t="str">
        <f>IF('Cable Info'!N62="","",CONCATENATE('Cable Info'!N62," - ",'Cable Info'!O62))</f>
        <v>61 - TW</v>
      </c>
      <c r="AR63" s="121" t="str">
        <f t="shared" si="36"/>
        <v>61 - TW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>62 - TW</v>
      </c>
      <c r="AM64" s="121" t="str">
        <f t="shared" si="35"/>
        <v>62 - TW</v>
      </c>
      <c r="AO64" s="121" t="str">
        <f>IF('Cable Info'!N63="","",CONCATENATE('Cable Info'!N63," - ",'Cable Info'!O63))</f>
        <v>62 - TW</v>
      </c>
      <c r="AR64" s="121" t="str">
        <f t="shared" si="36"/>
        <v>62 - TW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>63 - TW</v>
      </c>
      <c r="AM65" s="121" t="str">
        <f t="shared" si="35"/>
        <v>63 - TW</v>
      </c>
      <c r="AO65" s="121" t="str">
        <f>IF('Cable Info'!N64="","",CONCATENATE('Cable Info'!N64," - ",'Cable Info'!O64))</f>
        <v>63 - TW</v>
      </c>
      <c r="AR65" s="121" t="str">
        <f t="shared" si="36"/>
        <v>63 - TW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>64 - TW</v>
      </c>
      <c r="AM66" s="121" t="str">
        <f t="shared" si="35"/>
        <v>64 - TW</v>
      </c>
      <c r="AO66" s="121" t="str">
        <f>IF('Cable Info'!N65="","",CONCATENATE('Cable Info'!N65," - ",'Cable Info'!O65))</f>
        <v>64 - TW</v>
      </c>
      <c r="AR66" s="121" t="str">
        <f t="shared" si="36"/>
        <v>64 - TW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>65 - TW</v>
      </c>
      <c r="AM67" s="121" t="str">
        <f t="shared" si="35"/>
        <v>65 - TW</v>
      </c>
      <c r="AO67" s="121" t="str">
        <f>IF('Cable Info'!N66="","",CONCATENATE('Cable Info'!N66," - ",'Cable Info'!O66))</f>
        <v>65 - TW</v>
      </c>
      <c r="AR67" s="121" t="str">
        <f t="shared" si="36"/>
        <v>65 - TW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>66 - TW</v>
      </c>
      <c r="AM68" s="121" t="str">
        <f t="shared" si="35"/>
        <v>66 - TW</v>
      </c>
      <c r="AO68" s="121" t="str">
        <f>IF('Cable Info'!N67="","",CONCATENATE('Cable Info'!N67," - ",'Cable Info'!O67))</f>
        <v>66 - TW</v>
      </c>
      <c r="AR68" s="121" t="str">
        <f t="shared" si="36"/>
        <v>66 - TW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>67 - TW</v>
      </c>
      <c r="AM69" s="121" t="str">
        <f t="shared" si="35"/>
        <v>67 - TW</v>
      </c>
      <c r="AO69" s="121" t="str">
        <f>IF('Cable Info'!N68="","",CONCATENATE('Cable Info'!N68," - ",'Cable Info'!O68))</f>
        <v>67 - TW</v>
      </c>
      <c r="AR69" s="121" t="str">
        <f t="shared" si="36"/>
        <v>67 - TW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>68 - TW</v>
      </c>
      <c r="AM70" s="121" t="str">
        <f t="shared" si="35"/>
        <v>68 - TW</v>
      </c>
      <c r="AO70" s="121" t="str">
        <f>IF('Cable Info'!N69="","",CONCATENATE('Cable Info'!N69," - ",'Cable Info'!O69))</f>
        <v>68 - TW</v>
      </c>
      <c r="AR70" s="121" t="str">
        <f t="shared" si="36"/>
        <v>68 - TW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>69 - TW</v>
      </c>
      <c r="AM71" s="121" t="str">
        <f t="shared" si="35"/>
        <v>69 - TW</v>
      </c>
      <c r="AO71" s="121" t="str">
        <f>IF('Cable Info'!N70="","",CONCATENATE('Cable Info'!N70," - ",'Cable Info'!O70))</f>
        <v>69 - TW</v>
      </c>
      <c r="AR71" s="121" t="str">
        <f t="shared" si="36"/>
        <v>69 - TW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>70 - TW</v>
      </c>
      <c r="AM72" s="121" t="str">
        <f t="shared" si="35"/>
        <v>70 - TW</v>
      </c>
      <c r="AO72" s="121" t="str">
        <f>IF('Cable Info'!N71="","",CONCATENATE('Cable Info'!N71," - ",'Cable Info'!O71))</f>
        <v>70 - TW</v>
      </c>
      <c r="AR72" s="121" t="str">
        <f t="shared" si="36"/>
        <v>70 - TW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>71 - TW</v>
      </c>
      <c r="AM73" s="121" t="str">
        <f t="shared" si="35"/>
        <v>71 - TW</v>
      </c>
      <c r="AO73" s="121" t="str">
        <f>IF('Cable Info'!N72="","",CONCATENATE('Cable Info'!N72," - ",'Cable Info'!O72))</f>
        <v>71 - TW</v>
      </c>
      <c r="AR73" s="121" t="str">
        <f t="shared" si="36"/>
        <v>71 - TW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>72 - TW</v>
      </c>
      <c r="AM74" s="121" t="str">
        <f t="shared" si="35"/>
        <v>72 - TW</v>
      </c>
      <c r="AO74" s="121" t="str">
        <f>IF('Cable Info'!N73="","",CONCATENATE('Cable Info'!N73," - ",'Cable Info'!O73))</f>
        <v>72 - TW</v>
      </c>
      <c r="AR74" s="121" t="str">
        <f t="shared" si="36"/>
        <v>72 - TW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>73 - TW</v>
      </c>
      <c r="AM75" s="121" t="str">
        <f t="shared" si="35"/>
        <v>73 - TW</v>
      </c>
      <c r="AO75" s="121" t="str">
        <f>IF('Cable Info'!N74="","",CONCATENATE('Cable Info'!N74," - ",'Cable Info'!O74))</f>
        <v>73 - TW</v>
      </c>
      <c r="AR75" s="121" t="str">
        <f t="shared" si="36"/>
        <v>73 - TW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>74 - TW</v>
      </c>
      <c r="AM76" s="121" t="str">
        <f t="shared" si="35"/>
        <v>74 - TW</v>
      </c>
      <c r="AO76" s="121" t="str">
        <f>IF('Cable Info'!N75="","",CONCATENATE('Cable Info'!N75," - ",'Cable Info'!O75))</f>
        <v>74 - TW</v>
      </c>
      <c r="AR76" s="121" t="str">
        <f t="shared" si="36"/>
        <v>74 - TW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>75 - TW</v>
      </c>
      <c r="AM77" s="121" t="str">
        <f t="shared" ref="AM77:AM140" si="47">IF(AK77="",AJ77,CONCATENATE(AJ77,"  &lt;=&gt; ",AK77," ",AL77))</f>
        <v>75 - TW</v>
      </c>
      <c r="AO77" s="121" t="str">
        <f>IF('Cable Info'!N76="","",CONCATENATE('Cable Info'!N76," - ",'Cable Info'!O76))</f>
        <v>75 - TW</v>
      </c>
      <c r="AR77" s="121" t="str">
        <f t="shared" ref="AR77:AR140" si="48">IF(AP77="",AO77,CONCATENATE(AO77,"  &lt;=&gt; ",AP77," ",AQ77))</f>
        <v>75 - TW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>76 - TW</v>
      </c>
      <c r="AM78" s="121" t="str">
        <f t="shared" si="47"/>
        <v>76 - TW</v>
      </c>
      <c r="AO78" s="121" t="str">
        <f>IF('Cable Info'!N77="","",CONCATENATE('Cable Info'!N77," - ",'Cable Info'!O77))</f>
        <v>76 - TW</v>
      </c>
      <c r="AR78" s="121" t="str">
        <f t="shared" si="48"/>
        <v>76 - TW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>77 - TW</v>
      </c>
      <c r="AM79" s="121" t="str">
        <f t="shared" si="47"/>
        <v>77 - TW</v>
      </c>
      <c r="AO79" s="121" t="str">
        <f>IF('Cable Info'!N78="","",CONCATENATE('Cable Info'!N78," - ",'Cable Info'!O78))</f>
        <v>77 - TW</v>
      </c>
      <c r="AR79" s="121" t="str">
        <f t="shared" si="48"/>
        <v>77 - TW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>78 - TW</v>
      </c>
      <c r="AM80" s="121" t="str">
        <f t="shared" si="47"/>
        <v>78 - TW</v>
      </c>
      <c r="AO80" s="121" t="str">
        <f>IF('Cable Info'!N79="","",CONCATENATE('Cable Info'!N79," - ",'Cable Info'!O79))</f>
        <v>78 - TW</v>
      </c>
      <c r="AR80" s="121" t="str">
        <f t="shared" si="48"/>
        <v>78 - TW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>79 - TW</v>
      </c>
      <c r="AM81" s="121" t="str">
        <f t="shared" si="47"/>
        <v>79 - TW</v>
      </c>
      <c r="AO81" s="121" t="str">
        <f>IF('Cable Info'!N80="","",CONCATENATE('Cable Info'!N80," - ",'Cable Info'!O80))</f>
        <v>79 - TW</v>
      </c>
      <c r="AR81" s="121" t="str">
        <f t="shared" si="48"/>
        <v>79 - TW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>80 - TW</v>
      </c>
      <c r="AM82" s="121" t="str">
        <f t="shared" si="47"/>
        <v>80 - TW</v>
      </c>
      <c r="AO82" s="121" t="str">
        <f>IF('Cable Info'!N81="","",CONCATENATE('Cable Info'!N81," - ",'Cable Info'!O81))</f>
        <v>80 - TW</v>
      </c>
      <c r="AR82" s="121" t="str">
        <f t="shared" si="48"/>
        <v>80 - TW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>81 - TW</v>
      </c>
      <c r="AM83" s="121" t="str">
        <f t="shared" si="47"/>
        <v>81 - TW</v>
      </c>
      <c r="AO83" s="121" t="str">
        <f>IF('Cable Info'!N82="","",CONCATENATE('Cable Info'!N82," - ",'Cable Info'!O82))</f>
        <v>81 - TW</v>
      </c>
      <c r="AR83" s="121" t="str">
        <f t="shared" si="48"/>
        <v>81 - TW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>82 - TW</v>
      </c>
      <c r="AM84" s="121" t="str">
        <f t="shared" si="47"/>
        <v>82 - TW</v>
      </c>
      <c r="AO84" s="121" t="str">
        <f>IF('Cable Info'!N83="","",CONCATENATE('Cable Info'!N83," - ",'Cable Info'!O83))</f>
        <v>82 - TW</v>
      </c>
      <c r="AR84" s="121" t="str">
        <f t="shared" si="48"/>
        <v>82 - TW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>83 - TW</v>
      </c>
      <c r="AM85" s="121" t="str">
        <f t="shared" si="47"/>
        <v>83 - TW</v>
      </c>
      <c r="AO85" s="121" t="str">
        <f>IF('Cable Info'!N84="","",CONCATENATE('Cable Info'!N84," - ",'Cable Info'!O84))</f>
        <v>83 - TW</v>
      </c>
      <c r="AR85" s="121" t="str">
        <f t="shared" si="48"/>
        <v>83 - TW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>84 - TW</v>
      </c>
      <c r="AM86" s="121" t="str">
        <f t="shared" si="47"/>
        <v>84 - TW</v>
      </c>
      <c r="AO86" s="121" t="str">
        <f>IF('Cable Info'!N85="","",CONCATENATE('Cable Info'!N85," - ",'Cable Info'!O85))</f>
        <v>84 - TW</v>
      </c>
      <c r="AR86" s="121" t="str">
        <f t="shared" si="48"/>
        <v>84 - TW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>85 - TW</v>
      </c>
      <c r="AM87" s="121" t="str">
        <f t="shared" si="47"/>
        <v>85 - TW</v>
      </c>
      <c r="AO87" s="121" t="str">
        <f>IF('Cable Info'!N86="","",CONCATENATE('Cable Info'!N86," - ",'Cable Info'!O86))</f>
        <v>85 - TW</v>
      </c>
      <c r="AR87" s="121" t="str">
        <f t="shared" si="48"/>
        <v>85 - TW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>86 - TW</v>
      </c>
      <c r="AM88" s="121" t="str">
        <f t="shared" si="47"/>
        <v>86 - TW</v>
      </c>
      <c r="AO88" s="121" t="str">
        <f>IF('Cable Info'!N87="","",CONCATENATE('Cable Info'!N87," - ",'Cable Info'!O87))</f>
        <v>86 - TW</v>
      </c>
      <c r="AR88" s="121" t="str">
        <f t="shared" si="48"/>
        <v>86 - TW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>87 - TW</v>
      </c>
      <c r="AM89" s="121" t="str">
        <f t="shared" si="47"/>
        <v>87 - TW</v>
      </c>
      <c r="AO89" s="121" t="str">
        <f>IF('Cable Info'!N88="","",CONCATENATE('Cable Info'!N88," - ",'Cable Info'!O88))</f>
        <v>87 - TW</v>
      </c>
      <c r="AR89" s="121" t="str">
        <f t="shared" si="48"/>
        <v>87 - TW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>88 - TW</v>
      </c>
      <c r="AM90" s="121" t="str">
        <f t="shared" si="47"/>
        <v>88 - TW</v>
      </c>
      <c r="AO90" s="121" t="str">
        <f>IF('Cable Info'!N89="","",CONCATENATE('Cable Info'!N89," - ",'Cable Info'!O89))</f>
        <v>88 - TW</v>
      </c>
      <c r="AR90" s="121" t="str">
        <f t="shared" si="48"/>
        <v>88 - TW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>89 - TW</v>
      </c>
      <c r="AM91" s="121" t="str">
        <f t="shared" si="47"/>
        <v>89 - TW</v>
      </c>
      <c r="AO91" s="121" t="str">
        <f>IF('Cable Info'!N90="","",CONCATENATE('Cable Info'!N90," - ",'Cable Info'!O90))</f>
        <v>89 - TW</v>
      </c>
      <c r="AR91" s="121" t="str">
        <f t="shared" si="48"/>
        <v>89 - TW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>90 - TW</v>
      </c>
      <c r="AM92" s="121" t="str">
        <f t="shared" si="47"/>
        <v>90 - TW</v>
      </c>
      <c r="AO92" s="121" t="str">
        <f>IF('Cable Info'!N91="","",CONCATENATE('Cable Info'!N91," - ",'Cable Info'!O91))</f>
        <v>90 - TW</v>
      </c>
      <c r="AR92" s="121" t="str">
        <f t="shared" si="48"/>
        <v>90 - TW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>91 - TW</v>
      </c>
      <c r="AM93" s="121" t="str">
        <f t="shared" si="47"/>
        <v>91 - TW</v>
      </c>
      <c r="AO93" s="121" t="str">
        <f>IF('Cable Info'!N92="","",CONCATENATE('Cable Info'!N92," - ",'Cable Info'!O92))</f>
        <v>91 - TW</v>
      </c>
      <c r="AR93" s="121" t="str">
        <f t="shared" si="48"/>
        <v>91 - TW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>92 - TW</v>
      </c>
      <c r="AM94" s="121" t="str">
        <f t="shared" si="47"/>
        <v>92 - TW</v>
      </c>
      <c r="AO94" s="121" t="str">
        <f>IF('Cable Info'!N93="","",CONCATENATE('Cable Info'!N93," - ",'Cable Info'!O93))</f>
        <v>92 - TW</v>
      </c>
      <c r="AR94" s="121" t="str">
        <f t="shared" si="48"/>
        <v>92 - TW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>93 - TW</v>
      </c>
      <c r="AM95" s="121" t="str">
        <f t="shared" si="47"/>
        <v>93 - TW</v>
      </c>
      <c r="AO95" s="121" t="str">
        <f>IF('Cable Info'!N94="","",CONCATENATE('Cable Info'!N94," - ",'Cable Info'!O94))</f>
        <v>93 - TW</v>
      </c>
      <c r="AR95" s="121" t="str">
        <f t="shared" si="48"/>
        <v>93 - TW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>94 - TW</v>
      </c>
      <c r="AM96" s="121" t="str">
        <f t="shared" si="47"/>
        <v>94 - TW</v>
      </c>
      <c r="AO96" s="121" t="str">
        <f>IF('Cable Info'!N95="","",CONCATENATE('Cable Info'!N95," - ",'Cable Info'!O95))</f>
        <v>94 - TW</v>
      </c>
      <c r="AR96" s="121" t="str">
        <f t="shared" si="48"/>
        <v>94 - TW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>95 - TW</v>
      </c>
      <c r="AM97" s="121" t="str">
        <f t="shared" si="47"/>
        <v>95 - TW</v>
      </c>
      <c r="AO97" s="121" t="str">
        <f>IF('Cable Info'!N96="","",CONCATENATE('Cable Info'!N96," - ",'Cable Info'!O96))</f>
        <v>95 - TW</v>
      </c>
      <c r="AR97" s="121" t="str">
        <f t="shared" si="48"/>
        <v>95 - TW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>96 - TW</v>
      </c>
      <c r="AM98" s="121" t="str">
        <f t="shared" si="47"/>
        <v>96 - TW</v>
      </c>
      <c r="AO98" s="121" t="str">
        <f>IF('Cable Info'!N97="","",CONCATENATE('Cable Info'!N97," - ",'Cable Info'!O97))</f>
        <v>96 - TW</v>
      </c>
      <c r="AR98" s="121" t="str">
        <f t="shared" si="48"/>
        <v>96 - TW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str">
        <f>IF('Cable Info'!L98="","",CONCATENATE('Cable Info'!L98," - ",'Cable Info'!M98))</f>
        <v>97 - TW</v>
      </c>
      <c r="AM99" s="121" t="str">
        <f t="shared" si="47"/>
        <v>97 - TW</v>
      </c>
      <c r="AO99" s="121" t="str">
        <f>IF('Cable Info'!N98="","",CONCATENATE('Cable Info'!N98," - ",'Cable Info'!O98))</f>
        <v>97 - TW</v>
      </c>
      <c r="AR99" s="121" t="str">
        <f t="shared" si="48"/>
        <v>97 - TW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str">
        <f>IF('Cable Info'!L99="","",CONCATENATE('Cable Info'!L99," - ",'Cable Info'!M99))</f>
        <v>98 - TW</v>
      </c>
      <c r="AM100" s="121" t="str">
        <f t="shared" si="47"/>
        <v>98 - TW</v>
      </c>
      <c r="AO100" s="121" t="str">
        <f>IF('Cable Info'!N99="","",CONCATENATE('Cable Info'!N99," - ",'Cable Info'!O99))</f>
        <v>98 - TW</v>
      </c>
      <c r="AR100" s="121" t="str">
        <f t="shared" si="48"/>
        <v>98 - TW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str">
        <f>IF('Cable Info'!L100="","",CONCATENATE('Cable Info'!L100," - ",'Cable Info'!M100))</f>
        <v>99 - TW</v>
      </c>
      <c r="AM101" s="121" t="str">
        <f t="shared" si="47"/>
        <v>99 - TW</v>
      </c>
      <c r="AO101" s="121" t="str">
        <f>IF('Cable Info'!N100="","",CONCATENATE('Cable Info'!N100," - ",'Cable Info'!O100))</f>
        <v>99 - TW</v>
      </c>
      <c r="AR101" s="121" t="str">
        <f t="shared" si="48"/>
        <v>99 - TW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str">
        <f>IF('Cable Info'!L101="","",CONCATENATE('Cable Info'!L101," - ",'Cable Info'!M101))</f>
        <v>100 - TW</v>
      </c>
      <c r="AM102" s="121" t="str">
        <f t="shared" si="47"/>
        <v>100 - TW</v>
      </c>
      <c r="AO102" s="121" t="str">
        <f>IF('Cable Info'!N101="","",CONCATENATE('Cable Info'!N101," - ",'Cable Info'!O101))</f>
        <v>100 - TW</v>
      </c>
      <c r="AR102" s="121" t="str">
        <f t="shared" si="48"/>
        <v>100 - TW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str">
        <f>IF('Cable Info'!L102="","",CONCATENATE('Cable Info'!L102," - ",'Cable Info'!M102))</f>
        <v>101 - TW</v>
      </c>
      <c r="AM103" s="121" t="str">
        <f t="shared" si="47"/>
        <v>101 - TW</v>
      </c>
      <c r="AO103" s="121" t="str">
        <f>IF('Cable Info'!N102="","",CONCATENATE('Cable Info'!N102," - ",'Cable Info'!O102))</f>
        <v>101 - TW</v>
      </c>
      <c r="AR103" s="121" t="str">
        <f t="shared" si="48"/>
        <v>101 - TW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str">
        <f>IF('Cable Info'!L103="","",CONCATENATE('Cable Info'!L103," - ",'Cable Info'!M103))</f>
        <v>102 - TW</v>
      </c>
      <c r="AM104" s="121" t="str">
        <f t="shared" si="47"/>
        <v>102 - TW</v>
      </c>
      <c r="AO104" s="121" t="str">
        <f>IF('Cable Info'!N103="","",CONCATENATE('Cable Info'!N103," - ",'Cable Info'!O103))</f>
        <v>102 - TW</v>
      </c>
      <c r="AR104" s="121" t="str">
        <f t="shared" si="48"/>
        <v>102 - TW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str">
        <f>IF('Cable Info'!L104="","",CONCATENATE('Cable Info'!L104," - ",'Cable Info'!M104))</f>
        <v>103 - TW</v>
      </c>
      <c r="AM105" s="121" t="str">
        <f t="shared" si="47"/>
        <v>103 - TW</v>
      </c>
      <c r="AO105" s="121" t="str">
        <f>IF('Cable Info'!N104="","",CONCATENATE('Cable Info'!N104," - ",'Cable Info'!O104))</f>
        <v>103 - TW</v>
      </c>
      <c r="AR105" s="121" t="str">
        <f t="shared" si="48"/>
        <v>103 - TW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str">
        <f>IF('Cable Info'!L105="","",CONCATENATE('Cable Info'!L105," - ",'Cable Info'!M105))</f>
        <v>104 - TW</v>
      </c>
      <c r="AM106" s="121" t="str">
        <f t="shared" si="47"/>
        <v>104 - TW</v>
      </c>
      <c r="AO106" s="121" t="str">
        <f>IF('Cable Info'!N105="","",CONCATENATE('Cable Info'!N105," - ",'Cable Info'!O105))</f>
        <v>104 - TW</v>
      </c>
      <c r="AR106" s="121" t="str">
        <f t="shared" si="48"/>
        <v>104 - TW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str">
        <f>IF('Cable Info'!L106="","",CONCATENATE('Cable Info'!L106," - ",'Cable Info'!M106))</f>
        <v>105 - TW</v>
      </c>
      <c r="AM107" s="121" t="str">
        <f t="shared" si="47"/>
        <v>105 - TW</v>
      </c>
      <c r="AO107" s="121" t="str">
        <f>IF('Cable Info'!N106="","",CONCATENATE('Cable Info'!N106," - ",'Cable Info'!O106))</f>
        <v>105 - TW</v>
      </c>
      <c r="AR107" s="121" t="str">
        <f t="shared" si="48"/>
        <v>105 - TW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str">
        <f>IF('Cable Info'!L107="","",CONCATENATE('Cable Info'!L107," - ",'Cable Info'!M107))</f>
        <v>106 - TW</v>
      </c>
      <c r="AM108" s="121" t="str">
        <f t="shared" si="47"/>
        <v>106 - TW</v>
      </c>
      <c r="AO108" s="121" t="str">
        <f>IF('Cable Info'!N107="","",CONCATENATE('Cable Info'!N107," - ",'Cable Info'!O107))</f>
        <v>106 - TW</v>
      </c>
      <c r="AR108" s="121" t="str">
        <f t="shared" si="48"/>
        <v>106 - TW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str">
        <f>IF('Cable Info'!L108="","",CONCATENATE('Cable Info'!L108," - ",'Cable Info'!M108))</f>
        <v>107 - TW</v>
      </c>
      <c r="AM109" s="121" t="str">
        <f t="shared" si="47"/>
        <v>107 - TW</v>
      </c>
      <c r="AO109" s="121" t="str">
        <f>IF('Cable Info'!N108="","",CONCATENATE('Cable Info'!N108," - ",'Cable Info'!O108))</f>
        <v>107 - TW</v>
      </c>
      <c r="AR109" s="121" t="str">
        <f t="shared" si="48"/>
        <v>107 - TW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str">
        <f>IF('Cable Info'!L109="","",CONCATENATE('Cable Info'!L109," - ",'Cable Info'!M109))</f>
        <v>108 - TW</v>
      </c>
      <c r="AM110" s="121" t="str">
        <f t="shared" si="47"/>
        <v>108 - TW</v>
      </c>
      <c r="AO110" s="121" t="str">
        <f>IF('Cable Info'!N109="","",CONCATENATE('Cable Info'!N109," - ",'Cable Info'!O109))</f>
        <v>108 - TW</v>
      </c>
      <c r="AR110" s="121" t="str">
        <f t="shared" si="48"/>
        <v>108 - TW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str">
        <f>IF('Cable Info'!L110="","",CONCATENATE('Cable Info'!L110," - ",'Cable Info'!M110))</f>
        <v>109 - TW</v>
      </c>
      <c r="AM111" s="121" t="str">
        <f t="shared" si="47"/>
        <v>109 - TW</v>
      </c>
      <c r="AO111" s="121" t="str">
        <f>IF('Cable Info'!N110="","",CONCATENATE('Cable Info'!N110," - ",'Cable Info'!O110))</f>
        <v>109 - TW</v>
      </c>
      <c r="AR111" s="121" t="str">
        <f t="shared" si="48"/>
        <v>109 - TW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str">
        <f>IF('Cable Info'!L111="","",CONCATENATE('Cable Info'!L111," - ",'Cable Info'!M111))</f>
        <v>110 - TW</v>
      </c>
      <c r="AM112" s="121" t="str">
        <f t="shared" si="47"/>
        <v>110 - TW</v>
      </c>
      <c r="AO112" s="121" t="str">
        <f>IF('Cable Info'!N111="","",CONCATENATE('Cable Info'!N111," - ",'Cable Info'!O111))</f>
        <v>110 - TW</v>
      </c>
      <c r="AR112" s="121" t="str">
        <f t="shared" si="48"/>
        <v>110 - TW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str">
        <f>IF('Cable Info'!L112="","",CONCATENATE('Cable Info'!L112," - ",'Cable Info'!M112))</f>
        <v>111 - TW</v>
      </c>
      <c r="AM113" s="121" t="str">
        <f t="shared" si="47"/>
        <v>111 - TW</v>
      </c>
      <c r="AO113" s="121" t="str">
        <f>IF('Cable Info'!N112="","",CONCATENATE('Cable Info'!N112," - ",'Cable Info'!O112))</f>
        <v>111 - TW</v>
      </c>
      <c r="AR113" s="121" t="str">
        <f t="shared" si="48"/>
        <v>111 - TW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str">
        <f>IF('Cable Info'!L113="","",CONCATENATE('Cable Info'!L113," - ",'Cable Info'!M113))</f>
        <v>112 - TW</v>
      </c>
      <c r="AM114" s="121" t="str">
        <f t="shared" si="47"/>
        <v>112 - TW</v>
      </c>
      <c r="AO114" s="121" t="str">
        <f>IF('Cable Info'!N113="","",CONCATENATE('Cable Info'!N113," - ",'Cable Info'!O113))</f>
        <v>112 - TW</v>
      </c>
      <c r="AR114" s="121" t="str">
        <f t="shared" si="48"/>
        <v>112 - TW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str">
        <f>IF('Cable Info'!L114="","",CONCATENATE('Cable Info'!L114," - ",'Cable Info'!M114))</f>
        <v>113 - TW</v>
      </c>
      <c r="AM115" s="121" t="str">
        <f t="shared" si="47"/>
        <v>113 - TW</v>
      </c>
      <c r="AO115" s="121" t="str">
        <f>IF('Cable Info'!N114="","",CONCATENATE('Cable Info'!N114," - ",'Cable Info'!O114))</f>
        <v>113 - TW</v>
      </c>
      <c r="AR115" s="121" t="str">
        <f t="shared" si="48"/>
        <v>113 - TW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str">
        <f>IF('Cable Info'!L115="","",CONCATENATE('Cable Info'!L115," - ",'Cable Info'!M115))</f>
        <v>114 - TW</v>
      </c>
      <c r="AM116" s="121" t="str">
        <f t="shared" si="47"/>
        <v>114 - TW</v>
      </c>
      <c r="AO116" s="121" t="str">
        <f>IF('Cable Info'!N115="","",CONCATENATE('Cable Info'!N115," - ",'Cable Info'!O115))</f>
        <v>114 - TW</v>
      </c>
      <c r="AR116" s="121" t="str">
        <f t="shared" si="48"/>
        <v>114 - TW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str">
        <f>IF('Cable Info'!L116="","",CONCATENATE('Cable Info'!L116," - ",'Cable Info'!M116))</f>
        <v>115 - TW</v>
      </c>
      <c r="AM117" s="121" t="str">
        <f t="shared" si="47"/>
        <v>115 - TW</v>
      </c>
      <c r="AO117" s="121" t="str">
        <f>IF('Cable Info'!N116="","",CONCATENATE('Cable Info'!N116," - ",'Cable Info'!O116))</f>
        <v>115 - TW</v>
      </c>
      <c r="AR117" s="121" t="str">
        <f t="shared" si="48"/>
        <v>115 - TW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str">
        <f>IF('Cable Info'!L117="","",CONCATENATE('Cable Info'!L117," - ",'Cable Info'!M117))</f>
        <v>116 - TW</v>
      </c>
      <c r="AM118" s="121" t="str">
        <f t="shared" si="47"/>
        <v>116 - TW</v>
      </c>
      <c r="AO118" s="121" t="str">
        <f>IF('Cable Info'!N117="","",CONCATENATE('Cable Info'!N117," - ",'Cable Info'!O117))</f>
        <v>116 - TW</v>
      </c>
      <c r="AR118" s="121" t="str">
        <f t="shared" si="48"/>
        <v>116 - TW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str">
        <f>IF('Cable Info'!L118="","",CONCATENATE('Cable Info'!L118," - ",'Cable Info'!M118))</f>
        <v>117 - TW</v>
      </c>
      <c r="AM119" s="121" t="str">
        <f t="shared" si="47"/>
        <v>117 - TW</v>
      </c>
      <c r="AO119" s="121" t="str">
        <f>IF('Cable Info'!N118="","",CONCATENATE('Cable Info'!N118," - ",'Cable Info'!O118))</f>
        <v>117 - TW</v>
      </c>
      <c r="AR119" s="121" t="str">
        <f t="shared" si="48"/>
        <v>117 - TW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str">
        <f>IF('Cable Info'!L119="","",CONCATENATE('Cable Info'!L119," - ",'Cable Info'!M119))</f>
        <v>118 - TW</v>
      </c>
      <c r="AM120" s="121" t="str">
        <f t="shared" si="47"/>
        <v>118 - TW</v>
      </c>
      <c r="AO120" s="121" t="str">
        <f>IF('Cable Info'!N119="","",CONCATENATE('Cable Info'!N119," - ",'Cable Info'!O119))</f>
        <v>118 - TW</v>
      </c>
      <c r="AR120" s="121" t="str">
        <f t="shared" si="48"/>
        <v>118 - TW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str">
        <f>IF('Cable Info'!L120="","",CONCATENATE('Cable Info'!L120," - ",'Cable Info'!M120))</f>
        <v>119 - TW</v>
      </c>
      <c r="AM121" s="121" t="str">
        <f t="shared" si="47"/>
        <v>119 - TW</v>
      </c>
      <c r="AO121" s="121" t="str">
        <f>IF('Cable Info'!N120="","",CONCATENATE('Cable Info'!N120," - ",'Cable Info'!O120))</f>
        <v>119 - TW</v>
      </c>
      <c r="AR121" s="121" t="str">
        <f t="shared" si="48"/>
        <v>119 - TW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str">
        <f>IF('Cable Info'!L121="","",CONCATENATE('Cable Info'!L121," - ",'Cable Info'!M121))</f>
        <v>120 - TW</v>
      </c>
      <c r="AM122" s="121" t="str">
        <f t="shared" si="47"/>
        <v>120 - TW</v>
      </c>
      <c r="AO122" s="121" t="str">
        <f>IF('Cable Info'!N121="","",CONCATENATE('Cable Info'!N121," - ",'Cable Info'!O121))</f>
        <v>120 - TW</v>
      </c>
      <c r="AR122" s="121" t="str">
        <f t="shared" si="48"/>
        <v>120 - TW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str">
        <f>IF('Cable Info'!L122="","",CONCATENATE('Cable Info'!L122," - ",'Cable Info'!M122))</f>
        <v>121 - TW</v>
      </c>
      <c r="AM123" s="121" t="str">
        <f t="shared" si="47"/>
        <v>121 - TW</v>
      </c>
      <c r="AO123" s="121" t="str">
        <f>IF('Cable Info'!N122="","",CONCATENATE('Cable Info'!N122," - ",'Cable Info'!O122))</f>
        <v>121 - TW</v>
      </c>
      <c r="AR123" s="121" t="str">
        <f t="shared" si="48"/>
        <v>121 - TW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str">
        <f>IF('Cable Info'!L123="","",CONCATENATE('Cable Info'!L123," - ",'Cable Info'!M123))</f>
        <v>122 - TW</v>
      </c>
      <c r="AM124" s="121" t="str">
        <f t="shared" si="47"/>
        <v>122 - TW</v>
      </c>
      <c r="AO124" s="121" t="str">
        <f>IF('Cable Info'!N123="","",CONCATENATE('Cable Info'!N123," - ",'Cable Info'!O123))</f>
        <v>122 - TW</v>
      </c>
      <c r="AR124" s="121" t="str">
        <f t="shared" si="48"/>
        <v>122 - TW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str">
        <f>IF('Cable Info'!L124="","",CONCATENATE('Cable Info'!L124," - ",'Cable Info'!M124))</f>
        <v>123 - TW</v>
      </c>
      <c r="AM125" s="121" t="str">
        <f t="shared" si="47"/>
        <v>123 - TW</v>
      </c>
      <c r="AO125" s="121" t="str">
        <f>IF('Cable Info'!N124="","",CONCATENATE('Cable Info'!N124," - ",'Cable Info'!O124))</f>
        <v>123 - TW</v>
      </c>
      <c r="AR125" s="121" t="str">
        <f t="shared" si="48"/>
        <v>123 - TW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str">
        <f>IF('Cable Info'!L125="","",CONCATENATE('Cable Info'!L125," - ",'Cable Info'!M125))</f>
        <v>124 - TW</v>
      </c>
      <c r="AM126" s="121" t="str">
        <f t="shared" si="47"/>
        <v>124 - TW</v>
      </c>
      <c r="AO126" s="121" t="str">
        <f>IF('Cable Info'!N125="","",CONCATENATE('Cable Info'!N125," - ",'Cable Info'!O125))</f>
        <v>124 - TW</v>
      </c>
      <c r="AR126" s="121" t="str">
        <f t="shared" si="48"/>
        <v>124 - TW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str">
        <f>IF('Cable Info'!L126="","",CONCATENATE('Cable Info'!L126," - ",'Cable Info'!M126))</f>
        <v>125 - TW</v>
      </c>
      <c r="AM127" s="121" t="str">
        <f t="shared" si="47"/>
        <v>125 - TW</v>
      </c>
      <c r="AO127" s="121" t="str">
        <f>IF('Cable Info'!N126="","",CONCATENATE('Cable Info'!N126," - ",'Cable Info'!O126))</f>
        <v>125 - TW</v>
      </c>
      <c r="AR127" s="121" t="str">
        <f t="shared" si="48"/>
        <v>125 - TW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str">
        <f>IF('Cable Info'!L127="","",CONCATENATE('Cable Info'!L127," - ",'Cable Info'!M127))</f>
        <v>126 - TW</v>
      </c>
      <c r="AM128" s="121" t="str">
        <f t="shared" si="47"/>
        <v>126 - TW</v>
      </c>
      <c r="AO128" s="121" t="str">
        <f>IF('Cable Info'!N127="","",CONCATENATE('Cable Info'!N127," - ",'Cable Info'!O127))</f>
        <v>126 - TW</v>
      </c>
      <c r="AR128" s="121" t="str">
        <f t="shared" si="48"/>
        <v>126 - TW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str">
        <f>IF('Cable Info'!L128="","",CONCATENATE('Cable Info'!L128," - ",'Cable Info'!M128))</f>
        <v>127 - TW</v>
      </c>
      <c r="AM129" s="121" t="str">
        <f t="shared" si="47"/>
        <v>127 - TW</v>
      </c>
      <c r="AO129" s="121" t="str">
        <f>IF('Cable Info'!N128="","",CONCATENATE('Cable Info'!N128," - ",'Cable Info'!O128))</f>
        <v>127 - TW</v>
      </c>
      <c r="AR129" s="121" t="str">
        <f t="shared" si="48"/>
        <v>127 - TW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str">
        <f>IF('Cable Info'!L129="","",CONCATENATE('Cable Info'!L129," - ",'Cable Info'!M129))</f>
        <v>128 - TW</v>
      </c>
      <c r="AM130" s="121" t="str">
        <f t="shared" si="47"/>
        <v>128 - TW</v>
      </c>
      <c r="AO130" s="121" t="str">
        <f>IF('Cable Info'!N129="","",CONCATENATE('Cable Info'!N129," - ",'Cable Info'!O129))</f>
        <v>128 - TW</v>
      </c>
      <c r="AR130" s="121" t="str">
        <f t="shared" si="48"/>
        <v>128 - TW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str">
        <f>IF('Cable Info'!L130="","",CONCATENATE('Cable Info'!L130," - ",'Cable Info'!M130))</f>
        <v>129 - TW</v>
      </c>
      <c r="AM131" s="121" t="str">
        <f t="shared" si="47"/>
        <v>129 - TW</v>
      </c>
      <c r="AO131" s="121" t="str">
        <f>IF('Cable Info'!N130="","",CONCATENATE('Cable Info'!N130," - ",'Cable Info'!O130))</f>
        <v>129 - TW</v>
      </c>
      <c r="AR131" s="121" t="str">
        <f t="shared" si="48"/>
        <v>129 - TW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str">
        <f>IF('Cable Info'!L131="","",CONCATENATE('Cable Info'!L131," - ",'Cable Info'!M131))</f>
        <v>130 - TW</v>
      </c>
      <c r="AM132" s="121" t="str">
        <f t="shared" si="47"/>
        <v>130 - TW</v>
      </c>
      <c r="AO132" s="121" t="str">
        <f>IF('Cable Info'!N131="","",CONCATENATE('Cable Info'!N131," - ",'Cable Info'!O131))</f>
        <v>130 - TW</v>
      </c>
      <c r="AR132" s="121" t="str">
        <f t="shared" si="48"/>
        <v>130 - TW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str">
        <f>IF('Cable Info'!L132="","",CONCATENATE('Cable Info'!L132," - ",'Cable Info'!M132))</f>
        <v>131 - TW</v>
      </c>
      <c r="AM133" s="121" t="str">
        <f t="shared" si="47"/>
        <v>131 - TW</v>
      </c>
      <c r="AO133" s="121" t="str">
        <f>IF('Cable Info'!N132="","",CONCATENATE('Cable Info'!N132," - ",'Cable Info'!O132))</f>
        <v>131 - TW</v>
      </c>
      <c r="AR133" s="121" t="str">
        <f t="shared" si="48"/>
        <v>131 - TW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str">
        <f>IF('Cable Info'!L133="","",CONCATENATE('Cable Info'!L133," - ",'Cable Info'!M133))</f>
        <v>132 - TW</v>
      </c>
      <c r="AM134" s="121" t="str">
        <f t="shared" si="47"/>
        <v>132 - TW</v>
      </c>
      <c r="AO134" s="121" t="str">
        <f>IF('Cable Info'!N133="","",CONCATENATE('Cable Info'!N133," - ",'Cable Info'!O133))</f>
        <v>132 - TW</v>
      </c>
      <c r="AR134" s="121" t="str">
        <f t="shared" si="48"/>
        <v>132 - TW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str">
        <f>IF('Cable Info'!L134="","",CONCATENATE('Cable Info'!L134," - ",'Cable Info'!M134))</f>
        <v>133 - TW</v>
      </c>
      <c r="AM135" s="121" t="str">
        <f t="shared" si="47"/>
        <v>133 - TW</v>
      </c>
      <c r="AO135" s="121" t="str">
        <f>IF('Cable Info'!N134="","",CONCATENATE('Cable Info'!N134," - ",'Cable Info'!O134))</f>
        <v>133 - TW</v>
      </c>
      <c r="AR135" s="121" t="str">
        <f t="shared" si="48"/>
        <v>133 - TW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str">
        <f>IF('Cable Info'!L135="","",CONCATENATE('Cable Info'!L135," - ",'Cable Info'!M135))</f>
        <v>134 - TW</v>
      </c>
      <c r="AM136" s="121" t="str">
        <f t="shared" si="47"/>
        <v>134 - TW</v>
      </c>
      <c r="AO136" s="121" t="str">
        <f>IF('Cable Info'!N135="","",CONCATENATE('Cable Info'!N135," - ",'Cable Info'!O135))</f>
        <v>134 - TW</v>
      </c>
      <c r="AR136" s="121" t="str">
        <f t="shared" si="48"/>
        <v>134 - TW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str">
        <f>IF('Cable Info'!L136="","",CONCATENATE('Cable Info'!L136," - ",'Cable Info'!M136))</f>
        <v>135 - TW</v>
      </c>
      <c r="AM137" s="121" t="str">
        <f t="shared" si="47"/>
        <v>135 - TW</v>
      </c>
      <c r="AO137" s="121" t="str">
        <f>IF('Cable Info'!N136="","",CONCATENATE('Cable Info'!N136," - ",'Cable Info'!O136))</f>
        <v>135 - TW</v>
      </c>
      <c r="AR137" s="121" t="str">
        <f t="shared" si="48"/>
        <v>135 - TW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str">
        <f>IF('Cable Info'!L137="","",CONCATENATE('Cable Info'!L137," - ",'Cable Info'!M137))</f>
        <v>136 - TW</v>
      </c>
      <c r="AM138" s="121" t="str">
        <f t="shared" si="47"/>
        <v>136 - TW</v>
      </c>
      <c r="AO138" s="121" t="str">
        <f>IF('Cable Info'!N137="","",CONCATENATE('Cable Info'!N137," - ",'Cable Info'!O137))</f>
        <v>136 - TW</v>
      </c>
      <c r="AR138" s="121" t="str">
        <f t="shared" si="48"/>
        <v>136 - TW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str">
        <f>IF('Cable Info'!L138="","",CONCATENATE('Cable Info'!L138," - ",'Cable Info'!M138))</f>
        <v>137 - TW</v>
      </c>
      <c r="AM139" s="121" t="str">
        <f t="shared" si="47"/>
        <v>137 - TW</v>
      </c>
      <c r="AO139" s="121" t="str">
        <f>IF('Cable Info'!N138="","",CONCATENATE('Cable Info'!N138," - ",'Cable Info'!O138))</f>
        <v>137 - TW</v>
      </c>
      <c r="AR139" s="121" t="str">
        <f t="shared" si="48"/>
        <v>137 - TW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str">
        <f>IF('Cable Info'!L139="","",CONCATENATE('Cable Info'!L139," - ",'Cable Info'!M139))</f>
        <v>138 - TW</v>
      </c>
      <c r="AM140" s="121" t="str">
        <f t="shared" si="47"/>
        <v>138 - TW</v>
      </c>
      <c r="AO140" s="121" t="str">
        <f>IF('Cable Info'!N139="","",CONCATENATE('Cable Info'!N139," - ",'Cable Info'!O139))</f>
        <v>138 - TW</v>
      </c>
      <c r="AR140" s="121" t="str">
        <f t="shared" si="48"/>
        <v>138 - TW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str">
        <f>IF('Cable Info'!L140="","",CONCATENATE('Cable Info'!L140," - ",'Cable Info'!M140))</f>
        <v>139 - TW</v>
      </c>
      <c r="AM141" s="121" t="str">
        <f t="shared" ref="AM141:AM204" si="59">IF(AK141="",AJ141,CONCATENATE(AJ141,"  &lt;=&gt; ",AK141," ",AL141))</f>
        <v>139 - TW</v>
      </c>
      <c r="AO141" s="121" t="str">
        <f>IF('Cable Info'!N140="","",CONCATENATE('Cable Info'!N140," - ",'Cable Info'!O140))</f>
        <v>139 - TW</v>
      </c>
      <c r="AR141" s="121" t="str">
        <f t="shared" ref="AR141:AR204" si="60">IF(AP141="",AO141,CONCATENATE(AO141,"  &lt;=&gt; ",AP141," ",AQ141))</f>
        <v>139 - TW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str">
        <f>IF('Cable Info'!L141="","",CONCATENATE('Cable Info'!L141," - ",'Cable Info'!M141))</f>
        <v>140 - TW</v>
      </c>
      <c r="AM142" s="121" t="str">
        <f t="shared" si="59"/>
        <v>140 - TW</v>
      </c>
      <c r="AO142" s="121" t="str">
        <f>IF('Cable Info'!N141="","",CONCATENATE('Cable Info'!N141," - ",'Cable Info'!O141))</f>
        <v>140 - TW</v>
      </c>
      <c r="AR142" s="121" t="str">
        <f t="shared" si="60"/>
        <v>140 - TW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str">
        <f>IF('Cable Info'!L142="","",CONCATENATE('Cable Info'!L142," - ",'Cable Info'!M142))</f>
        <v>141 - TW</v>
      </c>
      <c r="AM143" s="121" t="str">
        <f t="shared" si="59"/>
        <v>141 - TW</v>
      </c>
      <c r="AO143" s="121" t="str">
        <f>IF('Cable Info'!N142="","",CONCATENATE('Cable Info'!N142," - ",'Cable Info'!O142))</f>
        <v>141 - TW</v>
      </c>
      <c r="AR143" s="121" t="str">
        <f t="shared" si="60"/>
        <v>141 - TW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str">
        <f>IF('Cable Info'!L143="","",CONCATENATE('Cable Info'!L143," - ",'Cable Info'!M143))</f>
        <v>142 - TW</v>
      </c>
      <c r="AM144" s="121" t="str">
        <f t="shared" si="59"/>
        <v>142 - TW</v>
      </c>
      <c r="AO144" s="121" t="str">
        <f>IF('Cable Info'!N143="","",CONCATENATE('Cable Info'!N143," - ",'Cable Info'!O143))</f>
        <v>142 - TW</v>
      </c>
      <c r="AR144" s="121" t="str">
        <f t="shared" si="60"/>
        <v>142 - TW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str">
        <f>IF('Cable Info'!L144="","",CONCATENATE('Cable Info'!L144," - ",'Cable Info'!M144))</f>
        <v>143 - TW</v>
      </c>
      <c r="AM145" s="121" t="str">
        <f t="shared" si="59"/>
        <v>143 - TW</v>
      </c>
      <c r="AO145" s="121" t="str">
        <f>IF('Cable Info'!N144="","",CONCATENATE('Cable Info'!N144," - ",'Cable Info'!O144))</f>
        <v>143 - TW</v>
      </c>
      <c r="AR145" s="121" t="str">
        <f t="shared" si="60"/>
        <v>143 - TW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str">
        <f>IF('Cable Info'!L145="","",CONCATENATE('Cable Info'!L145," - ",'Cable Info'!M145))</f>
        <v>144 - TW</v>
      </c>
      <c r="AM146" s="121" t="str">
        <f t="shared" si="59"/>
        <v>144 - TW</v>
      </c>
      <c r="AO146" s="121" t="str">
        <f>IF('Cable Info'!N145="","",CONCATENATE('Cable Info'!N145," - ",'Cable Info'!O145))</f>
        <v>144 - TW</v>
      </c>
      <c r="AR146" s="121" t="str">
        <f t="shared" si="60"/>
        <v>144 - TW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str">
        <f>IF('Cable Info'!L146="","",CONCATENATE('Cable Info'!L146," - ",'Cable Info'!M146))</f>
        <v>145 - TW</v>
      </c>
      <c r="AM147" s="121" t="str">
        <f t="shared" si="59"/>
        <v>145 - TW</v>
      </c>
      <c r="AO147" s="121" t="str">
        <f>IF('Cable Info'!N146="","",CONCATENATE('Cable Info'!N146," - ",'Cable Info'!O146))</f>
        <v>145 - TW</v>
      </c>
      <c r="AR147" s="121" t="str">
        <f t="shared" si="60"/>
        <v>145 - TW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str">
        <f>IF('Cable Info'!L147="","",CONCATENATE('Cable Info'!L147," - ",'Cable Info'!M147))</f>
        <v>146 - TW</v>
      </c>
      <c r="AM148" s="121" t="str">
        <f t="shared" si="59"/>
        <v>146 - TW</v>
      </c>
      <c r="AO148" s="121" t="str">
        <f>IF('Cable Info'!N147="","",CONCATENATE('Cable Info'!N147," - ",'Cable Info'!O147))</f>
        <v>146 - TW</v>
      </c>
      <c r="AR148" s="121" t="str">
        <f t="shared" si="60"/>
        <v>146 - TW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str">
        <f>IF('Cable Info'!L148="","",CONCATENATE('Cable Info'!L148," - ",'Cable Info'!M148))</f>
        <v>147 - TW</v>
      </c>
      <c r="AM149" s="121" t="str">
        <f t="shared" si="59"/>
        <v>147 - TW</v>
      </c>
      <c r="AO149" s="121" t="str">
        <f>IF('Cable Info'!N148="","",CONCATENATE('Cable Info'!N148," - ",'Cable Info'!O148))</f>
        <v>147 - TW</v>
      </c>
      <c r="AR149" s="121" t="str">
        <f t="shared" si="60"/>
        <v>147 - TW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str">
        <f>IF('Cable Info'!L149="","",CONCATENATE('Cable Info'!L149," - ",'Cable Info'!M149))</f>
        <v>148 - TW</v>
      </c>
      <c r="AM150" s="121" t="str">
        <f t="shared" si="59"/>
        <v>148 - TW</v>
      </c>
      <c r="AO150" s="121" t="str">
        <f>IF('Cable Info'!N149="","",CONCATENATE('Cable Info'!N149," - ",'Cable Info'!O149))</f>
        <v>148 - TW</v>
      </c>
      <c r="AR150" s="121" t="str">
        <f t="shared" si="60"/>
        <v>148 - TW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str">
        <f>IF('Cable Info'!L150="","",CONCATENATE('Cable Info'!L150," - ",'Cable Info'!M150))</f>
        <v>149 - TW</v>
      </c>
      <c r="AM151" s="121" t="str">
        <f t="shared" si="59"/>
        <v>149 - TW</v>
      </c>
      <c r="AO151" s="121" t="str">
        <f>IF('Cable Info'!N150="","",CONCATENATE('Cable Info'!N150," - ",'Cable Info'!O150))</f>
        <v>149 - TW</v>
      </c>
      <c r="AR151" s="121" t="str">
        <f t="shared" si="60"/>
        <v>149 - TW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str">
        <f>IF('Cable Info'!L151="","",CONCATENATE('Cable Info'!L151," - ",'Cable Info'!M151))</f>
        <v>150 - TW</v>
      </c>
      <c r="AM152" s="121" t="str">
        <f t="shared" si="59"/>
        <v>150 - TW</v>
      </c>
      <c r="AO152" s="121" t="str">
        <f>IF('Cable Info'!N151="","",CONCATENATE('Cable Info'!N151," - ",'Cable Info'!O151))</f>
        <v>150 - TW</v>
      </c>
      <c r="AR152" s="121" t="str">
        <f t="shared" si="60"/>
        <v>150 - TW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str">
        <f>IF('Cable Info'!L152="","",CONCATENATE('Cable Info'!L152," - ",'Cable Info'!M152))</f>
        <v>151 - TW</v>
      </c>
      <c r="AM153" s="121" t="str">
        <f t="shared" si="59"/>
        <v>151 - TW</v>
      </c>
      <c r="AO153" s="121" t="str">
        <f>IF('Cable Info'!N152="","",CONCATENATE('Cable Info'!N152," - ",'Cable Info'!O152))</f>
        <v>151 - TW</v>
      </c>
      <c r="AR153" s="121" t="str">
        <f t="shared" si="60"/>
        <v>151 - TW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str">
        <f>IF('Cable Info'!L153="","",CONCATENATE('Cable Info'!L153," - ",'Cable Info'!M153))</f>
        <v>152 - TW</v>
      </c>
      <c r="AM154" s="121" t="str">
        <f t="shared" si="59"/>
        <v>152 - TW</v>
      </c>
      <c r="AO154" s="121" t="str">
        <f>IF('Cable Info'!N153="","",CONCATENATE('Cable Info'!N153," - ",'Cable Info'!O153))</f>
        <v>152 - TW</v>
      </c>
      <c r="AR154" s="121" t="str">
        <f t="shared" si="60"/>
        <v>152 - TW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str">
        <f>IF('Cable Info'!L154="","",CONCATENATE('Cable Info'!L154," - ",'Cable Info'!M154))</f>
        <v>153 - TW</v>
      </c>
      <c r="AM155" s="121" t="str">
        <f t="shared" si="59"/>
        <v>153 - TW</v>
      </c>
      <c r="AO155" s="121" t="str">
        <f>IF('Cable Info'!N154="","",CONCATENATE('Cable Info'!N154," - ",'Cable Info'!O154))</f>
        <v>153 - TW</v>
      </c>
      <c r="AR155" s="121" t="str">
        <f t="shared" si="60"/>
        <v>153 - TW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str">
        <f>IF('Cable Info'!L155="","",CONCATENATE('Cable Info'!L155," - ",'Cable Info'!M155))</f>
        <v>154 - TW</v>
      </c>
      <c r="AM156" s="121" t="str">
        <f t="shared" si="59"/>
        <v>154 - TW</v>
      </c>
      <c r="AO156" s="121" t="str">
        <f>IF('Cable Info'!N155="","",CONCATENATE('Cable Info'!N155," - ",'Cable Info'!O155))</f>
        <v>154 - TW</v>
      </c>
      <c r="AR156" s="121" t="str">
        <f t="shared" si="60"/>
        <v>154 - TW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str">
        <f>IF('Cable Info'!L156="","",CONCATENATE('Cable Info'!L156," - ",'Cable Info'!M156))</f>
        <v>155 - TW</v>
      </c>
      <c r="AM157" s="121" t="str">
        <f t="shared" si="59"/>
        <v>155 - TW</v>
      </c>
      <c r="AO157" s="121" t="str">
        <f>IF('Cable Info'!N156="","",CONCATENATE('Cable Info'!N156," - ",'Cable Info'!O156))</f>
        <v>155 - TW</v>
      </c>
      <c r="AR157" s="121" t="str">
        <f t="shared" si="60"/>
        <v>155 - TW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str">
        <f>IF('Cable Info'!L157="","",CONCATENATE('Cable Info'!L157," - ",'Cable Info'!M157))</f>
        <v>156 - TW</v>
      </c>
      <c r="AM158" s="121" t="str">
        <f t="shared" si="59"/>
        <v>156 - TW</v>
      </c>
      <c r="AO158" s="121" t="str">
        <f>IF('Cable Info'!N157="","",CONCATENATE('Cable Info'!N157," - ",'Cable Info'!O157))</f>
        <v>156 - TW</v>
      </c>
      <c r="AR158" s="121" t="str">
        <f t="shared" si="60"/>
        <v>156 - TW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str">
        <f>IF('Cable Info'!L158="","",CONCATENATE('Cable Info'!L158," - ",'Cable Info'!M158))</f>
        <v>157 - TW</v>
      </c>
      <c r="AM159" s="121" t="str">
        <f t="shared" si="59"/>
        <v>157 - TW</v>
      </c>
      <c r="AO159" s="121" t="str">
        <f>IF('Cable Info'!N158="","",CONCATENATE('Cable Info'!N158," - ",'Cable Info'!O158))</f>
        <v>157 - TW</v>
      </c>
      <c r="AR159" s="121" t="str">
        <f t="shared" si="60"/>
        <v>157 - TW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str">
        <f>IF('Cable Info'!L159="","",CONCATENATE('Cable Info'!L159," - ",'Cable Info'!M159))</f>
        <v>158 - TW</v>
      </c>
      <c r="AM160" s="121" t="str">
        <f t="shared" si="59"/>
        <v>158 - TW</v>
      </c>
      <c r="AO160" s="121" t="str">
        <f>IF('Cable Info'!N159="","",CONCATENATE('Cable Info'!N159," - ",'Cable Info'!O159))</f>
        <v>158 - TW</v>
      </c>
      <c r="AR160" s="121" t="str">
        <f t="shared" si="60"/>
        <v>158 - TW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str">
        <f>IF('Cable Info'!L160="","",CONCATENATE('Cable Info'!L160," - ",'Cable Info'!M160))</f>
        <v>159 - TW</v>
      </c>
      <c r="AM161" s="121" t="str">
        <f t="shared" si="59"/>
        <v>159 - TW</v>
      </c>
      <c r="AO161" s="121" t="str">
        <f>IF('Cable Info'!N160="","",CONCATENATE('Cable Info'!N160," - ",'Cable Info'!O160))</f>
        <v>159 - TW</v>
      </c>
      <c r="AR161" s="121" t="str">
        <f t="shared" si="60"/>
        <v>159 - TW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str">
        <f>IF('Cable Info'!L161="","",CONCATENATE('Cable Info'!L161," - ",'Cable Info'!M161))</f>
        <v>160 - TW</v>
      </c>
      <c r="AM162" s="121" t="str">
        <f t="shared" si="59"/>
        <v>160 - TW</v>
      </c>
      <c r="AO162" s="121" t="str">
        <f>IF('Cable Info'!N161="","",CONCATENATE('Cable Info'!N161," - ",'Cable Info'!O161))</f>
        <v>160 - TW</v>
      </c>
      <c r="AR162" s="121" t="str">
        <f t="shared" si="60"/>
        <v>160 - TW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str">
        <f>IF('Cable Info'!L162="","",CONCATENATE('Cable Info'!L162," - ",'Cable Info'!M162))</f>
        <v>161 - TW</v>
      </c>
      <c r="AM163" s="121" t="str">
        <f t="shared" si="59"/>
        <v>161 - TW</v>
      </c>
      <c r="AO163" s="121" t="str">
        <f>IF('Cable Info'!N162="","",CONCATENATE('Cable Info'!N162," - ",'Cable Info'!O162))</f>
        <v>161 - TW</v>
      </c>
      <c r="AR163" s="121" t="str">
        <f t="shared" si="60"/>
        <v>161 - TW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str">
        <f>IF('Cable Info'!L163="","",CONCATENATE('Cable Info'!L163," - ",'Cable Info'!M163))</f>
        <v>162 - TW</v>
      </c>
      <c r="AM164" s="121" t="str">
        <f t="shared" si="59"/>
        <v>162 - TW</v>
      </c>
      <c r="AO164" s="121" t="str">
        <f>IF('Cable Info'!N163="","",CONCATENATE('Cable Info'!N163," - ",'Cable Info'!O163))</f>
        <v>162 - TW</v>
      </c>
      <c r="AR164" s="121" t="str">
        <f t="shared" si="60"/>
        <v>162 - TW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str">
        <f>IF('Cable Info'!L164="","",CONCATENATE('Cable Info'!L164," - ",'Cable Info'!M164))</f>
        <v>163 - TW</v>
      </c>
      <c r="AM165" s="121" t="str">
        <f t="shared" si="59"/>
        <v>163 - TW</v>
      </c>
      <c r="AO165" s="121" t="str">
        <f>IF('Cable Info'!N164="","",CONCATENATE('Cable Info'!N164," - ",'Cable Info'!O164))</f>
        <v>163 - TW</v>
      </c>
      <c r="AR165" s="121" t="str">
        <f t="shared" si="60"/>
        <v>163 - TW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str">
        <f>IF('Cable Info'!L165="","",CONCATENATE('Cable Info'!L165," - ",'Cable Info'!M165))</f>
        <v>164 - TW</v>
      </c>
      <c r="AM166" s="121" t="str">
        <f t="shared" si="59"/>
        <v>164 - TW</v>
      </c>
      <c r="AO166" s="121" t="str">
        <f>IF('Cable Info'!N165="","",CONCATENATE('Cable Info'!N165," - ",'Cable Info'!O165))</f>
        <v>164 - TW</v>
      </c>
      <c r="AR166" s="121" t="str">
        <f t="shared" si="60"/>
        <v>164 - TW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str">
        <f>IF('Cable Info'!L166="","",CONCATENATE('Cable Info'!L166," - ",'Cable Info'!M166))</f>
        <v>165 - TW</v>
      </c>
      <c r="AM167" s="121" t="str">
        <f t="shared" si="59"/>
        <v>165 - TW</v>
      </c>
      <c r="AO167" s="121" t="str">
        <f>IF('Cable Info'!N166="","",CONCATENATE('Cable Info'!N166," - ",'Cable Info'!O166))</f>
        <v>165 - TW</v>
      </c>
      <c r="AR167" s="121" t="str">
        <f t="shared" si="60"/>
        <v>165 - TW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str">
        <f>IF('Cable Info'!L167="","",CONCATENATE('Cable Info'!L167," - ",'Cable Info'!M167))</f>
        <v>166 - TW</v>
      </c>
      <c r="AM168" s="121" t="str">
        <f t="shared" si="59"/>
        <v>166 - TW</v>
      </c>
      <c r="AO168" s="121" t="str">
        <f>IF('Cable Info'!N167="","",CONCATENATE('Cable Info'!N167," - ",'Cable Info'!O167))</f>
        <v>166 - TW</v>
      </c>
      <c r="AR168" s="121" t="str">
        <f t="shared" si="60"/>
        <v>166 - TW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str">
        <f>IF('Cable Info'!L168="","",CONCATENATE('Cable Info'!L168," - ",'Cable Info'!M168))</f>
        <v>167 - TW</v>
      </c>
      <c r="AM169" s="121" t="str">
        <f t="shared" si="59"/>
        <v>167 - TW</v>
      </c>
      <c r="AO169" s="121" t="str">
        <f>IF('Cable Info'!N168="","",CONCATENATE('Cable Info'!N168," - ",'Cable Info'!O168))</f>
        <v>167 - TW</v>
      </c>
      <c r="AR169" s="121" t="str">
        <f t="shared" si="60"/>
        <v>167 - TW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str">
        <f>IF('Cable Info'!L169="","",CONCATENATE('Cable Info'!L169," - ",'Cable Info'!M169))</f>
        <v>168 - TW</v>
      </c>
      <c r="AM170" s="121" t="str">
        <f t="shared" si="59"/>
        <v>168 - TW</v>
      </c>
      <c r="AO170" s="121" t="str">
        <f>IF('Cable Info'!N169="","",CONCATENATE('Cable Info'!N169," - ",'Cable Info'!O169))</f>
        <v>168 - TW</v>
      </c>
      <c r="AR170" s="121" t="str">
        <f t="shared" si="60"/>
        <v>168 - TW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str">
        <f>IF('Cable Info'!L170="","",CONCATENATE('Cable Info'!L170," - ",'Cable Info'!M170))</f>
        <v>169 - TW</v>
      </c>
      <c r="AM171" s="121" t="str">
        <f t="shared" si="59"/>
        <v>169 - TW</v>
      </c>
      <c r="AO171" s="121" t="str">
        <f>IF('Cable Info'!N170="","",CONCATENATE('Cable Info'!N170," - ",'Cable Info'!O170))</f>
        <v>169 - TW</v>
      </c>
      <c r="AR171" s="121" t="str">
        <f t="shared" si="60"/>
        <v>169 - TW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str">
        <f>IF('Cable Info'!L171="","",CONCATENATE('Cable Info'!L171," - ",'Cable Info'!M171))</f>
        <v>170 - TW</v>
      </c>
      <c r="AM172" s="121" t="str">
        <f t="shared" si="59"/>
        <v>170 - TW</v>
      </c>
      <c r="AO172" s="121" t="str">
        <f>IF('Cable Info'!N171="","",CONCATENATE('Cable Info'!N171," - ",'Cable Info'!O171))</f>
        <v>170 - TW</v>
      </c>
      <c r="AR172" s="121" t="str">
        <f t="shared" si="60"/>
        <v>170 - TW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str">
        <f>IF('Cable Info'!L172="","",CONCATENATE('Cable Info'!L172," - ",'Cable Info'!M172))</f>
        <v>171 - TW</v>
      </c>
      <c r="AM173" s="121" t="str">
        <f t="shared" si="59"/>
        <v>171 - TW</v>
      </c>
      <c r="AO173" s="121" t="str">
        <f>IF('Cable Info'!N172="","",CONCATENATE('Cable Info'!N172," - ",'Cable Info'!O172))</f>
        <v>171 - TW</v>
      </c>
      <c r="AR173" s="121" t="str">
        <f t="shared" si="60"/>
        <v>171 - TW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str">
        <f>IF('Cable Info'!L173="","",CONCATENATE('Cable Info'!L173," - ",'Cable Info'!M173))</f>
        <v>172 - TW</v>
      </c>
      <c r="AM174" s="121" t="str">
        <f t="shared" si="59"/>
        <v>172 - TW</v>
      </c>
      <c r="AO174" s="121" t="str">
        <f>IF('Cable Info'!N173="","",CONCATENATE('Cable Info'!N173," - ",'Cable Info'!O173))</f>
        <v>172 - TW</v>
      </c>
      <c r="AR174" s="121" t="str">
        <f t="shared" si="60"/>
        <v>172 - TW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str">
        <f>IF('Cable Info'!L174="","",CONCATENATE('Cable Info'!L174," - ",'Cable Info'!M174))</f>
        <v>173 - TW</v>
      </c>
      <c r="AM175" s="121" t="str">
        <f t="shared" si="59"/>
        <v>173 - TW</v>
      </c>
      <c r="AO175" s="121" t="str">
        <f>IF('Cable Info'!N174="","",CONCATENATE('Cable Info'!N174," - ",'Cable Info'!O174))</f>
        <v>173 - TW</v>
      </c>
      <c r="AR175" s="121" t="str">
        <f t="shared" si="60"/>
        <v>173 - TW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str">
        <f>IF('Cable Info'!L175="","",CONCATENATE('Cable Info'!L175," - ",'Cable Info'!M175))</f>
        <v>174 - TW</v>
      </c>
      <c r="AM176" s="121" t="str">
        <f t="shared" si="59"/>
        <v>174 - TW</v>
      </c>
      <c r="AO176" s="121" t="str">
        <f>IF('Cable Info'!N175="","",CONCATENATE('Cable Info'!N175," - ",'Cable Info'!O175))</f>
        <v>174 - TW</v>
      </c>
      <c r="AR176" s="121" t="str">
        <f t="shared" si="60"/>
        <v>174 - TW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str">
        <f>IF('Cable Info'!L176="","",CONCATENATE('Cable Info'!L176," - ",'Cable Info'!M176))</f>
        <v>175 - TW</v>
      </c>
      <c r="AM177" s="121" t="str">
        <f t="shared" si="59"/>
        <v>175 - TW</v>
      </c>
      <c r="AO177" s="121" t="str">
        <f>IF('Cable Info'!N176="","",CONCATENATE('Cable Info'!N176," - ",'Cable Info'!O176))</f>
        <v>175 - TW</v>
      </c>
      <c r="AR177" s="121" t="str">
        <f t="shared" si="60"/>
        <v>175 - TW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str">
        <f>IF('Cable Info'!L177="","",CONCATENATE('Cable Info'!L177," - ",'Cable Info'!M177))</f>
        <v>176 - TW</v>
      </c>
      <c r="AM178" s="121" t="str">
        <f t="shared" si="59"/>
        <v>176 - TW</v>
      </c>
      <c r="AO178" s="121" t="str">
        <f>IF('Cable Info'!N177="","",CONCATENATE('Cable Info'!N177," - ",'Cable Info'!O177))</f>
        <v>176 - TW</v>
      </c>
      <c r="AR178" s="121" t="str">
        <f t="shared" si="60"/>
        <v>176 - TW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str">
        <f>IF('Cable Info'!L178="","",CONCATENATE('Cable Info'!L178," - ",'Cable Info'!M178))</f>
        <v>177 - TW</v>
      </c>
      <c r="AM179" s="121" t="str">
        <f t="shared" si="59"/>
        <v>177 - TW</v>
      </c>
      <c r="AO179" s="121" t="str">
        <f>IF('Cable Info'!N178="","",CONCATENATE('Cable Info'!N178," - ",'Cable Info'!O178))</f>
        <v>177 - TW</v>
      </c>
      <c r="AR179" s="121" t="str">
        <f t="shared" si="60"/>
        <v>177 - TW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str">
        <f>IF('Cable Info'!L179="","",CONCATENATE('Cable Info'!L179," - ",'Cable Info'!M179))</f>
        <v>178 - TW</v>
      </c>
      <c r="AM180" s="121" t="str">
        <f t="shared" si="59"/>
        <v>178 - TW</v>
      </c>
      <c r="AO180" s="121" t="str">
        <f>IF('Cable Info'!N179="","",CONCATENATE('Cable Info'!N179," - ",'Cable Info'!O179))</f>
        <v>178 - TW</v>
      </c>
      <c r="AR180" s="121" t="str">
        <f t="shared" si="60"/>
        <v>178 - TW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str">
        <f>IF('Cable Info'!L180="","",CONCATENATE('Cable Info'!L180," - ",'Cable Info'!M180))</f>
        <v>179 - TW</v>
      </c>
      <c r="AM181" s="121" t="str">
        <f t="shared" si="59"/>
        <v>179 - TW</v>
      </c>
      <c r="AO181" s="121" t="str">
        <f>IF('Cable Info'!N180="","",CONCATENATE('Cable Info'!N180," - ",'Cable Info'!O180))</f>
        <v>179 - TW</v>
      </c>
      <c r="AR181" s="121" t="str">
        <f t="shared" si="60"/>
        <v>179 - TW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str">
        <f>IF('Cable Info'!L181="","",CONCATENATE('Cable Info'!L181," - ",'Cable Info'!M181))</f>
        <v>180 - TW</v>
      </c>
      <c r="AM182" s="121" t="str">
        <f t="shared" si="59"/>
        <v>180 - TW</v>
      </c>
      <c r="AO182" s="121" t="str">
        <f>IF('Cable Info'!N181="","",CONCATENATE('Cable Info'!N181," - ",'Cable Info'!O181))</f>
        <v>180 - TW</v>
      </c>
      <c r="AR182" s="121" t="str">
        <f t="shared" si="60"/>
        <v>180 - TW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str">
        <f>IF('Cable Info'!L182="","",CONCATENATE('Cable Info'!L182," - ",'Cable Info'!M182))</f>
        <v>181 - TW</v>
      </c>
      <c r="AM183" s="121" t="str">
        <f t="shared" si="59"/>
        <v>181 - TW</v>
      </c>
      <c r="AO183" s="121" t="str">
        <f>IF('Cable Info'!N182="","",CONCATENATE('Cable Info'!N182," - ",'Cable Info'!O182))</f>
        <v>181 - TW</v>
      </c>
      <c r="AR183" s="121" t="str">
        <f t="shared" si="60"/>
        <v>181 - TW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str">
        <f>IF('Cable Info'!L183="","",CONCATENATE('Cable Info'!L183," - ",'Cable Info'!M183))</f>
        <v>182 - TW</v>
      </c>
      <c r="AM184" s="121" t="str">
        <f t="shared" si="59"/>
        <v>182 - TW</v>
      </c>
      <c r="AO184" s="121" t="str">
        <f>IF('Cable Info'!N183="","",CONCATENATE('Cable Info'!N183," - ",'Cable Info'!O183))</f>
        <v>182 - TW</v>
      </c>
      <c r="AR184" s="121" t="str">
        <f t="shared" si="60"/>
        <v>182 - TW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str">
        <f>IF('Cable Info'!L184="","",CONCATENATE('Cable Info'!L184," - ",'Cable Info'!M184))</f>
        <v>183 - TW</v>
      </c>
      <c r="AM185" s="121" t="str">
        <f t="shared" si="59"/>
        <v>183 - TW</v>
      </c>
      <c r="AO185" s="121" t="str">
        <f>IF('Cable Info'!N184="","",CONCATENATE('Cable Info'!N184," - ",'Cable Info'!O184))</f>
        <v>183 - TW</v>
      </c>
      <c r="AR185" s="121" t="str">
        <f t="shared" si="60"/>
        <v>183 - TW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str">
        <f>IF('Cable Info'!L185="","",CONCATENATE('Cable Info'!L185," - ",'Cable Info'!M185))</f>
        <v>184 - TW</v>
      </c>
      <c r="AM186" s="121" t="str">
        <f t="shared" si="59"/>
        <v>184 - TW</v>
      </c>
      <c r="AO186" s="121" t="str">
        <f>IF('Cable Info'!N185="","",CONCATENATE('Cable Info'!N185," - ",'Cable Info'!O185))</f>
        <v>184 - TW</v>
      </c>
      <c r="AR186" s="121" t="str">
        <f t="shared" si="60"/>
        <v>184 - TW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str">
        <f>IF('Cable Info'!L186="","",CONCATENATE('Cable Info'!L186," - ",'Cable Info'!M186))</f>
        <v>185 - TW</v>
      </c>
      <c r="AM187" s="121" t="str">
        <f t="shared" si="59"/>
        <v>185 - TW</v>
      </c>
      <c r="AO187" s="121" t="str">
        <f>IF('Cable Info'!N186="","",CONCATENATE('Cable Info'!N186," - ",'Cable Info'!O186))</f>
        <v>185 - TW</v>
      </c>
      <c r="AR187" s="121" t="str">
        <f t="shared" si="60"/>
        <v>185 - TW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str">
        <f>IF('Cable Info'!L187="","",CONCATENATE('Cable Info'!L187," - ",'Cable Info'!M187))</f>
        <v>186 - TW</v>
      </c>
      <c r="AM188" s="121" t="str">
        <f t="shared" si="59"/>
        <v>186 - TW</v>
      </c>
      <c r="AO188" s="121" t="str">
        <f>IF('Cable Info'!N187="","",CONCATENATE('Cable Info'!N187," - ",'Cable Info'!O187))</f>
        <v>186 - TW</v>
      </c>
      <c r="AR188" s="121" t="str">
        <f t="shared" si="60"/>
        <v>186 - TW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str">
        <f>IF('Cable Info'!L188="","",CONCATENATE('Cable Info'!L188," - ",'Cable Info'!M188))</f>
        <v>187 - TW</v>
      </c>
      <c r="AM189" s="121" t="str">
        <f t="shared" si="59"/>
        <v>187 - TW</v>
      </c>
      <c r="AO189" s="121" t="str">
        <f>IF('Cable Info'!N188="","",CONCATENATE('Cable Info'!N188," - ",'Cable Info'!O188))</f>
        <v>187 - TW</v>
      </c>
      <c r="AR189" s="121" t="str">
        <f t="shared" si="60"/>
        <v>187 - TW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str">
        <f>IF('Cable Info'!L189="","",CONCATENATE('Cable Info'!L189," - ",'Cable Info'!M189))</f>
        <v>188 - TW</v>
      </c>
      <c r="AM190" s="121" t="str">
        <f t="shared" si="59"/>
        <v>188 - TW</v>
      </c>
      <c r="AO190" s="121" t="str">
        <f>IF('Cable Info'!N189="","",CONCATENATE('Cable Info'!N189," - ",'Cable Info'!O189))</f>
        <v>188 - TW</v>
      </c>
      <c r="AR190" s="121" t="str">
        <f t="shared" si="60"/>
        <v>188 - TW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str">
        <f>IF('Cable Info'!L190="","",CONCATENATE('Cable Info'!L190," - ",'Cable Info'!M190))</f>
        <v>189 - TW</v>
      </c>
      <c r="AM191" s="121" t="str">
        <f t="shared" si="59"/>
        <v>189 - TW</v>
      </c>
      <c r="AO191" s="121" t="str">
        <f>IF('Cable Info'!N190="","",CONCATENATE('Cable Info'!N190," - ",'Cable Info'!O190))</f>
        <v>189 - TW</v>
      </c>
      <c r="AR191" s="121" t="str">
        <f t="shared" si="60"/>
        <v>189 - TW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str">
        <f>IF('Cable Info'!L191="","",CONCATENATE('Cable Info'!L191," - ",'Cable Info'!M191))</f>
        <v>190 - TW</v>
      </c>
      <c r="AM192" s="121" t="str">
        <f t="shared" si="59"/>
        <v>190 - TW</v>
      </c>
      <c r="AO192" s="121" t="str">
        <f>IF('Cable Info'!N191="","",CONCATENATE('Cable Info'!N191," - ",'Cable Info'!O191))</f>
        <v>190 - TW</v>
      </c>
      <c r="AR192" s="121" t="str">
        <f t="shared" si="60"/>
        <v>190 - TW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str">
        <f>IF('Cable Info'!L192="","",CONCATENATE('Cable Info'!L192," - ",'Cable Info'!M192))</f>
        <v>191 - TW</v>
      </c>
      <c r="AM193" s="121" t="str">
        <f t="shared" si="59"/>
        <v>191 - TW</v>
      </c>
      <c r="AO193" s="121" t="str">
        <f>IF('Cable Info'!N192="","",CONCATENATE('Cable Info'!N192," - ",'Cable Info'!O192))</f>
        <v>191 - TW</v>
      </c>
      <c r="AR193" s="121" t="str">
        <f t="shared" si="60"/>
        <v>191 - TW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str">
        <f>IF('Cable Info'!L193="","",CONCATENATE('Cable Info'!L193," - ",'Cable Info'!M193))</f>
        <v>192 - TW</v>
      </c>
      <c r="AM194" s="121" t="str">
        <f t="shared" si="59"/>
        <v>192 - TW</v>
      </c>
      <c r="AO194" s="121" t="str">
        <f>IF('Cable Info'!N193="","",CONCATENATE('Cable Info'!N193," - ",'Cable Info'!O193))</f>
        <v>192 - TW</v>
      </c>
      <c r="AR194" s="121" t="str">
        <f t="shared" si="60"/>
        <v>192 - TW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str">
        <f>IF('Cable Info'!L194="","",CONCATENATE('Cable Info'!L194," - ",'Cable Info'!M194))</f>
        <v>193 - TW</v>
      </c>
      <c r="AM195" s="121" t="str">
        <f t="shared" si="59"/>
        <v>193 - TW</v>
      </c>
      <c r="AO195" s="121" t="str">
        <f>IF('Cable Info'!N194="","",CONCATENATE('Cable Info'!N194," - ",'Cable Info'!O194))</f>
        <v>193 - TW</v>
      </c>
      <c r="AR195" s="121" t="str">
        <f t="shared" si="60"/>
        <v>193 - TW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str">
        <f>IF('Cable Info'!L195="","",CONCATENATE('Cable Info'!L195," - ",'Cable Info'!M195))</f>
        <v>194 - TW</v>
      </c>
      <c r="AM196" s="121" t="str">
        <f t="shared" si="59"/>
        <v>194 - TW</v>
      </c>
      <c r="AO196" s="121" t="str">
        <f>IF('Cable Info'!N195="","",CONCATENATE('Cable Info'!N195," - ",'Cable Info'!O195))</f>
        <v>194 - TW</v>
      </c>
      <c r="AR196" s="121" t="str">
        <f t="shared" si="60"/>
        <v>194 - TW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str">
        <f>IF('Cable Info'!L196="","",CONCATENATE('Cable Info'!L196," - ",'Cable Info'!M196))</f>
        <v>195 - TW</v>
      </c>
      <c r="AM197" s="121" t="str">
        <f t="shared" si="59"/>
        <v>195 - TW</v>
      </c>
      <c r="AO197" s="121" t="str">
        <f>IF('Cable Info'!N196="","",CONCATENATE('Cable Info'!N196," - ",'Cable Info'!O196))</f>
        <v>195 - TW</v>
      </c>
      <c r="AR197" s="121" t="str">
        <f t="shared" si="60"/>
        <v>195 - TW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str">
        <f>IF('Cable Info'!L197="","",CONCATENATE('Cable Info'!L197," - ",'Cable Info'!M197))</f>
        <v>196 - TW</v>
      </c>
      <c r="AM198" s="121" t="str">
        <f t="shared" si="59"/>
        <v>196 - TW</v>
      </c>
      <c r="AO198" s="121" t="str">
        <f>IF('Cable Info'!N197="","",CONCATENATE('Cable Info'!N197," - ",'Cable Info'!O197))</f>
        <v>196 - TW</v>
      </c>
      <c r="AR198" s="121" t="str">
        <f t="shared" si="60"/>
        <v>196 - TW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str">
        <f>IF('Cable Info'!L198="","",CONCATENATE('Cable Info'!L198," - ",'Cable Info'!M198))</f>
        <v>197 - TW</v>
      </c>
      <c r="AM199" s="121" t="str">
        <f t="shared" si="59"/>
        <v>197 - TW</v>
      </c>
      <c r="AO199" s="121" t="str">
        <f>IF('Cable Info'!N198="","",CONCATENATE('Cable Info'!N198," - ",'Cable Info'!O198))</f>
        <v>197 - TW</v>
      </c>
      <c r="AR199" s="121" t="str">
        <f t="shared" si="60"/>
        <v>197 - TW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str">
        <f>IF('Cable Info'!L199="","",CONCATENATE('Cable Info'!L199," - ",'Cable Info'!M199))</f>
        <v>198 - TW</v>
      </c>
      <c r="AM200" s="121" t="str">
        <f t="shared" si="59"/>
        <v>198 - TW</v>
      </c>
      <c r="AO200" s="121" t="str">
        <f>IF('Cable Info'!N199="","",CONCATENATE('Cable Info'!N199," - ",'Cable Info'!O199))</f>
        <v>198 - TW</v>
      </c>
      <c r="AR200" s="121" t="str">
        <f t="shared" si="60"/>
        <v>198 - TW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str">
        <f>IF('Cable Info'!L200="","",CONCATENATE('Cable Info'!L200," - ",'Cable Info'!M200))</f>
        <v>199 - TW</v>
      </c>
      <c r="AM201" s="121" t="str">
        <f t="shared" si="59"/>
        <v>199 - TW</v>
      </c>
      <c r="AO201" s="121" t="str">
        <f>IF('Cable Info'!N200="","",CONCATENATE('Cable Info'!N200," - ",'Cable Info'!O200))</f>
        <v>199 - TW</v>
      </c>
      <c r="AR201" s="121" t="str">
        <f t="shared" si="60"/>
        <v>199 - TW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str">
        <f>IF('Cable Info'!L201="","",CONCATENATE('Cable Info'!L201," - ",'Cable Info'!M201))</f>
        <v>200 - TW</v>
      </c>
      <c r="AM202" s="121" t="str">
        <f t="shared" si="59"/>
        <v>200 - TW</v>
      </c>
      <c r="AO202" s="121" t="str">
        <f>IF('Cable Info'!N201="","",CONCATENATE('Cable Info'!N201," - ",'Cable Info'!O201))</f>
        <v>200 - TW</v>
      </c>
      <c r="AR202" s="121" t="str">
        <f t="shared" si="60"/>
        <v>200 - TW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str">
        <f>IF('Cable Info'!L202="","",CONCATENATE('Cable Info'!L202," - ",'Cable Info'!M202))</f>
        <v>201 - TW</v>
      </c>
      <c r="AM203" s="121" t="str">
        <f t="shared" si="59"/>
        <v>201 - TW</v>
      </c>
      <c r="AO203" s="121" t="str">
        <f>IF('Cable Info'!N202="","",CONCATENATE('Cable Info'!N202," - ",'Cable Info'!O202))</f>
        <v>201 - TW</v>
      </c>
      <c r="AR203" s="121" t="str">
        <f t="shared" si="60"/>
        <v>201 - TW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str">
        <f>IF('Cable Info'!L203="","",CONCATENATE('Cable Info'!L203," - ",'Cable Info'!M203))</f>
        <v>202 - TW</v>
      </c>
      <c r="AM204" s="121" t="str">
        <f t="shared" si="59"/>
        <v>202 - TW</v>
      </c>
      <c r="AO204" s="121" t="str">
        <f>IF('Cable Info'!N203="","",CONCATENATE('Cable Info'!N203," - ",'Cable Info'!O203))</f>
        <v>202 - TW</v>
      </c>
      <c r="AR204" s="121" t="str">
        <f t="shared" si="60"/>
        <v>202 - TW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str">
        <f>IF('Cable Info'!L204="","",CONCATENATE('Cable Info'!L204," - ",'Cable Info'!M204))</f>
        <v>203 - TW</v>
      </c>
      <c r="AM205" s="121" t="str">
        <f t="shared" ref="AM205:AM268" si="71">IF(AK205="",AJ205,CONCATENATE(AJ205,"  &lt;=&gt; ",AK205," ",AL205))</f>
        <v>203 - TW</v>
      </c>
      <c r="AO205" s="121" t="str">
        <f>IF('Cable Info'!N204="","",CONCATENATE('Cable Info'!N204," - ",'Cable Info'!O204))</f>
        <v>203 - TW</v>
      </c>
      <c r="AR205" s="121" t="str">
        <f t="shared" ref="AR205:AR268" si="72">IF(AP205="",AO205,CONCATENATE(AO205,"  &lt;=&gt; ",AP205," ",AQ205))</f>
        <v>203 - TW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str">
        <f>IF('Cable Info'!L205="","",CONCATENATE('Cable Info'!L205," - ",'Cable Info'!M205))</f>
        <v>204 - TW</v>
      </c>
      <c r="AM206" s="121" t="str">
        <f t="shared" si="71"/>
        <v>204 - TW</v>
      </c>
      <c r="AO206" s="121" t="str">
        <f>IF('Cable Info'!N205="","",CONCATENATE('Cable Info'!N205," - ",'Cable Info'!O205))</f>
        <v>204 - TW</v>
      </c>
      <c r="AR206" s="121" t="str">
        <f t="shared" si="72"/>
        <v>204 - TW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str">
        <f>IF('Cable Info'!L206="","",CONCATENATE('Cable Info'!L206," - ",'Cable Info'!M206))</f>
        <v>205 - TW</v>
      </c>
      <c r="AM207" s="121" t="str">
        <f t="shared" si="71"/>
        <v>205 - TW</v>
      </c>
      <c r="AO207" s="121" t="str">
        <f>IF('Cable Info'!N206="","",CONCATENATE('Cable Info'!N206," - ",'Cable Info'!O206))</f>
        <v>205 - TW</v>
      </c>
      <c r="AR207" s="121" t="str">
        <f t="shared" si="72"/>
        <v>205 - TW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str">
        <f>IF('Cable Info'!L207="","",CONCATENATE('Cable Info'!L207," - ",'Cable Info'!M207))</f>
        <v>206 - TW</v>
      </c>
      <c r="AM208" s="121" t="str">
        <f t="shared" si="71"/>
        <v>206 - TW</v>
      </c>
      <c r="AO208" s="121" t="str">
        <f>IF('Cable Info'!N207="","",CONCATENATE('Cable Info'!N207," - ",'Cable Info'!O207))</f>
        <v>206 - TW</v>
      </c>
      <c r="AR208" s="121" t="str">
        <f t="shared" si="72"/>
        <v>206 - TW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str">
        <f>IF('Cable Info'!L208="","",CONCATENATE('Cable Info'!L208," - ",'Cable Info'!M208))</f>
        <v>207 - TW</v>
      </c>
      <c r="AM209" s="121" t="str">
        <f t="shared" si="71"/>
        <v>207 - TW</v>
      </c>
      <c r="AO209" s="121" t="str">
        <f>IF('Cable Info'!N208="","",CONCATENATE('Cable Info'!N208," - ",'Cable Info'!O208))</f>
        <v>207 - TW</v>
      </c>
      <c r="AR209" s="121" t="str">
        <f t="shared" si="72"/>
        <v>207 - TW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str">
        <f>IF('Cable Info'!L209="","",CONCATENATE('Cable Info'!L209," - ",'Cable Info'!M209))</f>
        <v>208 - TW</v>
      </c>
      <c r="AM210" s="121" t="str">
        <f t="shared" si="71"/>
        <v>208 - TW</v>
      </c>
      <c r="AO210" s="121" t="str">
        <f>IF('Cable Info'!N209="","",CONCATENATE('Cable Info'!N209," - ",'Cable Info'!O209))</f>
        <v>208 - TW</v>
      </c>
      <c r="AR210" s="121" t="str">
        <f t="shared" si="72"/>
        <v>208 - TW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str">
        <f>IF('Cable Info'!L210="","",CONCATENATE('Cable Info'!L210," - ",'Cable Info'!M210))</f>
        <v>209 - TW</v>
      </c>
      <c r="AM211" s="121" t="str">
        <f t="shared" si="71"/>
        <v>209 - TW</v>
      </c>
      <c r="AO211" s="121" t="str">
        <f>IF('Cable Info'!N210="","",CONCATENATE('Cable Info'!N210," - ",'Cable Info'!O210))</f>
        <v>209 - TW</v>
      </c>
      <c r="AR211" s="121" t="str">
        <f t="shared" si="72"/>
        <v>209 - TW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str">
        <f>IF('Cable Info'!L211="","",CONCATENATE('Cable Info'!L211," - ",'Cable Info'!M211))</f>
        <v>210 - TW</v>
      </c>
      <c r="AM212" s="121" t="str">
        <f t="shared" si="71"/>
        <v>210 - TW</v>
      </c>
      <c r="AO212" s="121" t="str">
        <f>IF('Cable Info'!N211="","",CONCATENATE('Cable Info'!N211," - ",'Cable Info'!O211))</f>
        <v>210 - TW</v>
      </c>
      <c r="AR212" s="121" t="str">
        <f t="shared" si="72"/>
        <v>210 - TW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str">
        <f>IF('Cable Info'!L212="","",CONCATENATE('Cable Info'!L212," - ",'Cable Info'!M212))</f>
        <v>211 - TW</v>
      </c>
      <c r="AM213" s="121" t="str">
        <f t="shared" si="71"/>
        <v>211 - TW</v>
      </c>
      <c r="AO213" s="121" t="str">
        <f>IF('Cable Info'!N212="","",CONCATENATE('Cable Info'!N212," - ",'Cable Info'!O212))</f>
        <v>211 - TW</v>
      </c>
      <c r="AR213" s="121" t="str">
        <f t="shared" si="72"/>
        <v>211 - TW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str">
        <f>IF('Cable Info'!L213="","",CONCATENATE('Cable Info'!L213," - ",'Cable Info'!M213))</f>
        <v>212 - TW</v>
      </c>
      <c r="AM214" s="121" t="str">
        <f t="shared" si="71"/>
        <v>212 - TW</v>
      </c>
      <c r="AO214" s="121" t="str">
        <f>IF('Cable Info'!N213="","",CONCATENATE('Cable Info'!N213," - ",'Cable Info'!O213))</f>
        <v>212 - TW</v>
      </c>
      <c r="AR214" s="121" t="str">
        <f t="shared" si="72"/>
        <v>212 - TW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str">
        <f>IF('Cable Info'!L214="","",CONCATENATE('Cable Info'!L214," - ",'Cable Info'!M214))</f>
        <v>213 - TW</v>
      </c>
      <c r="AM215" s="121" t="str">
        <f t="shared" si="71"/>
        <v>213 - TW</v>
      </c>
      <c r="AO215" s="121" t="str">
        <f>IF('Cable Info'!N214="","",CONCATENATE('Cable Info'!N214," - ",'Cable Info'!O214))</f>
        <v>213 - TW</v>
      </c>
      <c r="AR215" s="121" t="str">
        <f t="shared" si="72"/>
        <v>213 - TW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str">
        <f>IF('Cable Info'!L215="","",CONCATENATE('Cable Info'!L215," - ",'Cable Info'!M215))</f>
        <v>214 - TW</v>
      </c>
      <c r="AM216" s="121" t="str">
        <f t="shared" si="71"/>
        <v>214 - TW</v>
      </c>
      <c r="AO216" s="121" t="str">
        <f>IF('Cable Info'!N215="","",CONCATENATE('Cable Info'!N215," - ",'Cable Info'!O215))</f>
        <v>214 - TW</v>
      </c>
      <c r="AR216" s="121" t="str">
        <f t="shared" si="72"/>
        <v>214 - TW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str">
        <f>IF('Cable Info'!L216="","",CONCATENATE('Cable Info'!L216," - ",'Cable Info'!M216))</f>
        <v>215 - TW</v>
      </c>
      <c r="AM217" s="121" t="str">
        <f t="shared" si="71"/>
        <v>215 - TW</v>
      </c>
      <c r="AO217" s="121" t="str">
        <f>IF('Cable Info'!N216="","",CONCATENATE('Cable Info'!N216," - ",'Cable Info'!O216))</f>
        <v>215 - TW</v>
      </c>
      <c r="AR217" s="121" t="str">
        <f t="shared" si="72"/>
        <v>215 - TW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str">
        <f>IF('Cable Info'!L217="","",CONCATENATE('Cable Info'!L217," - ",'Cable Info'!M217))</f>
        <v>216 - TW</v>
      </c>
      <c r="AM218" s="121" t="str">
        <f t="shared" si="71"/>
        <v>216 - TW</v>
      </c>
      <c r="AO218" s="121" t="str">
        <f>IF('Cable Info'!N217="","",CONCATENATE('Cable Info'!N217," - ",'Cable Info'!O217))</f>
        <v>216 - TW</v>
      </c>
      <c r="AR218" s="121" t="str">
        <f t="shared" si="72"/>
        <v>216 - TW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str">
        <f>IF('Cable Info'!L218="","",CONCATENATE('Cable Info'!L218," - ",'Cable Info'!M218))</f>
        <v>217 - AW</v>
      </c>
      <c r="AM219" s="121" t="str">
        <f t="shared" si="71"/>
        <v>217 - AW</v>
      </c>
      <c r="AO219" s="121" t="str">
        <f>IF('Cable Info'!N218="","",CONCATENATE('Cable Info'!N218," - ",'Cable Info'!O218))</f>
        <v>217 - AW</v>
      </c>
      <c r="AR219" s="121" t="str">
        <f t="shared" si="72"/>
        <v>217 - AW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str">
        <f>IF('Cable Info'!L219="","",CONCATENATE('Cable Info'!L219," - ",'Cable Info'!M219))</f>
        <v>218 - AW</v>
      </c>
      <c r="AM220" s="121" t="str">
        <f t="shared" si="71"/>
        <v>218 - AW</v>
      </c>
      <c r="AO220" s="121" t="str">
        <f>IF('Cable Info'!N219="","",CONCATENATE('Cable Info'!N219," - ",'Cable Info'!O219))</f>
        <v>218 - AW</v>
      </c>
      <c r="AR220" s="121" t="str">
        <f t="shared" si="72"/>
        <v>218 - AW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str">
        <f>IF('Cable Info'!L220="","",CONCATENATE('Cable Info'!L220," - ",'Cable Info'!M220))</f>
        <v>219 - AW</v>
      </c>
      <c r="AM221" s="121" t="str">
        <f t="shared" si="71"/>
        <v>219 - AW</v>
      </c>
      <c r="AO221" s="121" t="str">
        <f>IF('Cable Info'!N220="","",CONCATENATE('Cable Info'!N220," - ",'Cable Info'!O220))</f>
        <v>219 - AW</v>
      </c>
      <c r="AR221" s="121" t="str">
        <f t="shared" si="72"/>
        <v>219 - AW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str">
        <f>IF('Cable Info'!L221="","",CONCATENATE('Cable Info'!L221," - ",'Cable Info'!M221))</f>
        <v>220 - AW</v>
      </c>
      <c r="AM222" s="121" t="str">
        <f t="shared" si="71"/>
        <v>220 - AW</v>
      </c>
      <c r="AO222" s="121" t="str">
        <f>IF('Cable Info'!N221="","",CONCATENATE('Cable Info'!N221," - ",'Cable Info'!O221))</f>
        <v>220 - AW</v>
      </c>
      <c r="AR222" s="121" t="str">
        <f t="shared" si="72"/>
        <v>220 - AW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str">
        <f>IF('Cable Info'!L222="","",CONCATENATE('Cable Info'!L222," - ",'Cable Info'!M222))</f>
        <v>221 - AW</v>
      </c>
      <c r="AM223" s="121" t="str">
        <f t="shared" si="71"/>
        <v>221 - AW</v>
      </c>
      <c r="AO223" s="121" t="str">
        <f>IF('Cable Info'!N222="","",CONCATENATE('Cable Info'!N222," - ",'Cable Info'!O222))</f>
        <v>221 - AW</v>
      </c>
      <c r="AR223" s="121" t="str">
        <f t="shared" si="72"/>
        <v>221 - AW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str">
        <f>IF('Cable Info'!L223="","",CONCATENATE('Cable Info'!L223," - ",'Cable Info'!M223))</f>
        <v>222 - AW</v>
      </c>
      <c r="AM224" s="121" t="str">
        <f t="shared" si="71"/>
        <v>222 - AW</v>
      </c>
      <c r="AO224" s="121" t="str">
        <f>IF('Cable Info'!N223="","",CONCATENATE('Cable Info'!N223," - ",'Cable Info'!O223))</f>
        <v>222 - AW</v>
      </c>
      <c r="AR224" s="121" t="str">
        <f t="shared" si="72"/>
        <v>222 - AW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str">
        <f>IF('Cable Info'!L224="","",CONCATENATE('Cable Info'!L224," - ",'Cable Info'!M224))</f>
        <v>223 - AW</v>
      </c>
      <c r="AM225" s="121" t="str">
        <f t="shared" si="71"/>
        <v>223 - AW</v>
      </c>
      <c r="AO225" s="121" t="str">
        <f>IF('Cable Info'!N224="","",CONCATENATE('Cable Info'!N224," - ",'Cable Info'!O224))</f>
        <v>223 - AW</v>
      </c>
      <c r="AR225" s="121" t="str">
        <f t="shared" si="72"/>
        <v>223 - AW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str">
        <f>IF('Cable Info'!L225="","",CONCATENATE('Cable Info'!L225," - ",'Cable Info'!M225))</f>
        <v>224 - AW</v>
      </c>
      <c r="AM226" s="121" t="str">
        <f t="shared" si="71"/>
        <v>224 - AW</v>
      </c>
      <c r="AO226" s="121" t="str">
        <f>IF('Cable Info'!N225="","",CONCATENATE('Cable Info'!N225," - ",'Cable Info'!O225))</f>
        <v>224 - AW</v>
      </c>
      <c r="AR226" s="121" t="str">
        <f t="shared" si="72"/>
        <v>224 - AW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str">
        <f>IF('Cable Info'!L226="","",CONCATENATE('Cable Info'!L226," - ",'Cable Info'!M226))</f>
        <v>225 - AW</v>
      </c>
      <c r="AM227" s="121" t="str">
        <f t="shared" si="71"/>
        <v>225 - AW</v>
      </c>
      <c r="AO227" s="121" t="str">
        <f>IF('Cable Info'!N226="","",CONCATENATE('Cable Info'!N226," - ",'Cable Info'!O226))</f>
        <v>225 - AW</v>
      </c>
      <c r="AR227" s="121" t="str">
        <f t="shared" si="72"/>
        <v>225 - AW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str">
        <f>IF('Cable Info'!L227="","",CONCATENATE('Cable Info'!L227," - ",'Cable Info'!M227))</f>
        <v>226 - AW</v>
      </c>
      <c r="AM228" s="121" t="str">
        <f t="shared" si="71"/>
        <v>226 - AW</v>
      </c>
      <c r="AO228" s="121" t="str">
        <f>IF('Cable Info'!N227="","",CONCATENATE('Cable Info'!N227," - ",'Cable Info'!O227))</f>
        <v>226 - AW</v>
      </c>
      <c r="AR228" s="121" t="str">
        <f t="shared" si="72"/>
        <v>226 - AW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str">
        <f>IF('Cable Info'!L228="","",CONCATENATE('Cable Info'!L228," - ",'Cable Info'!M228))</f>
        <v>227 - AW</v>
      </c>
      <c r="AM229" s="121" t="str">
        <f t="shared" si="71"/>
        <v>227 - AW</v>
      </c>
      <c r="AO229" s="121" t="str">
        <f>IF('Cable Info'!N228="","",CONCATENATE('Cable Info'!N228," - ",'Cable Info'!O228))</f>
        <v>227 - AW</v>
      </c>
      <c r="AR229" s="121" t="str">
        <f t="shared" si="72"/>
        <v>227 - AW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str">
        <f>IF('Cable Info'!L229="","",CONCATENATE('Cable Info'!L229," - ",'Cable Info'!M229))</f>
        <v>228 - AW</v>
      </c>
      <c r="AM230" s="121" t="str">
        <f t="shared" si="71"/>
        <v>228 - AW</v>
      </c>
      <c r="AO230" s="121" t="str">
        <f>IF('Cable Info'!N229="","",CONCATENATE('Cable Info'!N229," - ",'Cable Info'!O229))</f>
        <v>228 - AW</v>
      </c>
      <c r="AR230" s="121" t="str">
        <f t="shared" si="72"/>
        <v>228 - AW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str">
        <f>IF('Cable Info'!L230="","",CONCATENATE('Cable Info'!L230," - ",'Cable Info'!M230))</f>
        <v>229 - AW</v>
      </c>
      <c r="AM231" s="121" t="str">
        <f t="shared" si="71"/>
        <v>229 - AW</v>
      </c>
      <c r="AO231" s="121" t="str">
        <f>IF('Cable Info'!N230="","",CONCATENATE('Cable Info'!N230," - ",'Cable Info'!O230))</f>
        <v>229 - AW</v>
      </c>
      <c r="AR231" s="121" t="str">
        <f t="shared" si="72"/>
        <v>229 - AW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str">
        <f>IF('Cable Info'!L231="","",CONCATENATE('Cable Info'!L231," - ",'Cable Info'!M231))</f>
        <v>230 - AW</v>
      </c>
      <c r="AM232" s="121" t="str">
        <f t="shared" si="71"/>
        <v>230 - AW</v>
      </c>
      <c r="AO232" s="121" t="str">
        <f>IF('Cable Info'!N231="","",CONCATENATE('Cable Info'!N231," - ",'Cable Info'!O231))</f>
        <v>230 - AW</v>
      </c>
      <c r="AR232" s="121" t="str">
        <f t="shared" si="72"/>
        <v>230 - AW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str">
        <f>IF('Cable Info'!L232="","",CONCATENATE('Cable Info'!L232," - ",'Cable Info'!M232))</f>
        <v>231 - AW</v>
      </c>
      <c r="AM233" s="121" t="str">
        <f t="shared" si="71"/>
        <v>231 - AW</v>
      </c>
      <c r="AO233" s="121" t="str">
        <f>IF('Cable Info'!N232="","",CONCATENATE('Cable Info'!N232," - ",'Cable Info'!O232))</f>
        <v>231 - AW</v>
      </c>
      <c r="AR233" s="121" t="str">
        <f t="shared" si="72"/>
        <v>231 - AW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str">
        <f>IF('Cable Info'!L233="","",CONCATENATE('Cable Info'!L233," - ",'Cable Info'!M233))</f>
        <v>232 - AW</v>
      </c>
      <c r="AM234" s="121" t="str">
        <f t="shared" si="71"/>
        <v>232 - AW</v>
      </c>
      <c r="AO234" s="121" t="str">
        <f>IF('Cable Info'!N233="","",CONCATENATE('Cable Info'!N233," - ",'Cable Info'!O233))</f>
        <v>232 - AW</v>
      </c>
      <c r="AR234" s="121" t="str">
        <f t="shared" si="72"/>
        <v>232 - AW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str">
        <f>IF('Cable Info'!L234="","",CONCATENATE('Cable Info'!L234," - ",'Cable Info'!M234))</f>
        <v>233 - AW</v>
      </c>
      <c r="AM235" s="121" t="str">
        <f t="shared" si="71"/>
        <v>233 - AW</v>
      </c>
      <c r="AO235" s="121" t="str">
        <f>IF('Cable Info'!N234="","",CONCATENATE('Cable Info'!N234," - ",'Cable Info'!O234))</f>
        <v>233 - AW</v>
      </c>
      <c r="AR235" s="121" t="str">
        <f t="shared" si="72"/>
        <v>233 - AW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str">
        <f>IF('Cable Info'!L235="","",CONCATENATE('Cable Info'!L235," - ",'Cable Info'!M235))</f>
        <v>234 - AW</v>
      </c>
      <c r="AM236" s="121" t="str">
        <f t="shared" si="71"/>
        <v>234 - AW</v>
      </c>
      <c r="AO236" s="121" t="str">
        <f>IF('Cable Info'!N235="","",CONCATENATE('Cable Info'!N235," - ",'Cable Info'!O235))</f>
        <v>234 - AW</v>
      </c>
      <c r="AR236" s="121" t="str">
        <f t="shared" si="72"/>
        <v>234 - AW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str">
        <f>IF('Cable Info'!L236="","",CONCATENATE('Cable Info'!L236," - ",'Cable Info'!M236))</f>
        <v>235 - AW</v>
      </c>
      <c r="AM237" s="121" t="str">
        <f t="shared" si="71"/>
        <v>235 - AW</v>
      </c>
      <c r="AO237" s="121" t="str">
        <f>IF('Cable Info'!N236="","",CONCATENATE('Cable Info'!N236," - ",'Cable Info'!O236))</f>
        <v>235 - AW</v>
      </c>
      <c r="AR237" s="121" t="str">
        <f t="shared" si="72"/>
        <v>235 - AW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str">
        <f>IF('Cable Info'!L237="","",CONCATENATE('Cable Info'!L237," - ",'Cable Info'!M237))</f>
        <v>236 - AW</v>
      </c>
      <c r="AM238" s="121" t="str">
        <f t="shared" si="71"/>
        <v>236 - AW</v>
      </c>
      <c r="AO238" s="121" t="str">
        <f>IF('Cable Info'!N237="","",CONCATENATE('Cable Info'!N237," - ",'Cable Info'!O237))</f>
        <v>236 - AW</v>
      </c>
      <c r="AR238" s="121" t="str">
        <f t="shared" si="72"/>
        <v>236 - AW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str">
        <f>IF('Cable Info'!L238="","",CONCATENATE('Cable Info'!L238," - ",'Cable Info'!M238))</f>
        <v>237 - AW</v>
      </c>
      <c r="AM239" s="121" t="str">
        <f t="shared" si="71"/>
        <v>237 - AW</v>
      </c>
      <c r="AO239" s="121" t="str">
        <f>IF('Cable Info'!N238="","",CONCATENATE('Cable Info'!N238," - ",'Cable Info'!O238))</f>
        <v>237 - AW</v>
      </c>
      <c r="AR239" s="121" t="str">
        <f t="shared" si="72"/>
        <v>237 - AW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str">
        <f>IF('Cable Info'!L239="","",CONCATENATE('Cable Info'!L239," - ",'Cable Info'!M239))</f>
        <v>238 - AW</v>
      </c>
      <c r="AM240" s="121" t="str">
        <f t="shared" si="71"/>
        <v>238 - AW</v>
      </c>
      <c r="AO240" s="121" t="str">
        <f>IF('Cable Info'!N239="","",CONCATENATE('Cable Info'!N239," - ",'Cable Info'!O239))</f>
        <v>238 - AW</v>
      </c>
      <c r="AR240" s="121" t="str">
        <f t="shared" si="72"/>
        <v>238 - AW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str">
        <f>IF('Cable Info'!L240="","",CONCATENATE('Cable Info'!L240," - ",'Cable Info'!M240))</f>
        <v>239 - AW</v>
      </c>
      <c r="AM241" s="121" t="str">
        <f t="shared" si="71"/>
        <v>239 - AW</v>
      </c>
      <c r="AO241" s="121" t="str">
        <f>IF('Cable Info'!N240="","",CONCATENATE('Cable Info'!N240," - ",'Cable Info'!O240))</f>
        <v>239 - AW</v>
      </c>
      <c r="AR241" s="121" t="str">
        <f t="shared" si="72"/>
        <v>239 - AW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str">
        <f>IF('Cable Info'!L241="","",CONCATENATE('Cable Info'!L241," - ",'Cable Info'!M241))</f>
        <v>240 - AW</v>
      </c>
      <c r="AM242" s="121" t="str">
        <f t="shared" si="71"/>
        <v>240 - AW</v>
      </c>
      <c r="AO242" s="121" t="str">
        <f>IF('Cable Info'!N241="","",CONCATENATE('Cable Info'!N241," - ",'Cable Info'!O241))</f>
        <v>240 - AW</v>
      </c>
      <c r="AR242" s="121" t="str">
        <f t="shared" si="72"/>
        <v>240 - AW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str">
        <f>IF('Cable Info'!L242="","",CONCATENATE('Cable Info'!L242," - ",'Cable Info'!M242))</f>
        <v>241 - AW</v>
      </c>
      <c r="AM243" s="121" t="str">
        <f t="shared" si="71"/>
        <v>241 - AW</v>
      </c>
      <c r="AO243" s="121" t="str">
        <f>IF('Cable Info'!N242="","",CONCATENATE('Cable Info'!N242," - ",'Cable Info'!O242))</f>
        <v>241 - AW</v>
      </c>
      <c r="AR243" s="121" t="str">
        <f t="shared" si="72"/>
        <v>241 - AW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str">
        <f>IF('Cable Info'!L243="","",CONCATENATE('Cable Info'!L243," - ",'Cable Info'!M243))</f>
        <v>242 - AW</v>
      </c>
      <c r="AM244" s="121" t="str">
        <f t="shared" si="71"/>
        <v>242 - AW</v>
      </c>
      <c r="AO244" s="121" t="str">
        <f>IF('Cable Info'!N243="","",CONCATENATE('Cable Info'!N243," - ",'Cable Info'!O243))</f>
        <v>242 - AW</v>
      </c>
      <c r="AR244" s="121" t="str">
        <f t="shared" si="72"/>
        <v>242 - AW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str">
        <f>IF('Cable Info'!L244="","",CONCATENATE('Cable Info'!L244," - ",'Cable Info'!M244))</f>
        <v>243 - AW</v>
      </c>
      <c r="AM245" s="121" t="str">
        <f t="shared" si="71"/>
        <v>243 - AW</v>
      </c>
      <c r="AO245" s="121" t="str">
        <f>IF('Cable Info'!N244="","",CONCATENATE('Cable Info'!N244," - ",'Cable Info'!O244))</f>
        <v>243 - AW</v>
      </c>
      <c r="AR245" s="121" t="str">
        <f t="shared" si="72"/>
        <v>243 - AW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str">
        <f>IF('Cable Info'!L245="","",CONCATENATE('Cable Info'!L245," - ",'Cable Info'!M245))</f>
        <v>244 - AW</v>
      </c>
      <c r="AM246" s="121" t="str">
        <f t="shared" si="71"/>
        <v>244 - AW</v>
      </c>
      <c r="AO246" s="121" t="str">
        <f>IF('Cable Info'!N245="","",CONCATENATE('Cable Info'!N245," - ",'Cable Info'!O245))</f>
        <v>244 - AW</v>
      </c>
      <c r="AR246" s="121" t="str">
        <f t="shared" si="72"/>
        <v>244 - AW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str">
        <f>IF('Cable Info'!L246="","",CONCATENATE('Cable Info'!L246," - ",'Cable Info'!M246))</f>
        <v>245 - AW</v>
      </c>
      <c r="AM247" s="121" t="str">
        <f t="shared" si="71"/>
        <v>245 - AW</v>
      </c>
      <c r="AO247" s="121" t="str">
        <f>IF('Cable Info'!N246="","",CONCATENATE('Cable Info'!N246," - ",'Cable Info'!O246))</f>
        <v>245 - AW</v>
      </c>
      <c r="AR247" s="121" t="str">
        <f t="shared" si="72"/>
        <v>245 - AW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str">
        <f>IF('Cable Info'!L247="","",CONCATENATE('Cable Info'!L247," - ",'Cable Info'!M247))</f>
        <v>246 - AW</v>
      </c>
      <c r="AM248" s="121" t="str">
        <f t="shared" si="71"/>
        <v>246 - AW</v>
      </c>
      <c r="AO248" s="121" t="str">
        <f>IF('Cable Info'!N247="","",CONCATENATE('Cable Info'!N247," - ",'Cable Info'!O247))</f>
        <v>246 - AW</v>
      </c>
      <c r="AR248" s="121" t="str">
        <f t="shared" si="72"/>
        <v>246 - AW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str">
        <f>IF('Cable Info'!L248="","",CONCATENATE('Cable Info'!L248," - ",'Cable Info'!M248))</f>
        <v>247 - AW</v>
      </c>
      <c r="AM249" s="121" t="str">
        <f t="shared" si="71"/>
        <v>247 - AW</v>
      </c>
      <c r="AO249" s="121" t="str">
        <f>IF('Cable Info'!N248="","",CONCATENATE('Cable Info'!N248," - ",'Cable Info'!O248))</f>
        <v>247 - AW</v>
      </c>
      <c r="AR249" s="121" t="str">
        <f t="shared" si="72"/>
        <v>247 - AW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str">
        <f>IF('Cable Info'!L249="","",CONCATENATE('Cable Info'!L249," - ",'Cable Info'!M249))</f>
        <v>248 - AW</v>
      </c>
      <c r="AM250" s="121" t="str">
        <f t="shared" si="71"/>
        <v>248 - AW</v>
      </c>
      <c r="AO250" s="121" t="str">
        <f>IF('Cable Info'!N249="","",CONCATENATE('Cable Info'!N249," - ",'Cable Info'!O249))</f>
        <v>248 - AW</v>
      </c>
      <c r="AR250" s="121" t="str">
        <f t="shared" si="72"/>
        <v>248 - AW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str">
        <f>IF('Cable Info'!L250="","",CONCATENATE('Cable Info'!L250," - ",'Cable Info'!M250))</f>
        <v>249 - AW</v>
      </c>
      <c r="AM251" s="121" t="str">
        <f t="shared" si="71"/>
        <v>249 - AW</v>
      </c>
      <c r="AO251" s="121" t="str">
        <f>IF('Cable Info'!N250="","",CONCATENATE('Cable Info'!N250," - ",'Cable Info'!O250))</f>
        <v>249 - AW</v>
      </c>
      <c r="AR251" s="121" t="str">
        <f t="shared" si="72"/>
        <v>249 - AW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str">
        <f>IF('Cable Info'!L251="","",CONCATENATE('Cable Info'!L251," - ",'Cable Info'!M251))</f>
        <v>250 - AW</v>
      </c>
      <c r="AM252" s="121" t="str">
        <f t="shared" si="71"/>
        <v>250 - AW</v>
      </c>
      <c r="AO252" s="121" t="str">
        <f>IF('Cable Info'!N251="","",CONCATENATE('Cable Info'!N251," - ",'Cable Info'!O251))</f>
        <v>250 - AW</v>
      </c>
      <c r="AR252" s="121" t="str">
        <f t="shared" si="72"/>
        <v>250 - AW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str">
        <f>IF('Cable Info'!L252="","",CONCATENATE('Cable Info'!L252," - ",'Cable Info'!M252))</f>
        <v>251 - AW</v>
      </c>
      <c r="AM253" s="121" t="str">
        <f t="shared" si="71"/>
        <v>251 - AW</v>
      </c>
      <c r="AO253" s="121" t="str">
        <f>IF('Cable Info'!N252="","",CONCATENATE('Cable Info'!N252," - ",'Cable Info'!O252))</f>
        <v>251 - AW</v>
      </c>
      <c r="AR253" s="121" t="str">
        <f t="shared" si="72"/>
        <v>251 - AW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str">
        <f>IF('Cable Info'!L253="","",CONCATENATE('Cable Info'!L253," - ",'Cable Info'!M253))</f>
        <v>252 - AW</v>
      </c>
      <c r="AM254" s="121" t="str">
        <f t="shared" si="71"/>
        <v>252 - AW</v>
      </c>
      <c r="AO254" s="121" t="str">
        <f>IF('Cable Info'!N253="","",CONCATENATE('Cable Info'!N253," - ",'Cable Info'!O253))</f>
        <v>252 - AW</v>
      </c>
      <c r="AR254" s="121" t="str">
        <f t="shared" si="72"/>
        <v>252 - AW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str">
        <f>IF('Cable Info'!L254="","",CONCATENATE('Cable Info'!L254," - ",'Cable Info'!M254))</f>
        <v>253 - AW</v>
      </c>
      <c r="AM255" s="121" t="str">
        <f t="shared" si="71"/>
        <v>253 - AW</v>
      </c>
      <c r="AO255" s="121" t="str">
        <f>IF('Cable Info'!N254="","",CONCATENATE('Cable Info'!N254," - ",'Cable Info'!O254))</f>
        <v>253 - AW</v>
      </c>
      <c r="AR255" s="121" t="str">
        <f t="shared" si="72"/>
        <v>253 - AW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str">
        <f>IF('Cable Info'!L255="","",CONCATENATE('Cable Info'!L255," - ",'Cable Info'!M255))</f>
        <v>254 - AW</v>
      </c>
      <c r="AM256" s="121" t="str">
        <f t="shared" si="71"/>
        <v>254 - AW</v>
      </c>
      <c r="AO256" s="121" t="str">
        <f>IF('Cable Info'!N255="","",CONCATENATE('Cable Info'!N255," - ",'Cable Info'!O255))</f>
        <v>254 - AW</v>
      </c>
      <c r="AR256" s="121" t="str">
        <f t="shared" si="72"/>
        <v>254 - AW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str">
        <f>IF('Cable Info'!L256="","",CONCATENATE('Cable Info'!L256," - ",'Cable Info'!M256))</f>
        <v>255 - AW</v>
      </c>
      <c r="AM257" s="121" t="str">
        <f t="shared" si="71"/>
        <v>255 - AW</v>
      </c>
      <c r="AO257" s="121" t="str">
        <f>IF('Cable Info'!N256="","",CONCATENATE('Cable Info'!N256," - ",'Cable Info'!O256))</f>
        <v>255 - AW</v>
      </c>
      <c r="AR257" s="121" t="str">
        <f t="shared" si="72"/>
        <v>255 - AW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str">
        <f>IF('Cable Info'!L257="","",CONCATENATE('Cable Info'!L257," - ",'Cable Info'!M257))</f>
        <v>256 - AW</v>
      </c>
      <c r="AM258" s="121" t="str">
        <f t="shared" si="71"/>
        <v>256 - AW</v>
      </c>
      <c r="AO258" s="121" t="str">
        <f>IF('Cable Info'!N257="","",CONCATENATE('Cable Info'!N257," - ",'Cable Info'!O257))</f>
        <v>256 - AW</v>
      </c>
      <c r="AR258" s="121" t="str">
        <f t="shared" si="72"/>
        <v>256 - AW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str">
        <f>IF('Cable Info'!L258="","",CONCATENATE('Cable Info'!L258," - ",'Cable Info'!M258))</f>
        <v>257 - AW</v>
      </c>
      <c r="AM259" s="121" t="str">
        <f t="shared" si="71"/>
        <v>257 - AW</v>
      </c>
      <c r="AO259" s="121" t="str">
        <f>IF('Cable Info'!N258="","",CONCATENATE('Cable Info'!N258," - ",'Cable Info'!O258))</f>
        <v>257 - AW</v>
      </c>
      <c r="AR259" s="121" t="str">
        <f t="shared" si="72"/>
        <v>257 - AW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str">
        <f>IF('Cable Info'!L259="","",CONCATENATE('Cable Info'!L259," - ",'Cable Info'!M259))</f>
        <v>258 - AW</v>
      </c>
      <c r="AM260" s="121" t="str">
        <f t="shared" si="71"/>
        <v>258 - AW</v>
      </c>
      <c r="AO260" s="121" t="str">
        <f>IF('Cable Info'!N259="","",CONCATENATE('Cable Info'!N259," - ",'Cable Info'!O259))</f>
        <v>258 - AW</v>
      </c>
      <c r="AR260" s="121" t="str">
        <f t="shared" si="72"/>
        <v>258 - AW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str">
        <f>IF('Cable Info'!L260="","",CONCATENATE('Cable Info'!L260," - ",'Cable Info'!M260))</f>
        <v>259 - AW</v>
      </c>
      <c r="AM261" s="121" t="str">
        <f t="shared" si="71"/>
        <v>259 - AW</v>
      </c>
      <c r="AO261" s="121" t="str">
        <f>IF('Cable Info'!N260="","",CONCATENATE('Cable Info'!N260," - ",'Cable Info'!O260))</f>
        <v>259 - AW</v>
      </c>
      <c r="AR261" s="121" t="str">
        <f t="shared" si="72"/>
        <v>259 - AW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str">
        <f>IF('Cable Info'!L261="","",CONCATENATE('Cable Info'!L261," - ",'Cable Info'!M261))</f>
        <v>260 - AW</v>
      </c>
      <c r="AM262" s="121" t="str">
        <f t="shared" si="71"/>
        <v>260 - AW</v>
      </c>
      <c r="AO262" s="121" t="str">
        <f>IF('Cable Info'!N261="","",CONCATENATE('Cable Info'!N261," - ",'Cable Info'!O261))</f>
        <v>260 - AW</v>
      </c>
      <c r="AR262" s="121" t="str">
        <f t="shared" si="72"/>
        <v>260 - AW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str">
        <f>IF('Cable Info'!L262="","",CONCATENATE('Cable Info'!L262," - ",'Cable Info'!M262))</f>
        <v>261 - AW</v>
      </c>
      <c r="AM263" s="121" t="str">
        <f t="shared" si="71"/>
        <v>261 - AW</v>
      </c>
      <c r="AO263" s="121" t="str">
        <f>IF('Cable Info'!N262="","",CONCATENATE('Cable Info'!N262," - ",'Cable Info'!O262))</f>
        <v>261 - AW</v>
      </c>
      <c r="AR263" s="121" t="str">
        <f t="shared" si="72"/>
        <v>261 - AW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str">
        <f>IF('Cable Info'!L263="","",CONCATENATE('Cable Info'!L263," - ",'Cable Info'!M263))</f>
        <v>262 - AW</v>
      </c>
      <c r="AM264" s="121" t="str">
        <f t="shared" si="71"/>
        <v>262 - AW</v>
      </c>
      <c r="AO264" s="121" t="str">
        <f>IF('Cable Info'!N263="","",CONCATENATE('Cable Info'!N263," - ",'Cable Info'!O263))</f>
        <v>262 - AW</v>
      </c>
      <c r="AR264" s="121" t="str">
        <f t="shared" si="72"/>
        <v>262 - AW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str">
        <f>IF('Cable Info'!L264="","",CONCATENATE('Cable Info'!L264," - ",'Cable Info'!M264))</f>
        <v>263 - AW</v>
      </c>
      <c r="AM265" s="121" t="str">
        <f t="shared" si="71"/>
        <v>263 - AW</v>
      </c>
      <c r="AO265" s="121" t="str">
        <f>IF('Cable Info'!N264="","",CONCATENATE('Cable Info'!N264," - ",'Cable Info'!O264))</f>
        <v>263 - AW</v>
      </c>
      <c r="AR265" s="121" t="str">
        <f t="shared" si="72"/>
        <v>263 - AW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str">
        <f>IF('Cable Info'!L265="","",CONCATENATE('Cable Info'!L265," - ",'Cable Info'!M265))</f>
        <v>264 - AW</v>
      </c>
      <c r="AM266" s="121" t="str">
        <f t="shared" si="71"/>
        <v>264 - AW</v>
      </c>
      <c r="AO266" s="121" t="str">
        <f>IF('Cable Info'!N265="","",CONCATENATE('Cable Info'!N265," - ",'Cable Info'!O265))</f>
        <v>264 - AW</v>
      </c>
      <c r="AR266" s="121" t="str">
        <f t="shared" si="72"/>
        <v>264 - AW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str">
        <f>IF('Cable Info'!L266="","",CONCATENATE('Cable Info'!L266," - ",'Cable Info'!M266))</f>
        <v>265 - AW</v>
      </c>
      <c r="AM267" s="121" t="str">
        <f t="shared" si="71"/>
        <v>265 - AW</v>
      </c>
      <c r="AO267" s="121" t="str">
        <f>IF('Cable Info'!N266="","",CONCATENATE('Cable Info'!N266," - ",'Cable Info'!O266))</f>
        <v>265 - AW</v>
      </c>
      <c r="AR267" s="121" t="str">
        <f t="shared" si="72"/>
        <v>265 - AW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str">
        <f>IF('Cable Info'!L267="","",CONCATENATE('Cable Info'!L267," - ",'Cable Info'!M267))</f>
        <v>266 - AW</v>
      </c>
      <c r="AM268" s="121" t="str">
        <f t="shared" si="71"/>
        <v>266 - AW</v>
      </c>
      <c r="AO268" s="121" t="str">
        <f>IF('Cable Info'!N267="","",CONCATENATE('Cable Info'!N267," - ",'Cable Info'!O267))</f>
        <v>266 - AW</v>
      </c>
      <c r="AR268" s="121" t="str">
        <f t="shared" si="72"/>
        <v>266 - AW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str">
        <f>IF('Cable Info'!L268="","",CONCATENATE('Cable Info'!L268," - ",'Cable Info'!M268))</f>
        <v>267 - AW</v>
      </c>
      <c r="AM269" s="121" t="str">
        <f t="shared" ref="AM269:AM332" si="83">IF(AK269="",AJ269,CONCATENATE(AJ269,"  &lt;=&gt; ",AK269," ",AL269))</f>
        <v>267 - AW</v>
      </c>
      <c r="AO269" s="121" t="str">
        <f>IF('Cable Info'!N268="","",CONCATENATE('Cable Info'!N268," - ",'Cable Info'!O268))</f>
        <v>267 - AW</v>
      </c>
      <c r="AR269" s="121" t="str">
        <f t="shared" ref="AR269:AR332" si="84">IF(AP269="",AO269,CONCATENATE(AO269,"  &lt;=&gt; ",AP269," ",AQ269))</f>
        <v>267 - AW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str">
        <f>IF('Cable Info'!L269="","",CONCATENATE('Cable Info'!L269," - ",'Cable Info'!M269))</f>
        <v>268 - AW</v>
      </c>
      <c r="AM270" s="121" t="str">
        <f t="shared" si="83"/>
        <v>268 - AW</v>
      </c>
      <c r="AO270" s="121" t="str">
        <f>IF('Cable Info'!N269="","",CONCATENATE('Cable Info'!N269," - ",'Cable Info'!O269))</f>
        <v>268 - AW</v>
      </c>
      <c r="AR270" s="121" t="str">
        <f t="shared" si="84"/>
        <v>268 - AW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str">
        <f>IF('Cable Info'!L270="","",CONCATENATE('Cable Info'!L270," - ",'Cable Info'!M270))</f>
        <v>269 - AW</v>
      </c>
      <c r="AM271" s="121" t="str">
        <f t="shared" si="83"/>
        <v>269 - AW</v>
      </c>
      <c r="AO271" s="121" t="str">
        <f>IF('Cable Info'!N270="","",CONCATENATE('Cable Info'!N270," - ",'Cable Info'!O270))</f>
        <v>269 - AW</v>
      </c>
      <c r="AR271" s="121" t="str">
        <f t="shared" si="84"/>
        <v>269 - AW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str">
        <f>IF('Cable Info'!L271="","",CONCATENATE('Cable Info'!L271," - ",'Cable Info'!M271))</f>
        <v>270 - AW</v>
      </c>
      <c r="AM272" s="121" t="str">
        <f t="shared" si="83"/>
        <v>270 - AW</v>
      </c>
      <c r="AO272" s="121" t="str">
        <f>IF('Cable Info'!N271="","",CONCATENATE('Cable Info'!N271," - ",'Cable Info'!O271))</f>
        <v>270 - AW</v>
      </c>
      <c r="AR272" s="121" t="str">
        <f t="shared" si="84"/>
        <v>270 - AW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str">
        <f>IF('Cable Info'!L272="","",CONCATENATE('Cable Info'!L272," - ",'Cable Info'!M272))</f>
        <v>271 - AW</v>
      </c>
      <c r="AM273" s="121" t="str">
        <f t="shared" si="83"/>
        <v>271 - AW</v>
      </c>
      <c r="AO273" s="121" t="str">
        <f>IF('Cable Info'!N272="","",CONCATENATE('Cable Info'!N272," - ",'Cable Info'!O272))</f>
        <v>271 - AW</v>
      </c>
      <c r="AR273" s="121" t="str">
        <f t="shared" si="84"/>
        <v>271 - AW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str">
        <f>IF('Cable Info'!L273="","",CONCATENATE('Cable Info'!L273," - ",'Cable Info'!M273))</f>
        <v>272 - AW</v>
      </c>
      <c r="AM274" s="121" t="str">
        <f t="shared" si="83"/>
        <v>272 - AW</v>
      </c>
      <c r="AO274" s="121" t="str">
        <f>IF('Cable Info'!N273="","",CONCATENATE('Cable Info'!N273," - ",'Cable Info'!O273))</f>
        <v>272 - AW</v>
      </c>
      <c r="AR274" s="121" t="str">
        <f t="shared" si="84"/>
        <v>272 - AW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str">
        <f>IF('Cable Info'!L274="","",CONCATENATE('Cable Info'!L274," - ",'Cable Info'!M274))</f>
        <v>273 - AW</v>
      </c>
      <c r="AM275" s="121" t="str">
        <f t="shared" si="83"/>
        <v>273 - AW</v>
      </c>
      <c r="AO275" s="121" t="str">
        <f>IF('Cable Info'!N274="","",CONCATENATE('Cable Info'!N274," - ",'Cable Info'!O274))</f>
        <v>273 - AW</v>
      </c>
      <c r="AR275" s="121" t="str">
        <f t="shared" si="84"/>
        <v>273 - AW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str">
        <f>IF('Cable Info'!L275="","",CONCATENATE('Cable Info'!L275," - ",'Cable Info'!M275))</f>
        <v>274 - AW</v>
      </c>
      <c r="AM276" s="121" t="str">
        <f t="shared" si="83"/>
        <v>274 - AW</v>
      </c>
      <c r="AO276" s="121" t="str">
        <f>IF('Cable Info'!N275="","",CONCATENATE('Cable Info'!N275," - ",'Cable Info'!O275))</f>
        <v>274 - AW</v>
      </c>
      <c r="AR276" s="121" t="str">
        <f t="shared" si="84"/>
        <v>274 - AW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str">
        <f>IF('Cable Info'!L276="","",CONCATENATE('Cable Info'!L276," - ",'Cable Info'!M276))</f>
        <v>275 - AW</v>
      </c>
      <c r="AM277" s="121" t="str">
        <f t="shared" si="83"/>
        <v>275 - AW</v>
      </c>
      <c r="AO277" s="121" t="str">
        <f>IF('Cable Info'!N276="","",CONCATENATE('Cable Info'!N276," - ",'Cable Info'!O276))</f>
        <v>275 - AW</v>
      </c>
      <c r="AR277" s="121" t="str">
        <f t="shared" si="84"/>
        <v>275 - AW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str">
        <f>IF('Cable Info'!L277="","",CONCATENATE('Cable Info'!L277," - ",'Cable Info'!M277))</f>
        <v>276 - AW</v>
      </c>
      <c r="AM278" s="121" t="str">
        <f t="shared" si="83"/>
        <v>276 - AW</v>
      </c>
      <c r="AO278" s="121" t="str">
        <f>IF('Cable Info'!N277="","",CONCATENATE('Cable Info'!N277," - ",'Cable Info'!O277))</f>
        <v>276 - AW</v>
      </c>
      <c r="AR278" s="121" t="str">
        <f t="shared" si="84"/>
        <v>276 - AW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str">
        <f>IF('Cable Info'!L278="","",CONCATENATE('Cable Info'!L278," - ",'Cable Info'!M278))</f>
        <v>277 - AW</v>
      </c>
      <c r="AM279" s="121" t="str">
        <f t="shared" si="83"/>
        <v>277 - AW</v>
      </c>
      <c r="AO279" s="121" t="str">
        <f>IF('Cable Info'!N278="","",CONCATENATE('Cable Info'!N278," - ",'Cable Info'!O278))</f>
        <v>277 - AW</v>
      </c>
      <c r="AR279" s="121" t="str">
        <f t="shared" si="84"/>
        <v>277 - AW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str">
        <f>IF('Cable Info'!L279="","",CONCATENATE('Cable Info'!L279," - ",'Cable Info'!M279))</f>
        <v>278 - AW</v>
      </c>
      <c r="AM280" s="121" t="str">
        <f t="shared" si="83"/>
        <v>278 - AW</v>
      </c>
      <c r="AO280" s="121" t="str">
        <f>IF('Cable Info'!N279="","",CONCATENATE('Cable Info'!N279," - ",'Cable Info'!O279))</f>
        <v>278 - AW</v>
      </c>
      <c r="AR280" s="121" t="str">
        <f t="shared" si="84"/>
        <v>278 - AW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str">
        <f>IF('Cable Info'!L280="","",CONCATENATE('Cable Info'!L280," - ",'Cable Info'!M280))</f>
        <v>279 - AW</v>
      </c>
      <c r="AM281" s="121" t="str">
        <f t="shared" si="83"/>
        <v>279 - AW</v>
      </c>
      <c r="AO281" s="121" t="str">
        <f>IF('Cable Info'!N280="","",CONCATENATE('Cable Info'!N280," - ",'Cable Info'!O280))</f>
        <v>279 - AW</v>
      </c>
      <c r="AR281" s="121" t="str">
        <f t="shared" si="84"/>
        <v>279 - AW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str">
        <f>IF('Cable Info'!L281="","",CONCATENATE('Cable Info'!L281," - ",'Cable Info'!M281))</f>
        <v>280 - AW</v>
      </c>
      <c r="AM282" s="121" t="str">
        <f t="shared" si="83"/>
        <v>280 - AW</v>
      </c>
      <c r="AO282" s="121" t="str">
        <f>IF('Cable Info'!N281="","",CONCATENATE('Cable Info'!N281," - ",'Cable Info'!O281))</f>
        <v>280 - AW</v>
      </c>
      <c r="AR282" s="121" t="str">
        <f t="shared" si="84"/>
        <v>280 - AW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str">
        <f>IF('Cable Info'!L282="","",CONCATENATE('Cable Info'!L282," - ",'Cable Info'!M282))</f>
        <v>281 - AW</v>
      </c>
      <c r="AM283" s="121" t="str">
        <f t="shared" si="83"/>
        <v>281 - AW</v>
      </c>
      <c r="AO283" s="121" t="str">
        <f>IF('Cable Info'!N282="","",CONCATENATE('Cable Info'!N282," - ",'Cable Info'!O282))</f>
        <v>281 - AW</v>
      </c>
      <c r="AR283" s="121" t="str">
        <f t="shared" si="84"/>
        <v>281 - AW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str">
        <f>IF('Cable Info'!L283="","",CONCATENATE('Cable Info'!L283," - ",'Cable Info'!M283))</f>
        <v>282 - AW</v>
      </c>
      <c r="AM284" s="121" t="str">
        <f t="shared" si="83"/>
        <v>282 - AW</v>
      </c>
      <c r="AO284" s="121" t="str">
        <f>IF('Cable Info'!N283="","",CONCATENATE('Cable Info'!N283," - ",'Cable Info'!O283))</f>
        <v>282 - AW</v>
      </c>
      <c r="AR284" s="121" t="str">
        <f t="shared" si="84"/>
        <v>282 - AW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str">
        <f>IF('Cable Info'!L284="","",CONCATENATE('Cable Info'!L284," - ",'Cable Info'!M284))</f>
        <v>283 - AW</v>
      </c>
      <c r="AM285" s="121" t="str">
        <f t="shared" si="83"/>
        <v>283 - AW</v>
      </c>
      <c r="AO285" s="121" t="str">
        <f>IF('Cable Info'!N284="","",CONCATENATE('Cable Info'!N284," - ",'Cable Info'!O284))</f>
        <v>283 - AW</v>
      </c>
      <c r="AR285" s="121" t="str">
        <f t="shared" si="84"/>
        <v>283 - AW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str">
        <f>IF('Cable Info'!L285="","",CONCATENATE('Cable Info'!L285," - ",'Cable Info'!M285))</f>
        <v>284 - AW</v>
      </c>
      <c r="AM286" s="121" t="str">
        <f t="shared" si="83"/>
        <v>284 - AW</v>
      </c>
      <c r="AO286" s="121" t="str">
        <f>IF('Cable Info'!N285="","",CONCATENATE('Cable Info'!N285," - ",'Cable Info'!O285))</f>
        <v>284 - AW</v>
      </c>
      <c r="AR286" s="121" t="str">
        <f t="shared" si="84"/>
        <v>284 - AW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str">
        <f>IF('Cable Info'!L286="","",CONCATENATE('Cable Info'!L286," - ",'Cable Info'!M286))</f>
        <v>285 - AW</v>
      </c>
      <c r="AM287" s="121" t="str">
        <f t="shared" si="83"/>
        <v>285 - AW</v>
      </c>
      <c r="AO287" s="121" t="str">
        <f>IF('Cable Info'!N286="","",CONCATENATE('Cable Info'!N286," - ",'Cable Info'!O286))</f>
        <v>285 - AW</v>
      </c>
      <c r="AR287" s="121" t="str">
        <f t="shared" si="84"/>
        <v>285 - AW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str">
        <f>IF('Cable Info'!L287="","",CONCATENATE('Cable Info'!L287," - ",'Cable Info'!M287))</f>
        <v>286 - AW</v>
      </c>
      <c r="AM288" s="121" t="str">
        <f t="shared" si="83"/>
        <v>286 - AW</v>
      </c>
      <c r="AO288" s="121" t="str">
        <f>IF('Cable Info'!N287="","",CONCATENATE('Cable Info'!N287," - ",'Cable Info'!O287))</f>
        <v>286 - AW</v>
      </c>
      <c r="AR288" s="121" t="str">
        <f t="shared" si="84"/>
        <v>286 - AW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str">
        <f>IF('Cable Info'!L288="","",CONCATENATE('Cable Info'!L288," - ",'Cable Info'!M288))</f>
        <v>287 - AW</v>
      </c>
      <c r="AM289" s="121" t="str">
        <f t="shared" si="83"/>
        <v>287 - AW</v>
      </c>
      <c r="AO289" s="121" t="str">
        <f>IF('Cable Info'!N288="","",CONCATENATE('Cable Info'!N288," - ",'Cable Info'!O288))</f>
        <v>287 - AW</v>
      </c>
      <c r="AR289" s="121" t="str">
        <f t="shared" si="84"/>
        <v>287 - AW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str">
        <f>IF('Cable Info'!L289="","",CONCATENATE('Cable Info'!L289," - ",'Cable Info'!M289))</f>
        <v>288 - AW</v>
      </c>
      <c r="AM290" s="121" t="str">
        <f t="shared" si="83"/>
        <v>288 - AW</v>
      </c>
      <c r="AO290" s="121" t="str">
        <f>IF('Cable Info'!N289="","",CONCATENATE('Cable Info'!N289," - ",'Cable Info'!O289))</f>
        <v>288 - AW</v>
      </c>
      <c r="AR290" s="121" t="str">
        <f t="shared" si="84"/>
        <v>288 - AW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str">
        <f>IF('Cable Info'!L290="","",CONCATENATE('Cable Info'!L290," - ",'Cable Info'!M290))</f>
        <v>289 - AW</v>
      </c>
      <c r="AM291" s="121" t="str">
        <f t="shared" si="83"/>
        <v>289 - AW</v>
      </c>
      <c r="AO291" s="121" t="str">
        <f>IF('Cable Info'!N290="","",CONCATENATE('Cable Info'!N290," - ",'Cable Info'!O290))</f>
        <v>289 - AW</v>
      </c>
      <c r="AR291" s="121" t="str">
        <f t="shared" si="84"/>
        <v>289 - AW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str">
        <f>IF('Cable Info'!L291="","",CONCATENATE('Cable Info'!L291," - ",'Cable Info'!M291))</f>
        <v>290 - AW</v>
      </c>
      <c r="AM292" s="121" t="str">
        <f t="shared" si="83"/>
        <v>290 - AW</v>
      </c>
      <c r="AO292" s="121" t="str">
        <f>IF('Cable Info'!N291="","",CONCATENATE('Cable Info'!N291," - ",'Cable Info'!O291))</f>
        <v>290 - AW</v>
      </c>
      <c r="AR292" s="121" t="str">
        <f t="shared" si="84"/>
        <v>290 - AW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str">
        <f>IF('Cable Info'!L292="","",CONCATENATE('Cable Info'!L292," - ",'Cable Info'!M292))</f>
        <v>291 - AW</v>
      </c>
      <c r="AM293" s="121" t="str">
        <f t="shared" si="83"/>
        <v>291 - AW</v>
      </c>
      <c r="AO293" s="121" t="str">
        <f>IF('Cable Info'!N292="","",CONCATENATE('Cable Info'!N292," - ",'Cable Info'!O292))</f>
        <v>291 - AW</v>
      </c>
      <c r="AR293" s="121" t="str">
        <f t="shared" si="84"/>
        <v>291 - AW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str">
        <f>IF('Cable Info'!L293="","",CONCATENATE('Cable Info'!L293," - ",'Cable Info'!M293))</f>
        <v>292 - AW</v>
      </c>
      <c r="AM294" s="121" t="str">
        <f t="shared" si="83"/>
        <v>292 - AW</v>
      </c>
      <c r="AO294" s="121" t="str">
        <f>IF('Cable Info'!N293="","",CONCATENATE('Cable Info'!N293," - ",'Cable Info'!O293))</f>
        <v>292 - AW</v>
      </c>
      <c r="AR294" s="121" t="str">
        <f t="shared" si="84"/>
        <v>292 - AW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str">
        <f>IF('Cable Info'!L294="","",CONCATENATE('Cable Info'!L294," - ",'Cable Info'!M294))</f>
        <v>293 - AW</v>
      </c>
      <c r="AM295" s="121" t="str">
        <f t="shared" si="83"/>
        <v>293 - AW</v>
      </c>
      <c r="AO295" s="121" t="str">
        <f>IF('Cable Info'!N294="","",CONCATENATE('Cable Info'!N294," - ",'Cable Info'!O294))</f>
        <v>293 - AW</v>
      </c>
      <c r="AR295" s="121" t="str">
        <f t="shared" si="84"/>
        <v>293 - AW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str">
        <f>IF('Cable Info'!L295="","",CONCATENATE('Cable Info'!L295," - ",'Cable Info'!M295))</f>
        <v>294 - AW</v>
      </c>
      <c r="AM296" s="121" t="str">
        <f t="shared" si="83"/>
        <v>294 - AW</v>
      </c>
      <c r="AO296" s="121" t="str">
        <f>IF('Cable Info'!N295="","",CONCATENATE('Cable Info'!N295," - ",'Cable Info'!O295))</f>
        <v>294 - AW</v>
      </c>
      <c r="AR296" s="121" t="str">
        <f t="shared" si="84"/>
        <v>294 - AW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str">
        <f>IF('Cable Info'!L296="","",CONCATENATE('Cable Info'!L296," - ",'Cable Info'!M296))</f>
        <v>295 - AW</v>
      </c>
      <c r="AM297" s="121" t="str">
        <f t="shared" si="83"/>
        <v>295 - AW</v>
      </c>
      <c r="AO297" s="121" t="str">
        <f>IF('Cable Info'!N296="","",CONCATENATE('Cable Info'!N296," - ",'Cable Info'!O296))</f>
        <v>295 - AW</v>
      </c>
      <c r="AR297" s="121" t="str">
        <f t="shared" si="84"/>
        <v>295 - AW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str">
        <f>IF('Cable Info'!L297="","",CONCATENATE('Cable Info'!L297," - ",'Cable Info'!M297))</f>
        <v>296 - AW</v>
      </c>
      <c r="AM298" s="121" t="str">
        <f t="shared" si="83"/>
        <v>296 - AW</v>
      </c>
      <c r="AO298" s="121" t="str">
        <f>IF('Cable Info'!N297="","",CONCATENATE('Cable Info'!N297," - ",'Cable Info'!O297))</f>
        <v>296 - AW</v>
      </c>
      <c r="AR298" s="121" t="str">
        <f t="shared" si="84"/>
        <v>296 - AW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str">
        <f>IF('Cable Info'!L298="","",CONCATENATE('Cable Info'!L298," - ",'Cable Info'!M298))</f>
        <v>297 - AW</v>
      </c>
      <c r="AM299" s="121" t="str">
        <f t="shared" si="83"/>
        <v>297 - AW</v>
      </c>
      <c r="AO299" s="121" t="str">
        <f>IF('Cable Info'!N298="","",CONCATENATE('Cable Info'!N298," - ",'Cable Info'!O298))</f>
        <v>297 - AW</v>
      </c>
      <c r="AR299" s="121" t="str">
        <f t="shared" si="84"/>
        <v>297 - AW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str">
        <f>IF('Cable Info'!L299="","",CONCATENATE('Cable Info'!L299," - ",'Cable Info'!M299))</f>
        <v>298 - AW</v>
      </c>
      <c r="AM300" s="121" t="str">
        <f t="shared" si="83"/>
        <v>298 - AW</v>
      </c>
      <c r="AO300" s="121" t="str">
        <f>IF('Cable Info'!N299="","",CONCATENATE('Cable Info'!N299," - ",'Cable Info'!O299))</f>
        <v>298 - AW</v>
      </c>
      <c r="AR300" s="121" t="str">
        <f t="shared" si="84"/>
        <v>298 - AW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str">
        <f>IF('Cable Info'!L300="","",CONCATENATE('Cable Info'!L300," - ",'Cable Info'!M300))</f>
        <v>299 - AW</v>
      </c>
      <c r="AM301" s="121" t="str">
        <f t="shared" si="83"/>
        <v>299 - AW</v>
      </c>
      <c r="AO301" s="121" t="str">
        <f>IF('Cable Info'!N300="","",CONCATENATE('Cable Info'!N300," - ",'Cable Info'!O300))</f>
        <v>299 - AW</v>
      </c>
      <c r="AR301" s="121" t="str">
        <f t="shared" si="84"/>
        <v>299 - AW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str">
        <f>IF('Cable Info'!L301="","",CONCATENATE('Cable Info'!L301," - ",'Cable Info'!M301))</f>
        <v>300 - AW</v>
      </c>
      <c r="AM302" s="121" t="str">
        <f t="shared" si="83"/>
        <v>300 - AW</v>
      </c>
      <c r="AO302" s="121" t="str">
        <f>IF('Cable Info'!N301="","",CONCATENATE('Cable Info'!N301," - ",'Cable Info'!O301))</f>
        <v>300 - AW</v>
      </c>
      <c r="AR302" s="121" t="str">
        <f t="shared" si="84"/>
        <v>300 - AW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str">
        <f>IF('Cable Info'!L302="","",CONCATENATE('Cable Info'!L302," - ",'Cable Info'!M302))</f>
        <v>301 - AW</v>
      </c>
      <c r="AM303" s="121" t="str">
        <f t="shared" si="83"/>
        <v>301 - AW</v>
      </c>
      <c r="AO303" s="121" t="str">
        <f>IF('Cable Info'!N302="","",CONCATENATE('Cable Info'!N302," - ",'Cable Info'!O302))</f>
        <v>301 - AW</v>
      </c>
      <c r="AR303" s="121" t="str">
        <f t="shared" si="84"/>
        <v>301 - AW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str">
        <f>IF('Cable Info'!L303="","",CONCATENATE('Cable Info'!L303," - ",'Cable Info'!M303))</f>
        <v>302 - AW</v>
      </c>
      <c r="AM304" s="121" t="str">
        <f t="shared" si="83"/>
        <v>302 - AW</v>
      </c>
      <c r="AO304" s="121" t="str">
        <f>IF('Cable Info'!N303="","",CONCATENATE('Cable Info'!N303," - ",'Cable Info'!O303))</f>
        <v>302 - AW</v>
      </c>
      <c r="AR304" s="121" t="str">
        <f t="shared" si="84"/>
        <v>302 - AW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str">
        <f>IF('Cable Info'!L304="","",CONCATENATE('Cable Info'!L304," - ",'Cable Info'!M304))</f>
        <v>303 - AW</v>
      </c>
      <c r="AM305" s="121" t="str">
        <f t="shared" si="83"/>
        <v>303 - AW</v>
      </c>
      <c r="AO305" s="121" t="str">
        <f>IF('Cable Info'!N304="","",CONCATENATE('Cable Info'!N304," - ",'Cable Info'!O304))</f>
        <v>303 - AW</v>
      </c>
      <c r="AR305" s="121" t="str">
        <f t="shared" si="84"/>
        <v>303 - AW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str">
        <f>IF('Cable Info'!L305="","",CONCATENATE('Cable Info'!L305," - ",'Cable Info'!M305))</f>
        <v>304 - AW</v>
      </c>
      <c r="AM306" s="121" t="str">
        <f t="shared" si="83"/>
        <v>304 - AW</v>
      </c>
      <c r="AO306" s="121" t="str">
        <f>IF('Cable Info'!N305="","",CONCATENATE('Cable Info'!N305," - ",'Cable Info'!O305))</f>
        <v>304 - AW</v>
      </c>
      <c r="AR306" s="121" t="str">
        <f t="shared" si="84"/>
        <v>304 - AW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str">
        <f>IF('Cable Info'!L306="","",CONCATENATE('Cable Info'!L306," - ",'Cable Info'!M306))</f>
        <v>305 - AW</v>
      </c>
      <c r="AM307" s="121" t="str">
        <f t="shared" si="83"/>
        <v>305 - AW</v>
      </c>
      <c r="AO307" s="121" t="str">
        <f>IF('Cable Info'!N306="","",CONCATENATE('Cable Info'!N306," - ",'Cable Info'!O306))</f>
        <v>305 - AW</v>
      </c>
      <c r="AR307" s="121" t="str">
        <f t="shared" si="84"/>
        <v>305 - AW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str">
        <f>IF('Cable Info'!L307="","",CONCATENATE('Cable Info'!L307," - ",'Cable Info'!M307))</f>
        <v>306 - AW</v>
      </c>
      <c r="AM308" s="121" t="str">
        <f t="shared" si="83"/>
        <v>306 - AW</v>
      </c>
      <c r="AO308" s="121" t="str">
        <f>IF('Cable Info'!N307="","",CONCATENATE('Cable Info'!N307," - ",'Cable Info'!O307))</f>
        <v>306 - AW</v>
      </c>
      <c r="AR308" s="121" t="str">
        <f t="shared" si="84"/>
        <v>306 - AW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str">
        <f>IF('Cable Info'!L308="","",CONCATENATE('Cable Info'!L308," - ",'Cable Info'!M308))</f>
        <v>307 - AW</v>
      </c>
      <c r="AM309" s="121" t="str">
        <f t="shared" si="83"/>
        <v>307 - AW</v>
      </c>
      <c r="AO309" s="121" t="str">
        <f>IF('Cable Info'!N308="","",CONCATENATE('Cable Info'!N308," - ",'Cable Info'!O308))</f>
        <v>307 - AW</v>
      </c>
      <c r="AR309" s="121" t="str">
        <f t="shared" si="84"/>
        <v>307 - AW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str">
        <f>IF('Cable Info'!L309="","",CONCATENATE('Cable Info'!L309," - ",'Cable Info'!M309))</f>
        <v>308 - AW</v>
      </c>
      <c r="AM310" s="121" t="str">
        <f t="shared" si="83"/>
        <v>308 - AW</v>
      </c>
      <c r="AO310" s="121" t="str">
        <f>IF('Cable Info'!N309="","",CONCATENATE('Cable Info'!N309," - ",'Cable Info'!O309))</f>
        <v>308 - AW</v>
      </c>
      <c r="AR310" s="121" t="str">
        <f t="shared" si="84"/>
        <v>308 - AW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str">
        <f>IF('Cable Info'!L310="","",CONCATENATE('Cable Info'!L310," - ",'Cable Info'!M310))</f>
        <v>309 - AW</v>
      </c>
      <c r="AM311" s="121" t="str">
        <f t="shared" si="83"/>
        <v>309 - AW</v>
      </c>
      <c r="AO311" s="121" t="str">
        <f>IF('Cable Info'!N310="","",CONCATENATE('Cable Info'!N310," - ",'Cable Info'!O310))</f>
        <v>309 - AW</v>
      </c>
      <c r="AR311" s="121" t="str">
        <f t="shared" si="84"/>
        <v>309 - AW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str">
        <f>IF('Cable Info'!L311="","",CONCATENATE('Cable Info'!L311," - ",'Cable Info'!M311))</f>
        <v>310 - AW</v>
      </c>
      <c r="AM312" s="121" t="str">
        <f t="shared" si="83"/>
        <v>310 - AW</v>
      </c>
      <c r="AO312" s="121" t="str">
        <f>IF('Cable Info'!N311="","",CONCATENATE('Cable Info'!N311," - ",'Cable Info'!O311))</f>
        <v>310 - AW</v>
      </c>
      <c r="AR312" s="121" t="str">
        <f t="shared" si="84"/>
        <v>310 - AW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str">
        <f>IF('Cable Info'!L312="","",CONCATENATE('Cable Info'!L312," - ",'Cable Info'!M312))</f>
        <v>311 - AW</v>
      </c>
      <c r="AM313" s="121" t="str">
        <f t="shared" si="83"/>
        <v>311 - AW</v>
      </c>
      <c r="AO313" s="121" t="str">
        <f>IF('Cable Info'!N312="","",CONCATENATE('Cable Info'!N312," - ",'Cable Info'!O312))</f>
        <v>311 - AW</v>
      </c>
      <c r="AR313" s="121" t="str">
        <f t="shared" si="84"/>
        <v>311 - AW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str">
        <f>IF('Cable Info'!L313="","",CONCATENATE('Cable Info'!L313," - ",'Cable Info'!M313))</f>
        <v>312 - AW</v>
      </c>
      <c r="AM314" s="121" t="str">
        <f t="shared" si="83"/>
        <v>312 - AW</v>
      </c>
      <c r="AO314" s="121" t="str">
        <f>IF('Cable Info'!N313="","",CONCATENATE('Cable Info'!N313," - ",'Cable Info'!O313))</f>
        <v>312 - AW</v>
      </c>
      <c r="AR314" s="121" t="str">
        <f t="shared" si="84"/>
        <v>312 - AW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str">
        <f>IF('Cable Info'!L314="","",CONCATENATE('Cable Info'!L314," - ",'Cable Info'!M314))</f>
        <v>313 - AW</v>
      </c>
      <c r="AM315" s="121" t="str">
        <f t="shared" si="83"/>
        <v>313 - AW</v>
      </c>
      <c r="AO315" s="121" t="str">
        <f>IF('Cable Info'!N314="","",CONCATENATE('Cable Info'!N314," - ",'Cable Info'!O314))</f>
        <v>313 - AW</v>
      </c>
      <c r="AR315" s="121" t="str">
        <f t="shared" si="84"/>
        <v>313 - AW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str">
        <f>IF('Cable Info'!L315="","",CONCATENATE('Cable Info'!L315," - ",'Cable Info'!M315))</f>
        <v>314 - AW</v>
      </c>
      <c r="AM316" s="121" t="str">
        <f t="shared" si="83"/>
        <v>314 - AW</v>
      </c>
      <c r="AO316" s="121" t="str">
        <f>IF('Cable Info'!N315="","",CONCATENATE('Cable Info'!N315," - ",'Cable Info'!O315))</f>
        <v>314 - AW</v>
      </c>
      <c r="AR316" s="121" t="str">
        <f t="shared" si="84"/>
        <v>314 - AW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str">
        <f>IF('Cable Info'!L316="","",CONCATENATE('Cable Info'!L316," - ",'Cable Info'!M316))</f>
        <v>315 - AW</v>
      </c>
      <c r="AM317" s="121" t="str">
        <f t="shared" si="83"/>
        <v>315 - AW</v>
      </c>
      <c r="AO317" s="121" t="str">
        <f>IF('Cable Info'!N316="","",CONCATENATE('Cable Info'!N316," - ",'Cable Info'!O316))</f>
        <v>315 - AW</v>
      </c>
      <c r="AR317" s="121" t="str">
        <f t="shared" si="84"/>
        <v>315 - AW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str">
        <f>IF('Cable Info'!L317="","",CONCATENATE('Cable Info'!L317," - ",'Cable Info'!M317))</f>
        <v>316 - AW</v>
      </c>
      <c r="AM318" s="121" t="str">
        <f t="shared" si="83"/>
        <v>316 - AW</v>
      </c>
      <c r="AO318" s="121" t="str">
        <f>IF('Cable Info'!N317="","",CONCATENATE('Cable Info'!N317," - ",'Cable Info'!O317))</f>
        <v>316 - AW</v>
      </c>
      <c r="AR318" s="121" t="str">
        <f t="shared" si="84"/>
        <v>316 - AW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str">
        <f>IF('Cable Info'!L318="","",CONCATENATE('Cable Info'!L318," - ",'Cable Info'!M318))</f>
        <v>317 - AW</v>
      </c>
      <c r="AM319" s="121" t="str">
        <f t="shared" si="83"/>
        <v>317 - AW</v>
      </c>
      <c r="AO319" s="121" t="str">
        <f>IF('Cable Info'!N318="","",CONCATENATE('Cable Info'!N318," - ",'Cable Info'!O318))</f>
        <v>317 - AW</v>
      </c>
      <c r="AR319" s="121" t="str">
        <f t="shared" si="84"/>
        <v>317 - AW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str">
        <f>IF('Cable Info'!L319="","",CONCATENATE('Cable Info'!L319," - ",'Cable Info'!M319))</f>
        <v>318 - AW</v>
      </c>
      <c r="AM320" s="121" t="str">
        <f t="shared" si="83"/>
        <v>318 - AW</v>
      </c>
      <c r="AO320" s="121" t="str">
        <f>IF('Cable Info'!N319="","",CONCATENATE('Cable Info'!N319," - ",'Cable Info'!O319))</f>
        <v>318 - AW</v>
      </c>
      <c r="AR320" s="121" t="str">
        <f t="shared" si="84"/>
        <v>318 - AW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str">
        <f>IF('Cable Info'!L320="","",CONCATENATE('Cable Info'!L320," - ",'Cable Info'!M320))</f>
        <v>319 - AW</v>
      </c>
      <c r="AM321" s="121" t="str">
        <f t="shared" si="83"/>
        <v>319 - AW</v>
      </c>
      <c r="AO321" s="121" t="str">
        <f>IF('Cable Info'!N320="","",CONCATENATE('Cable Info'!N320," - ",'Cable Info'!O320))</f>
        <v>319 - AW</v>
      </c>
      <c r="AR321" s="121" t="str">
        <f t="shared" si="84"/>
        <v>319 - AW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str">
        <f>IF('Cable Info'!L321="","",CONCATENATE('Cable Info'!L321," - ",'Cable Info'!M321))</f>
        <v>320 - AW</v>
      </c>
      <c r="AM322" s="121" t="str">
        <f t="shared" si="83"/>
        <v>320 - AW</v>
      </c>
      <c r="AO322" s="121" t="str">
        <f>IF('Cable Info'!N321="","",CONCATENATE('Cable Info'!N321," - ",'Cable Info'!O321))</f>
        <v>320 - AW</v>
      </c>
      <c r="AR322" s="121" t="str">
        <f t="shared" si="84"/>
        <v>320 - AW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str">
        <f>IF('Cable Info'!L322="","",CONCATENATE('Cable Info'!L322," - ",'Cable Info'!M322))</f>
        <v>321 - AW</v>
      </c>
      <c r="AM323" s="121" t="str">
        <f t="shared" si="83"/>
        <v>321 - AW</v>
      </c>
      <c r="AO323" s="121" t="str">
        <f>IF('Cable Info'!N322="","",CONCATENATE('Cable Info'!N322," - ",'Cable Info'!O322))</f>
        <v>321 - AW</v>
      </c>
      <c r="AR323" s="121" t="str">
        <f t="shared" si="84"/>
        <v>321 - AW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str">
        <f>IF('Cable Info'!L323="","",CONCATENATE('Cable Info'!L323," - ",'Cable Info'!M323))</f>
        <v>322 - AW</v>
      </c>
      <c r="AM324" s="121" t="str">
        <f t="shared" si="83"/>
        <v>322 - AW</v>
      </c>
      <c r="AO324" s="121" t="str">
        <f>IF('Cable Info'!N323="","",CONCATENATE('Cable Info'!N323," - ",'Cable Info'!O323))</f>
        <v>322 - AW</v>
      </c>
      <c r="AR324" s="121" t="str">
        <f t="shared" si="84"/>
        <v>322 - AW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str">
        <f>IF('Cable Info'!L324="","",CONCATENATE('Cable Info'!L324," - ",'Cable Info'!M324))</f>
        <v>323 - AW</v>
      </c>
      <c r="AM325" s="121" t="str">
        <f t="shared" si="83"/>
        <v>323 - AW</v>
      </c>
      <c r="AO325" s="121" t="str">
        <f>IF('Cable Info'!N324="","",CONCATENATE('Cable Info'!N324," - ",'Cable Info'!O324))</f>
        <v>323 - AW</v>
      </c>
      <c r="AR325" s="121" t="str">
        <f t="shared" si="84"/>
        <v>323 - AW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str">
        <f>IF('Cable Info'!L325="","",CONCATENATE('Cable Info'!L325," - ",'Cable Info'!M325))</f>
        <v>324 - AW</v>
      </c>
      <c r="AM326" s="121" t="str">
        <f t="shared" si="83"/>
        <v>324 - AW</v>
      </c>
      <c r="AO326" s="121" t="str">
        <f>IF('Cable Info'!N325="","",CONCATENATE('Cable Info'!N325," - ",'Cable Info'!O325))</f>
        <v>324 - AW</v>
      </c>
      <c r="AR326" s="121" t="str">
        <f t="shared" si="84"/>
        <v>324 - AW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str">
        <f>IF('Cable Info'!L326="","",CONCATENATE('Cable Info'!L326," - ",'Cable Info'!M326))</f>
        <v>325 - AW</v>
      </c>
      <c r="AM327" s="121" t="str">
        <f t="shared" si="83"/>
        <v>325 - AW</v>
      </c>
      <c r="AO327" s="121" t="str">
        <f>IF('Cable Info'!N326="","",CONCATENATE('Cable Info'!N326," - ",'Cable Info'!O326))</f>
        <v>325 - AW</v>
      </c>
      <c r="AR327" s="121" t="str">
        <f t="shared" si="84"/>
        <v>325 - AW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str">
        <f>IF('Cable Info'!L327="","",CONCATENATE('Cable Info'!L327," - ",'Cable Info'!M327))</f>
        <v>326 - AW</v>
      </c>
      <c r="AM328" s="121" t="str">
        <f t="shared" si="83"/>
        <v>326 - AW</v>
      </c>
      <c r="AO328" s="121" t="str">
        <f>IF('Cable Info'!N327="","",CONCATENATE('Cable Info'!N327," - ",'Cable Info'!O327))</f>
        <v>326 - AW</v>
      </c>
      <c r="AR328" s="121" t="str">
        <f t="shared" si="84"/>
        <v>326 - AW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str">
        <f>IF('Cable Info'!L328="","",CONCATENATE('Cable Info'!L328," - ",'Cable Info'!M328))</f>
        <v>327 - AW</v>
      </c>
      <c r="AM329" s="121" t="str">
        <f t="shared" si="83"/>
        <v>327 - AW</v>
      </c>
      <c r="AO329" s="121" t="str">
        <f>IF('Cable Info'!N328="","",CONCATENATE('Cable Info'!N328," - ",'Cable Info'!O328))</f>
        <v>327 - AW</v>
      </c>
      <c r="AR329" s="121" t="str">
        <f t="shared" si="84"/>
        <v>327 - AW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str">
        <f>IF('Cable Info'!L329="","",CONCATENATE('Cable Info'!L329," - ",'Cable Info'!M329))</f>
        <v>328 - AW</v>
      </c>
      <c r="AM330" s="121" t="str">
        <f t="shared" si="83"/>
        <v>328 - AW</v>
      </c>
      <c r="AO330" s="121" t="str">
        <f>IF('Cable Info'!N329="","",CONCATENATE('Cable Info'!N329," - ",'Cable Info'!O329))</f>
        <v>328 - AW</v>
      </c>
      <c r="AR330" s="121" t="str">
        <f t="shared" si="84"/>
        <v>328 - AW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str">
        <f>IF('Cable Info'!L330="","",CONCATENATE('Cable Info'!L330," - ",'Cable Info'!M330))</f>
        <v>329 - AW</v>
      </c>
      <c r="AM331" s="121" t="str">
        <f t="shared" si="83"/>
        <v>329 - AW</v>
      </c>
      <c r="AO331" s="121" t="str">
        <f>IF('Cable Info'!N330="","",CONCATENATE('Cable Info'!N330," - ",'Cable Info'!O330))</f>
        <v>329 - AW</v>
      </c>
      <c r="AR331" s="121" t="str">
        <f t="shared" si="84"/>
        <v>329 - AW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str">
        <f>IF('Cable Info'!L331="","",CONCATENATE('Cable Info'!L331," - ",'Cable Info'!M331))</f>
        <v>330 - AW</v>
      </c>
      <c r="AM332" s="121" t="str">
        <f t="shared" si="83"/>
        <v>330 - AW</v>
      </c>
      <c r="AO332" s="121" t="str">
        <f>IF('Cable Info'!N331="","",CONCATENATE('Cable Info'!N331," - ",'Cable Info'!O331))</f>
        <v>330 - AW</v>
      </c>
      <c r="AR332" s="121" t="str">
        <f t="shared" si="84"/>
        <v>330 - AW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str">
        <f>IF('Cable Info'!L332="","",CONCATENATE('Cable Info'!L332," - ",'Cable Info'!M332))</f>
        <v>331 - AW</v>
      </c>
      <c r="AM333" s="121" t="str">
        <f t="shared" ref="AM333:AM368" si="95">IF(AK333="",AJ333,CONCATENATE(AJ333,"  &lt;=&gt; ",AK333," ",AL333))</f>
        <v>331 - AW</v>
      </c>
      <c r="AO333" s="121" t="str">
        <f>IF('Cable Info'!N332="","",CONCATENATE('Cable Info'!N332," - ",'Cable Info'!O332))</f>
        <v>331 - AW</v>
      </c>
      <c r="AR333" s="121" t="str">
        <f t="shared" ref="AR333:AR368" si="96">IF(AP333="",AO333,CONCATENATE(AO333,"  &lt;=&gt; ",AP333," ",AQ333))</f>
        <v>331 - AW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str">
        <f>IF('Cable Info'!L333="","",CONCATENATE('Cable Info'!L333," - ",'Cable Info'!M333))</f>
        <v>332 - AW</v>
      </c>
      <c r="AM334" s="121" t="str">
        <f t="shared" si="95"/>
        <v>332 - AW</v>
      </c>
      <c r="AO334" s="121" t="str">
        <f>IF('Cable Info'!N333="","",CONCATENATE('Cable Info'!N333," - ",'Cable Info'!O333))</f>
        <v>332 - AW</v>
      </c>
      <c r="AR334" s="121" t="str">
        <f t="shared" si="96"/>
        <v>332 - AW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str">
        <f>IF('Cable Info'!L334="","",CONCATENATE('Cable Info'!L334," - ",'Cable Info'!M334))</f>
        <v>333 - AW</v>
      </c>
      <c r="AM335" s="121" t="str">
        <f t="shared" si="95"/>
        <v>333 - AW</v>
      </c>
      <c r="AO335" s="121" t="str">
        <f>IF('Cable Info'!N334="","",CONCATENATE('Cable Info'!N334," - ",'Cable Info'!O334))</f>
        <v>333 - AW</v>
      </c>
      <c r="AR335" s="121" t="str">
        <f t="shared" si="96"/>
        <v>333 - AW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str">
        <f>IF('Cable Info'!L335="","",CONCATENATE('Cable Info'!L335," - ",'Cable Info'!M335))</f>
        <v>334 - AW</v>
      </c>
      <c r="AM336" s="121" t="str">
        <f t="shared" si="95"/>
        <v>334 - AW</v>
      </c>
      <c r="AO336" s="121" t="str">
        <f>IF('Cable Info'!N335="","",CONCATENATE('Cable Info'!N335," - ",'Cable Info'!O335))</f>
        <v>334 - AW</v>
      </c>
      <c r="AR336" s="121" t="str">
        <f t="shared" si="96"/>
        <v>334 - AW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str">
        <f>IF('Cable Info'!L336="","",CONCATENATE('Cable Info'!L336," - ",'Cable Info'!M336))</f>
        <v>335 - AW</v>
      </c>
      <c r="AM337" s="121" t="str">
        <f t="shared" si="95"/>
        <v>335 - AW</v>
      </c>
      <c r="AO337" s="121" t="str">
        <f>IF('Cable Info'!N336="","",CONCATENATE('Cable Info'!N336," - ",'Cable Info'!O336))</f>
        <v>335 - AW</v>
      </c>
      <c r="AR337" s="121" t="str">
        <f t="shared" si="96"/>
        <v>335 - AW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str">
        <f>IF('Cable Info'!L337="","",CONCATENATE('Cable Info'!L337," - ",'Cable Info'!M337))</f>
        <v>336 - AW</v>
      </c>
      <c r="AM338" s="121" t="str">
        <f t="shared" si="95"/>
        <v>336 - AW</v>
      </c>
      <c r="AO338" s="121" t="str">
        <f>IF('Cable Info'!N337="","",CONCATENATE('Cable Info'!N337," - ",'Cable Info'!O337))</f>
        <v>336 - AW</v>
      </c>
      <c r="AR338" s="121" t="str">
        <f t="shared" si="96"/>
        <v>336 - AW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str">
        <f>IF('Cable Info'!L338="","",CONCATENATE('Cable Info'!L338," - ",'Cable Info'!M338))</f>
        <v>337 - AW</v>
      </c>
      <c r="AM339" s="121" t="str">
        <f t="shared" si="95"/>
        <v>337 - AW</v>
      </c>
      <c r="AO339" s="121" t="str">
        <f>IF('Cable Info'!N338="","",CONCATENATE('Cable Info'!N338," - ",'Cable Info'!O338))</f>
        <v>337 - AW</v>
      </c>
      <c r="AR339" s="121" t="str">
        <f t="shared" si="96"/>
        <v>337 - AW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str">
        <f>IF('Cable Info'!L339="","",CONCATENATE('Cable Info'!L339," - ",'Cable Info'!M339))</f>
        <v>338 - AW</v>
      </c>
      <c r="AM340" s="121" t="str">
        <f t="shared" si="95"/>
        <v>338 - AW</v>
      </c>
      <c r="AO340" s="121" t="str">
        <f>IF('Cable Info'!N339="","",CONCATENATE('Cable Info'!N339," - ",'Cable Info'!O339))</f>
        <v>338 - AW</v>
      </c>
      <c r="AR340" s="121" t="str">
        <f t="shared" si="96"/>
        <v>338 - AW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str">
        <f>IF('Cable Info'!L340="","",CONCATENATE('Cable Info'!L340," - ",'Cable Info'!M340))</f>
        <v>339 - AW</v>
      </c>
      <c r="AM341" s="121" t="str">
        <f t="shared" si="95"/>
        <v>339 - AW</v>
      </c>
      <c r="AO341" s="121" t="str">
        <f>IF('Cable Info'!N340="","",CONCATENATE('Cable Info'!N340," - ",'Cable Info'!O340))</f>
        <v>339 - AW</v>
      </c>
      <c r="AR341" s="121" t="str">
        <f t="shared" si="96"/>
        <v>339 - AW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str">
        <f>IF('Cable Info'!L341="","",CONCATENATE('Cable Info'!L341," - ",'Cable Info'!M341))</f>
        <v>340 - AW</v>
      </c>
      <c r="AM342" s="121" t="str">
        <f t="shared" si="95"/>
        <v>340 - AW</v>
      </c>
      <c r="AO342" s="121" t="str">
        <f>IF('Cable Info'!N341="","",CONCATENATE('Cable Info'!N341," - ",'Cable Info'!O341))</f>
        <v>340 - AW</v>
      </c>
      <c r="AR342" s="121" t="str">
        <f t="shared" si="96"/>
        <v>340 - AW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str">
        <f>IF('Cable Info'!L342="","",CONCATENATE('Cable Info'!L342," - ",'Cable Info'!M342))</f>
        <v>341 - AW</v>
      </c>
      <c r="AM343" s="121" t="str">
        <f t="shared" si="95"/>
        <v>341 - AW</v>
      </c>
      <c r="AO343" s="121" t="str">
        <f>IF('Cable Info'!N342="","",CONCATENATE('Cable Info'!N342," - ",'Cable Info'!O342))</f>
        <v>341 - AW</v>
      </c>
      <c r="AR343" s="121" t="str">
        <f t="shared" si="96"/>
        <v>341 - AW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str">
        <f>IF('Cable Info'!L343="","",CONCATENATE('Cable Info'!L343," - ",'Cable Info'!M343))</f>
        <v>342 - AW</v>
      </c>
      <c r="AM344" s="121" t="str">
        <f t="shared" si="95"/>
        <v>342 - AW</v>
      </c>
      <c r="AO344" s="121" t="str">
        <f>IF('Cable Info'!N343="","",CONCATENATE('Cable Info'!N343," - ",'Cable Info'!O343))</f>
        <v>342 - AW</v>
      </c>
      <c r="AR344" s="121" t="str">
        <f t="shared" si="96"/>
        <v>342 - AW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str">
        <f>IF('Cable Info'!L344="","",CONCATENATE('Cable Info'!L344," - ",'Cable Info'!M344))</f>
        <v>343 - AW</v>
      </c>
      <c r="AM345" s="121" t="str">
        <f t="shared" si="95"/>
        <v>343 - AW</v>
      </c>
      <c r="AO345" s="121" t="str">
        <f>IF('Cable Info'!N344="","",CONCATENATE('Cable Info'!N344," - ",'Cable Info'!O344))</f>
        <v>343 - AW</v>
      </c>
      <c r="AR345" s="121" t="str">
        <f t="shared" si="96"/>
        <v>343 - AW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str">
        <f>IF('Cable Info'!L345="","",CONCATENATE('Cable Info'!L345," - ",'Cable Info'!M345))</f>
        <v>344 - AW</v>
      </c>
      <c r="AM346" s="121" t="str">
        <f t="shared" si="95"/>
        <v>344 - AW</v>
      </c>
      <c r="AO346" s="121" t="str">
        <f>IF('Cable Info'!N345="","",CONCATENATE('Cable Info'!N345," - ",'Cable Info'!O345))</f>
        <v>344 - AW</v>
      </c>
      <c r="AR346" s="121" t="str">
        <f t="shared" si="96"/>
        <v>344 - AW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str">
        <f>IF('Cable Info'!L346="","",CONCATENATE('Cable Info'!L346," - ",'Cable Info'!M346))</f>
        <v>345 - AW</v>
      </c>
      <c r="AM347" s="121" t="str">
        <f t="shared" si="95"/>
        <v>345 - AW</v>
      </c>
      <c r="AO347" s="121" t="str">
        <f>IF('Cable Info'!N346="","",CONCATENATE('Cable Info'!N346," - ",'Cable Info'!O346))</f>
        <v>345 - AW</v>
      </c>
      <c r="AR347" s="121" t="str">
        <f t="shared" si="96"/>
        <v>345 - AW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str">
        <f>IF('Cable Info'!L347="","",CONCATENATE('Cable Info'!L347," - ",'Cable Info'!M347))</f>
        <v>346 - AW</v>
      </c>
      <c r="AM348" s="121" t="str">
        <f t="shared" si="95"/>
        <v>346 - AW</v>
      </c>
      <c r="AO348" s="121" t="str">
        <f>IF('Cable Info'!N347="","",CONCATENATE('Cable Info'!N347," - ",'Cable Info'!O347))</f>
        <v>346 - AW</v>
      </c>
      <c r="AR348" s="121" t="str">
        <f t="shared" si="96"/>
        <v>346 - AW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str">
        <f>IF('Cable Info'!L348="","",CONCATENATE('Cable Info'!L348," - ",'Cable Info'!M348))</f>
        <v>347 - AW</v>
      </c>
      <c r="AM349" s="121" t="str">
        <f t="shared" si="95"/>
        <v>347 - AW</v>
      </c>
      <c r="AO349" s="121" t="str">
        <f>IF('Cable Info'!N348="","",CONCATENATE('Cable Info'!N348," - ",'Cable Info'!O348))</f>
        <v>347 - AW</v>
      </c>
      <c r="AR349" s="121" t="str">
        <f t="shared" si="96"/>
        <v>347 - AW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str">
        <f>IF('Cable Info'!L349="","",CONCATENATE('Cable Info'!L349," - ",'Cable Info'!M349))</f>
        <v>348 - AW</v>
      </c>
      <c r="AM350" s="121" t="str">
        <f t="shared" si="95"/>
        <v>348 - AW</v>
      </c>
      <c r="AO350" s="121" t="str">
        <f>IF('Cable Info'!N349="","",CONCATENATE('Cable Info'!N349," - ",'Cable Info'!O349))</f>
        <v>348 - AW</v>
      </c>
      <c r="AR350" s="121" t="str">
        <f t="shared" si="96"/>
        <v>348 - AW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str">
        <f>IF('Cable Info'!L350="","",CONCATENATE('Cable Info'!L350," - ",'Cable Info'!M350))</f>
        <v>349 - AW</v>
      </c>
      <c r="AM351" s="121" t="str">
        <f t="shared" si="95"/>
        <v>349 - AW</v>
      </c>
      <c r="AO351" s="121" t="str">
        <f>IF('Cable Info'!N350="","",CONCATENATE('Cable Info'!N350," - ",'Cable Info'!O350))</f>
        <v>349 - AW</v>
      </c>
      <c r="AR351" s="121" t="str">
        <f t="shared" si="96"/>
        <v>349 - AW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str">
        <f>IF('Cable Info'!L351="","",CONCATENATE('Cable Info'!L351," - ",'Cable Info'!M351))</f>
        <v>350 - AW</v>
      </c>
      <c r="AM352" s="121" t="str">
        <f t="shared" si="95"/>
        <v>350 - AW</v>
      </c>
      <c r="AO352" s="121" t="str">
        <f>IF('Cable Info'!N351="","",CONCATENATE('Cable Info'!N351," - ",'Cable Info'!O351))</f>
        <v>350 - AW</v>
      </c>
      <c r="AR352" s="121" t="str">
        <f t="shared" si="96"/>
        <v>350 - AW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str">
        <f>IF('Cable Info'!L352="","",CONCATENATE('Cable Info'!L352," - ",'Cable Info'!M352))</f>
        <v>351 - AW</v>
      </c>
      <c r="AM353" s="121" t="str">
        <f t="shared" si="95"/>
        <v>351 - AW</v>
      </c>
      <c r="AO353" s="121" t="str">
        <f>IF('Cable Info'!N352="","",CONCATENATE('Cable Info'!N352," - ",'Cable Info'!O352))</f>
        <v>351 - AW</v>
      </c>
      <c r="AR353" s="121" t="str">
        <f t="shared" si="96"/>
        <v>351 - AW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str">
        <f>IF('Cable Info'!L353="","",CONCATENATE('Cable Info'!L353," - ",'Cable Info'!M353))</f>
        <v>352 - AW</v>
      </c>
      <c r="AM354" s="121" t="str">
        <f t="shared" si="95"/>
        <v>352 - AW</v>
      </c>
      <c r="AO354" s="121" t="str">
        <f>IF('Cable Info'!N353="","",CONCATENATE('Cable Info'!N353," - ",'Cable Info'!O353))</f>
        <v>352 - AW</v>
      </c>
      <c r="AR354" s="121" t="str">
        <f t="shared" si="96"/>
        <v>352 - AW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str">
        <f>IF('Cable Info'!L354="","",CONCATENATE('Cable Info'!L354," - ",'Cable Info'!M354))</f>
        <v>353 - AW</v>
      </c>
      <c r="AM355" s="121" t="str">
        <f t="shared" si="95"/>
        <v>353 - AW</v>
      </c>
      <c r="AO355" s="121" t="str">
        <f>IF('Cable Info'!N354="","",CONCATENATE('Cable Info'!N354," - ",'Cable Info'!O354))</f>
        <v>353 - AW</v>
      </c>
      <c r="AR355" s="121" t="str">
        <f t="shared" si="96"/>
        <v>353 - AW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str">
        <f>IF('Cable Info'!L355="","",CONCATENATE('Cable Info'!L355," - ",'Cable Info'!M355))</f>
        <v>354 - AW</v>
      </c>
      <c r="AM356" s="121" t="str">
        <f t="shared" si="95"/>
        <v>354 - AW</v>
      </c>
      <c r="AO356" s="121" t="str">
        <f>IF('Cable Info'!N355="","",CONCATENATE('Cable Info'!N355," - ",'Cable Info'!O355))</f>
        <v>354 - AW</v>
      </c>
      <c r="AR356" s="121" t="str">
        <f t="shared" si="96"/>
        <v>354 - AW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str">
        <f>IF('Cable Info'!L356="","",CONCATENATE('Cable Info'!L356," - ",'Cable Info'!M356))</f>
        <v>355 - AW</v>
      </c>
      <c r="AM357" s="121" t="str">
        <f t="shared" si="95"/>
        <v>355 - AW</v>
      </c>
      <c r="AO357" s="121" t="str">
        <f>IF('Cable Info'!N356="","",CONCATENATE('Cable Info'!N356," - ",'Cable Info'!O356))</f>
        <v>355 - AW</v>
      </c>
      <c r="AR357" s="121" t="str">
        <f t="shared" si="96"/>
        <v>355 - AW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str">
        <f>IF('Cable Info'!L357="","",CONCATENATE('Cable Info'!L357," - ",'Cable Info'!M357))</f>
        <v>356 - AW</v>
      </c>
      <c r="AM358" s="121" t="str">
        <f t="shared" si="95"/>
        <v>356 - AW</v>
      </c>
      <c r="AO358" s="121" t="str">
        <f>IF('Cable Info'!N357="","",CONCATENATE('Cable Info'!N357," - ",'Cable Info'!O357))</f>
        <v>356 - AW</v>
      </c>
      <c r="AR358" s="121" t="str">
        <f t="shared" si="96"/>
        <v>356 - AW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str">
        <f>IF('Cable Info'!L358="","",CONCATENATE('Cable Info'!L358," - ",'Cable Info'!M358))</f>
        <v>357 - AW</v>
      </c>
      <c r="AM359" s="121" t="str">
        <f t="shared" si="95"/>
        <v>357 - AW</v>
      </c>
      <c r="AO359" s="121" t="str">
        <f>IF('Cable Info'!N358="","",CONCATENATE('Cable Info'!N358," - ",'Cable Info'!O358))</f>
        <v>357 - AW</v>
      </c>
      <c r="AR359" s="121" t="str">
        <f t="shared" si="96"/>
        <v>357 - AW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str">
        <f>IF('Cable Info'!L359="","",CONCATENATE('Cable Info'!L359," - ",'Cable Info'!M359))</f>
        <v>358 - AW</v>
      </c>
      <c r="AM360" s="121" t="str">
        <f t="shared" si="95"/>
        <v>358 - AW</v>
      </c>
      <c r="AO360" s="121" t="str">
        <f>IF('Cable Info'!N359="","",CONCATENATE('Cable Info'!N359," - ",'Cable Info'!O359))</f>
        <v>358 - AW</v>
      </c>
      <c r="AR360" s="121" t="str">
        <f t="shared" si="96"/>
        <v>358 - AW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str">
        <f>IF('Cable Info'!L360="","",CONCATENATE('Cable Info'!L360," - ",'Cable Info'!M360))</f>
        <v>359 - AW</v>
      </c>
      <c r="AM361" s="121" t="str">
        <f t="shared" si="95"/>
        <v>359 - AW</v>
      </c>
      <c r="AO361" s="121" t="str">
        <f>IF('Cable Info'!N360="","",CONCATENATE('Cable Info'!N360," - ",'Cable Info'!O360))</f>
        <v>359 - AW</v>
      </c>
      <c r="AR361" s="121" t="str">
        <f t="shared" si="96"/>
        <v>359 - AW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str">
        <f>IF('Cable Info'!L361="","",CONCATENATE('Cable Info'!L361," - ",'Cable Info'!M361))</f>
        <v>360 - AW</v>
      </c>
      <c r="AM362" s="121" t="str">
        <f t="shared" si="95"/>
        <v>360 - AW</v>
      </c>
      <c r="AO362" s="121" t="str">
        <f>IF('Cable Info'!N361="","",CONCATENATE('Cable Info'!N361," - ",'Cable Info'!O361))</f>
        <v>360 - AW</v>
      </c>
      <c r="AR362" s="121" t="str">
        <f t="shared" si="96"/>
        <v>360 - AW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str">
        <f>IF('Cable Info'!L362="","",CONCATENATE('Cable Info'!L362," - ",'Cable Info'!M362))</f>
        <v>361 - AW</v>
      </c>
      <c r="AM363" s="121" t="str">
        <f t="shared" si="95"/>
        <v>361 - AW</v>
      </c>
      <c r="AO363" s="121" t="str">
        <f>IF('Cable Info'!N362="","",CONCATENATE('Cable Info'!N362," - ",'Cable Info'!O362))</f>
        <v>361 - AW</v>
      </c>
      <c r="AR363" s="121" t="str">
        <f t="shared" si="96"/>
        <v>361 - AW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str">
        <f>IF('Cable Info'!L363="","",CONCATENATE('Cable Info'!L363," - ",'Cable Info'!M363))</f>
        <v>362 - AW</v>
      </c>
      <c r="AM364" s="121" t="str">
        <f t="shared" si="95"/>
        <v>362 - AW</v>
      </c>
      <c r="AO364" s="121" t="str">
        <f>IF('Cable Info'!N363="","",CONCATENATE('Cable Info'!N363," - ",'Cable Info'!O363))</f>
        <v>362 - AW</v>
      </c>
      <c r="AR364" s="121" t="str">
        <f t="shared" si="96"/>
        <v>362 - AW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str">
        <f>IF('Cable Info'!L364="","",CONCATENATE('Cable Info'!L364," - ",'Cable Info'!M364))</f>
        <v>363 - AW</v>
      </c>
      <c r="AM365" s="121" t="str">
        <f t="shared" si="95"/>
        <v>363 - AW</v>
      </c>
      <c r="AO365" s="121" t="str">
        <f>IF('Cable Info'!N364="","",CONCATENATE('Cable Info'!N364," - ",'Cable Info'!O364))</f>
        <v>363 - AW</v>
      </c>
      <c r="AR365" s="121" t="str">
        <f t="shared" si="96"/>
        <v>363 - AW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str">
        <f>IF('Cable Info'!L365="","",CONCATENATE('Cable Info'!L365," - ",'Cable Info'!M365))</f>
        <v>364 - AW</v>
      </c>
      <c r="AM366" s="121" t="str">
        <f t="shared" si="95"/>
        <v>364 - AW</v>
      </c>
      <c r="AO366" s="121" t="str">
        <f>IF('Cable Info'!N365="","",CONCATENATE('Cable Info'!N365," - ",'Cable Info'!O365))</f>
        <v>364 - AW</v>
      </c>
      <c r="AR366" s="121" t="str">
        <f t="shared" si="96"/>
        <v>364 - AW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str">
        <f>IF('Cable Info'!L366="","",CONCATENATE('Cable Info'!L366," - ",'Cable Info'!M366))</f>
        <v>365 - AW</v>
      </c>
      <c r="AM367" s="121" t="str">
        <f t="shared" si="95"/>
        <v>365 - AW</v>
      </c>
      <c r="AO367" s="121" t="str">
        <f>IF('Cable Info'!N366="","",CONCATENATE('Cable Info'!N366," - ",'Cable Info'!O366))</f>
        <v>365 - AW</v>
      </c>
      <c r="AR367" s="121" t="str">
        <f t="shared" si="96"/>
        <v>365 - AW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str">
        <f>IF('Cable Info'!L367="","",CONCATENATE('Cable Info'!L367," - ",'Cable Info'!M367))</f>
        <v>366 - AW</v>
      </c>
      <c r="AM368" s="121" t="str">
        <f t="shared" si="95"/>
        <v>366 - AW</v>
      </c>
      <c r="AO368" s="121" t="str">
        <f>IF('Cable Info'!N367="","",CONCATENATE('Cable Info'!N367," - ",'Cable Info'!O367))</f>
        <v>366 - AW</v>
      </c>
      <c r="AR368" s="121" t="str">
        <f t="shared" si="96"/>
        <v>366 - AW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str">
        <f>IF('Cable Info'!L186="","",CONCATENATE('Cable Info'!L186," - ",'Cable Info'!M186))</f>
        <v>185 - TW</v>
      </c>
      <c r="AM369" s="121" t="str">
        <f t="shared" ref="AM369:AM379" si="107">IF(AK369="",AJ369,CONCATENATE(AJ369,"  &lt;=&gt; ",AK369," ",AL369))</f>
        <v>185 - TW</v>
      </c>
      <c r="AO369" s="121" t="str">
        <f>IF('Cable Info'!N186="","",CONCATENATE('Cable Info'!N186," - ",'Cable Info'!O186))</f>
        <v>185 - TW</v>
      </c>
      <c r="AR369" s="121" t="str">
        <f t="shared" ref="AR369:AR379" si="108">IF(AP369="",AO369,CONCATENATE(AO369,"  &lt;=&gt; ",AP369," ",AQ369))</f>
        <v>185 - TW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str">
        <f>IF('Cable Info'!L187="","",CONCATENATE('Cable Info'!L187," - ",'Cable Info'!M187))</f>
        <v>186 - TW</v>
      </c>
      <c r="AM370" s="121" t="str">
        <f t="shared" si="107"/>
        <v>186 - TW</v>
      </c>
      <c r="AO370" s="121" t="str">
        <f>IF('Cable Info'!N187="","",CONCATENATE('Cable Info'!N187," - ",'Cable Info'!O187))</f>
        <v>186 - TW</v>
      </c>
      <c r="AR370" s="121" t="str">
        <f t="shared" si="108"/>
        <v>186 - TW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str">
        <f>IF('Cable Info'!L188="","",CONCATENATE('Cable Info'!L188," - ",'Cable Info'!M188))</f>
        <v>187 - TW</v>
      </c>
      <c r="AM371" s="121" t="str">
        <f t="shared" si="107"/>
        <v>187 - TW</v>
      </c>
      <c r="AO371" s="121" t="str">
        <f>IF('Cable Info'!N188="","",CONCATENATE('Cable Info'!N188," - ",'Cable Info'!O188))</f>
        <v>187 - TW</v>
      </c>
      <c r="AR371" s="121" t="str">
        <f t="shared" si="108"/>
        <v>187 - TW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str">
        <f>IF('Cable Info'!L189="","",CONCATENATE('Cable Info'!L189," - ",'Cable Info'!M189))</f>
        <v>188 - TW</v>
      </c>
      <c r="AM372" s="121" t="str">
        <f t="shared" si="107"/>
        <v>188 - TW</v>
      </c>
      <c r="AO372" s="121" t="str">
        <f>IF('Cable Info'!N189="","",CONCATENATE('Cable Info'!N189," - ",'Cable Info'!O189))</f>
        <v>188 - TW</v>
      </c>
      <c r="AR372" s="121" t="str">
        <f t="shared" si="108"/>
        <v>188 - TW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str">
        <f>IF('Cable Info'!L190="","",CONCATENATE('Cable Info'!L190," - ",'Cable Info'!M190))</f>
        <v>189 - TW</v>
      </c>
      <c r="AM373" s="121" t="str">
        <f t="shared" si="107"/>
        <v>189 - TW</v>
      </c>
      <c r="AO373" s="121" t="str">
        <f>IF('Cable Info'!N190="","",CONCATENATE('Cable Info'!N190," - ",'Cable Info'!O190))</f>
        <v>189 - TW</v>
      </c>
      <c r="AR373" s="121" t="str">
        <f t="shared" si="108"/>
        <v>189 - TW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str">
        <f>IF('Cable Info'!L191="","",CONCATENATE('Cable Info'!L191," - ",'Cable Info'!M191))</f>
        <v>190 - TW</v>
      </c>
      <c r="AM374" s="121" t="str">
        <f t="shared" si="107"/>
        <v>190 - TW</v>
      </c>
      <c r="AO374" s="121" t="str">
        <f>IF('Cable Info'!N191="","",CONCATENATE('Cable Info'!N191," - ",'Cable Info'!O191))</f>
        <v>190 - TW</v>
      </c>
      <c r="AR374" s="121" t="str">
        <f t="shared" si="108"/>
        <v>190 - TW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str">
        <f>IF('Cable Info'!L192="","",CONCATENATE('Cable Info'!L192," - ",'Cable Info'!M192))</f>
        <v>191 - TW</v>
      </c>
      <c r="AM375" s="121" t="str">
        <f t="shared" si="107"/>
        <v>191 - TW</v>
      </c>
      <c r="AO375" s="121" t="str">
        <f>IF('Cable Info'!N192="","",CONCATENATE('Cable Info'!N192," - ",'Cable Info'!O192))</f>
        <v>191 - TW</v>
      </c>
      <c r="AR375" s="121" t="str">
        <f t="shared" si="108"/>
        <v>191 - TW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str">
        <f>IF('Cable Info'!L193="","",CONCATENATE('Cable Info'!L193," - ",'Cable Info'!M193))</f>
        <v>192 - TW</v>
      </c>
      <c r="AM376" s="121" t="str">
        <f t="shared" si="107"/>
        <v>192 - TW</v>
      </c>
      <c r="AO376" s="121" t="str">
        <f>IF('Cable Info'!N193="","",CONCATENATE('Cable Info'!N193," - ",'Cable Info'!O193))</f>
        <v>192 - TW</v>
      </c>
      <c r="AR376" s="121" t="str">
        <f t="shared" si="108"/>
        <v>192 - TW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str">
        <f>IF('Cable Info'!L194="","",CONCATENATE('Cable Info'!L194," - ",'Cable Info'!M194))</f>
        <v>193 - TW</v>
      </c>
      <c r="AM377" s="121" t="str">
        <f t="shared" si="107"/>
        <v>193 - TW</v>
      </c>
      <c r="AO377" s="121" t="str">
        <f>IF('Cable Info'!N194="","",CONCATENATE('Cable Info'!N194," - ",'Cable Info'!O194))</f>
        <v>193 - TW</v>
      </c>
      <c r="AR377" s="121" t="str">
        <f t="shared" si="108"/>
        <v>193 - TW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str">
        <f>IF('Cable Info'!L195="","",CONCATENATE('Cable Info'!L195," - ",'Cable Info'!M195))</f>
        <v>194 - TW</v>
      </c>
      <c r="AM378" s="121" t="str">
        <f t="shared" si="107"/>
        <v>194 - TW</v>
      </c>
      <c r="AO378" s="121" t="str">
        <f>IF('Cable Info'!N195="","",CONCATENATE('Cable Info'!N195," - ",'Cable Info'!O195))</f>
        <v>194 - TW</v>
      </c>
      <c r="AR378" s="121" t="str">
        <f t="shared" si="108"/>
        <v>194 - TW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str">
        <f>IF('Cable Info'!L196="","",CONCATENATE('Cable Info'!L196," - ",'Cable Info'!M196))</f>
        <v>195 - TW</v>
      </c>
      <c r="AM379" s="121" t="str">
        <f t="shared" si="107"/>
        <v>195 - TW</v>
      </c>
      <c r="AO379" s="121" t="str">
        <f>IF('Cable Info'!N196="","",CONCATENATE('Cable Info'!N196," - ",'Cable Info'!O196))</f>
        <v>195 - TW</v>
      </c>
      <c r="AR379" s="121" t="str">
        <f t="shared" si="108"/>
        <v>195 - TW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>83 - TW</v>
      </c>
      <c r="AM380" s="121" t="str">
        <f t="shared" ref="AM380:AM426" si="119">IF(AK380="",AJ380,CONCATENATE(AJ380,"  &lt;=&gt; ",AK380," ",AL380))</f>
        <v>83 - TW</v>
      </c>
      <c r="AO380" s="121" t="str">
        <f>IF('Cable Info'!N84="","",CONCATENATE('Cable Info'!N84," - ",'Cable Info'!O84))</f>
        <v>83 - TW</v>
      </c>
      <c r="AR380" s="121" t="str">
        <f t="shared" ref="AR380:AR426" si="120">IF(AP380="",AO380,CONCATENATE(AO380,"  &lt;=&gt; ",AP380," ",AQ380))</f>
        <v>83 - TW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>84 - TW</v>
      </c>
      <c r="AM381" s="121" t="str">
        <f t="shared" si="119"/>
        <v>84 - TW</v>
      </c>
      <c r="AO381" s="121" t="str">
        <f>IF('Cable Info'!N85="","",CONCATENATE('Cable Info'!N85," - ",'Cable Info'!O85))</f>
        <v>84 - TW</v>
      </c>
      <c r="AR381" s="121" t="str">
        <f t="shared" si="120"/>
        <v>84 - TW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>85 - TW</v>
      </c>
      <c r="AK382" s="164"/>
      <c r="AL382" s="164"/>
      <c r="AM382" s="164" t="str">
        <f t="shared" si="119"/>
        <v>85 - TW</v>
      </c>
      <c r="AN382" s="164"/>
      <c r="AO382" s="164" t="str">
        <f>IF('Cable Info'!N86="","",CONCATENATE('Cable Info'!N86," - ",'Cable Info'!O86))</f>
        <v>85 - TW</v>
      </c>
      <c r="AP382" s="164"/>
      <c r="AQ382" s="164"/>
      <c r="AR382" s="164" t="str">
        <f t="shared" si="120"/>
        <v>85 - TW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>86 - TW</v>
      </c>
      <c r="AK383" s="160"/>
      <c r="AL383" s="160"/>
      <c r="AM383" s="160" t="str">
        <f t="shared" si="119"/>
        <v>86 - TW</v>
      </c>
      <c r="AN383" s="160"/>
      <c r="AO383" s="160" t="str">
        <f>IF('Cable Info'!N87="","",CONCATENATE('Cable Info'!N87," - ",'Cable Info'!O87))</f>
        <v>86 - TW</v>
      </c>
      <c r="AP383" s="160"/>
      <c r="AQ383" s="160"/>
      <c r="AR383" s="160" t="str">
        <f t="shared" si="120"/>
        <v>86 - TW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>87 - TW</v>
      </c>
      <c r="AM384" s="121" t="str">
        <f t="shared" si="119"/>
        <v>87 - TW</v>
      </c>
      <c r="AO384" s="121" t="str">
        <f>IF('Cable Info'!N88="","",CONCATENATE('Cable Info'!N88," - ",'Cable Info'!O88))</f>
        <v>87 - TW</v>
      </c>
      <c r="AR384" s="121" t="str">
        <f t="shared" si="120"/>
        <v>87 - TW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>88 - TW</v>
      </c>
      <c r="AM385" s="121" t="str">
        <f t="shared" si="119"/>
        <v>88 - TW</v>
      </c>
      <c r="AO385" s="121" t="str">
        <f>IF('Cable Info'!N89="","",CONCATENATE('Cable Info'!N89," - ",'Cable Info'!O89))</f>
        <v>88 - TW</v>
      </c>
      <c r="AR385" s="121" t="str">
        <f t="shared" si="120"/>
        <v>88 - TW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>89 - TW</v>
      </c>
      <c r="AM386" s="121" t="str">
        <f t="shared" si="119"/>
        <v>89 - TW</v>
      </c>
      <c r="AO386" s="121" t="str">
        <f>IF('Cable Info'!N90="","",CONCATENATE('Cable Info'!N90," - ",'Cable Info'!O90))</f>
        <v>89 - TW</v>
      </c>
      <c r="AR386" s="121" t="str">
        <f t="shared" si="120"/>
        <v>89 - TW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>90 - TW</v>
      </c>
      <c r="AM387" s="121" t="str">
        <f t="shared" si="119"/>
        <v>90 - TW</v>
      </c>
      <c r="AO387" s="121" t="str">
        <f>IF('Cable Info'!N91="","",CONCATENATE('Cable Info'!N91," - ",'Cable Info'!O91))</f>
        <v>90 - TW</v>
      </c>
      <c r="AR387" s="121" t="str">
        <f t="shared" si="120"/>
        <v>90 - TW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>91 - TW</v>
      </c>
      <c r="AM388" s="121" t="str">
        <f t="shared" si="119"/>
        <v>91 - TW</v>
      </c>
      <c r="AO388" s="121" t="str">
        <f>IF('Cable Info'!N92="","",CONCATENATE('Cable Info'!N92," - ",'Cable Info'!O92))</f>
        <v>91 - TW</v>
      </c>
      <c r="AR388" s="121" t="str">
        <f t="shared" si="120"/>
        <v>91 - TW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>92 - TW</v>
      </c>
      <c r="AM389" s="121" t="str">
        <f t="shared" si="119"/>
        <v>92 - TW</v>
      </c>
      <c r="AO389" s="121" t="str">
        <f>IF('Cable Info'!N93="","",CONCATENATE('Cable Info'!N93," - ",'Cable Info'!O93))</f>
        <v>92 - TW</v>
      </c>
      <c r="AR389" s="121" t="str">
        <f t="shared" si="120"/>
        <v>92 - TW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>93 - TW</v>
      </c>
      <c r="AM390" s="121" t="str">
        <f t="shared" si="119"/>
        <v>93 - TW</v>
      </c>
      <c r="AO390" s="121" t="str">
        <f>IF('Cable Info'!N94="","",CONCATENATE('Cable Info'!N94," - ",'Cable Info'!O94))</f>
        <v>93 - TW</v>
      </c>
      <c r="AR390" s="121" t="str">
        <f t="shared" si="120"/>
        <v>93 - TW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>94 - TW</v>
      </c>
      <c r="AM391" s="121" t="str">
        <f t="shared" si="119"/>
        <v>94 - TW</v>
      </c>
      <c r="AO391" s="121" t="str">
        <f>IF('Cable Info'!N95="","",CONCATENATE('Cable Info'!N95," - ",'Cable Info'!O95))</f>
        <v>94 - TW</v>
      </c>
      <c r="AR391" s="121" t="str">
        <f t="shared" si="120"/>
        <v>94 - TW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>95 - TW</v>
      </c>
      <c r="AM392" s="121" t="str">
        <f t="shared" si="119"/>
        <v>95 - TW</v>
      </c>
      <c r="AO392" s="121" t="str">
        <f>IF('Cable Info'!N96="","",CONCATENATE('Cable Info'!N96," - ",'Cable Info'!O96))</f>
        <v>95 - TW</v>
      </c>
      <c r="AR392" s="121" t="str">
        <f t="shared" si="120"/>
        <v>95 - TW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>96 - TW</v>
      </c>
      <c r="AM393" s="121" t="str">
        <f t="shared" si="119"/>
        <v>96 - TW</v>
      </c>
      <c r="AO393" s="121" t="str">
        <f>IF('Cable Info'!N97="","",CONCATENATE('Cable Info'!N97," - ",'Cable Info'!O97))</f>
        <v>96 - TW</v>
      </c>
      <c r="AR393" s="121" t="str">
        <f t="shared" si="120"/>
        <v>96 - TW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Info'!L98="","",CONCATENATE('Cable Info'!L98," - ",'Cable Info'!M98))</f>
        <v>97 - TW</v>
      </c>
      <c r="AM394" s="121" t="str">
        <f t="shared" si="119"/>
        <v>97 - TW</v>
      </c>
      <c r="AO394" s="121" t="str">
        <f>IF('Cable Info'!N98="","",CONCATENATE('Cable Info'!N98," - ",'Cable Info'!O98))</f>
        <v>97 - TW</v>
      </c>
      <c r="AR394" s="121" t="str">
        <f t="shared" si="120"/>
        <v>97 - TW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Info'!L99="","",CONCATENATE('Cable Info'!L99," - ",'Cable Info'!M99))</f>
        <v>98 - TW</v>
      </c>
      <c r="AM395" s="121" t="str">
        <f t="shared" si="119"/>
        <v>98 - TW</v>
      </c>
      <c r="AO395" s="121" t="str">
        <f>IF('Cable Info'!N99="","",CONCATENATE('Cable Info'!N99," - ",'Cable Info'!O99))</f>
        <v>98 - TW</v>
      </c>
      <c r="AR395" s="121" t="str">
        <f t="shared" si="120"/>
        <v>98 - TW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Info'!L100="","",CONCATENATE('Cable Info'!L100," - ",'Cable Info'!M100))</f>
        <v>99 - TW</v>
      </c>
      <c r="AM396" s="121" t="str">
        <f t="shared" si="119"/>
        <v>99 - TW</v>
      </c>
      <c r="AO396" s="121" t="str">
        <f>IF('Cable Info'!N100="","",CONCATENATE('Cable Info'!N100," - ",'Cable Info'!O100))</f>
        <v>99 - TW</v>
      </c>
      <c r="AR396" s="121" t="str">
        <f t="shared" si="120"/>
        <v>99 - TW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Info'!L101="","",CONCATENATE('Cable Info'!L101," - ",'Cable Info'!M101))</f>
        <v>100 - TW</v>
      </c>
      <c r="AM397" s="121" t="str">
        <f t="shared" si="119"/>
        <v>100 - TW</v>
      </c>
      <c r="AO397" s="121" t="str">
        <f>IF('Cable Info'!N101="","",CONCATENATE('Cable Info'!N101," - ",'Cable Info'!O101))</f>
        <v>100 - TW</v>
      </c>
      <c r="AR397" s="121" t="str">
        <f t="shared" si="120"/>
        <v>100 - TW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Info'!L102="","",CONCATENATE('Cable Info'!L102," - ",'Cable Info'!M102))</f>
        <v>101 - TW</v>
      </c>
      <c r="AM398" s="121" t="str">
        <f t="shared" si="119"/>
        <v>101 - TW</v>
      </c>
      <c r="AO398" s="121" t="str">
        <f>IF('Cable Info'!N102="","",CONCATENATE('Cable Info'!N102," - ",'Cable Info'!O102))</f>
        <v>101 - TW</v>
      </c>
      <c r="AR398" s="121" t="str">
        <f t="shared" si="120"/>
        <v>101 - TW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Info'!L103="","",CONCATENATE('Cable Info'!L103," - ",'Cable Info'!M103))</f>
        <v>102 - TW</v>
      </c>
      <c r="AM399" s="121" t="str">
        <f t="shared" si="119"/>
        <v>102 - TW</v>
      </c>
      <c r="AO399" s="121" t="str">
        <f>IF('Cable Info'!N103="","",CONCATENATE('Cable Info'!N103," - ",'Cable Info'!O103))</f>
        <v>102 - TW</v>
      </c>
      <c r="AR399" s="121" t="str">
        <f t="shared" si="120"/>
        <v>102 - TW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Info'!L104="","",CONCATENATE('Cable Info'!L104," - ",'Cable Info'!M104))</f>
        <v>103 - TW</v>
      </c>
      <c r="AM400" s="121" t="str">
        <f t="shared" si="119"/>
        <v>103 - TW</v>
      </c>
      <c r="AO400" s="121" t="str">
        <f>IF('Cable Info'!N104="","",CONCATENATE('Cable Info'!N104," - ",'Cable Info'!O104))</f>
        <v>103 - TW</v>
      </c>
      <c r="AR400" s="121" t="str">
        <f t="shared" si="120"/>
        <v>103 - TW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Info'!L105="","",CONCATENATE('Cable Info'!L105," - ",'Cable Info'!M105))</f>
        <v>104 - TW</v>
      </c>
      <c r="AM401" s="121" t="str">
        <f t="shared" si="119"/>
        <v>104 - TW</v>
      </c>
      <c r="AO401" s="121" t="str">
        <f>IF('Cable Info'!N105="","",CONCATENATE('Cable Info'!N105," - ",'Cable Info'!O105))</f>
        <v>104 - TW</v>
      </c>
      <c r="AR401" s="121" t="str">
        <f t="shared" si="120"/>
        <v>104 - TW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Info'!L106="","",CONCATENATE('Cable Info'!L106," - ",'Cable Info'!M106))</f>
        <v>105 - TW</v>
      </c>
      <c r="AM402" s="121" t="str">
        <f t="shared" si="119"/>
        <v>105 - TW</v>
      </c>
      <c r="AO402" s="121" t="str">
        <f>IF('Cable Info'!N106="","",CONCATENATE('Cable Info'!N106," - ",'Cable Info'!O106))</f>
        <v>105 - TW</v>
      </c>
      <c r="AR402" s="121" t="str">
        <f t="shared" si="120"/>
        <v>105 - TW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Info'!L107="","",CONCATENATE('Cable Info'!L107," - ",'Cable Info'!M107))</f>
        <v>106 - TW</v>
      </c>
      <c r="AM403" s="121" t="str">
        <f t="shared" si="119"/>
        <v>106 - TW</v>
      </c>
      <c r="AO403" s="121" t="str">
        <f>IF('Cable Info'!N107="","",CONCATENATE('Cable Info'!N107," - ",'Cable Info'!O107))</f>
        <v>106 - TW</v>
      </c>
      <c r="AR403" s="121" t="str">
        <f t="shared" si="120"/>
        <v>106 - TW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Info'!L108="","",CONCATENATE('Cable Info'!L108," - ",'Cable Info'!M108))</f>
        <v>107 - TW</v>
      </c>
      <c r="AM404" s="121" t="str">
        <f t="shared" si="119"/>
        <v>107 - TW</v>
      </c>
      <c r="AO404" s="121" t="str">
        <f>IF('Cable Info'!N108="","",CONCATENATE('Cable Info'!N108," - ",'Cable Info'!O108))</f>
        <v>107 - TW</v>
      </c>
      <c r="AR404" s="121" t="str">
        <f t="shared" si="120"/>
        <v>107 - TW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Info'!L109="","",CONCATENATE('Cable Info'!L109," - ",'Cable Info'!M109))</f>
        <v>108 - TW</v>
      </c>
      <c r="AM405" s="121" t="str">
        <f t="shared" si="119"/>
        <v>108 - TW</v>
      </c>
      <c r="AO405" s="121" t="str">
        <f>IF('Cable Info'!N109="","",CONCATENATE('Cable Info'!N109," - ",'Cable Info'!O109))</f>
        <v>108 - TW</v>
      </c>
      <c r="AR405" s="121" t="str">
        <f t="shared" si="120"/>
        <v>108 - TW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Info'!L110="","",CONCATENATE('Cable Info'!L110," - ",'Cable Info'!M110))</f>
        <v>109 - TW</v>
      </c>
      <c r="AM406" s="121" t="str">
        <f t="shared" si="119"/>
        <v>109 - TW</v>
      </c>
      <c r="AO406" s="121" t="str">
        <f>IF('Cable Info'!N110="","",CONCATENATE('Cable Info'!N110," - ",'Cable Info'!O110))</f>
        <v>109 - TW</v>
      </c>
      <c r="AR406" s="121" t="str">
        <f t="shared" si="120"/>
        <v>109 - TW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Info'!L111="","",CONCATENATE('Cable Info'!L111," - ",'Cable Info'!M111))</f>
        <v>110 - TW</v>
      </c>
      <c r="AM407" s="121" t="str">
        <f t="shared" si="119"/>
        <v>110 - TW</v>
      </c>
      <c r="AO407" s="121" t="str">
        <f>IF('Cable Info'!N111="","",CONCATENATE('Cable Info'!N111," - ",'Cable Info'!O111))</f>
        <v>110 - TW</v>
      </c>
      <c r="AR407" s="121" t="str">
        <f t="shared" si="120"/>
        <v>110 - TW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Info'!L112="","",CONCATENATE('Cable Info'!L112," - ",'Cable Info'!M112))</f>
        <v>111 - TW</v>
      </c>
      <c r="AM408" s="121" t="str">
        <f t="shared" si="119"/>
        <v>111 - TW</v>
      </c>
      <c r="AO408" s="121" t="str">
        <f>IF('Cable Info'!N112="","",CONCATENATE('Cable Info'!N112," - ",'Cable Info'!O112))</f>
        <v>111 - TW</v>
      </c>
      <c r="AR408" s="121" t="str">
        <f t="shared" si="120"/>
        <v>111 - TW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Info'!L113="","",CONCATENATE('Cable Info'!L113," - ",'Cable Info'!M113))</f>
        <v>112 - TW</v>
      </c>
      <c r="AM409" s="121" t="str">
        <f t="shared" si="119"/>
        <v>112 - TW</v>
      </c>
      <c r="AO409" s="121" t="str">
        <f>IF('Cable Info'!N113="","",CONCATENATE('Cable Info'!N113," - ",'Cable Info'!O113))</f>
        <v>112 - TW</v>
      </c>
      <c r="AR409" s="121" t="str">
        <f t="shared" si="120"/>
        <v>112 - TW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Info'!L114="","",CONCATENATE('Cable Info'!L114," - ",'Cable Info'!M114))</f>
        <v>113 - TW</v>
      </c>
      <c r="AM410" s="121" t="str">
        <f t="shared" si="119"/>
        <v>113 - TW</v>
      </c>
      <c r="AO410" s="121" t="str">
        <f>IF('Cable Info'!N114="","",CONCATENATE('Cable Info'!N114," - ",'Cable Info'!O114))</f>
        <v>113 - TW</v>
      </c>
      <c r="AR410" s="121" t="str">
        <f t="shared" si="120"/>
        <v>113 - TW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Info'!L115="","",CONCATENATE('Cable Info'!L115," - ",'Cable Info'!M115))</f>
        <v>114 - TW</v>
      </c>
      <c r="AM411" s="121" t="str">
        <f t="shared" si="119"/>
        <v>114 - TW</v>
      </c>
      <c r="AO411" s="121" t="str">
        <f>IF('Cable Info'!N115="","",CONCATENATE('Cable Info'!N115," - ",'Cable Info'!O115))</f>
        <v>114 - TW</v>
      </c>
      <c r="AR411" s="121" t="str">
        <f t="shared" si="120"/>
        <v>114 - TW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Info'!L116="","",CONCATENATE('Cable Info'!L116," - ",'Cable Info'!M116))</f>
        <v>115 - TW</v>
      </c>
      <c r="AM412" s="121" t="str">
        <f t="shared" si="119"/>
        <v>115 - TW</v>
      </c>
      <c r="AO412" s="121" t="str">
        <f>IF('Cable Info'!N116="","",CONCATENATE('Cable Info'!N116," - ",'Cable Info'!O116))</f>
        <v>115 - TW</v>
      </c>
      <c r="AR412" s="121" t="str">
        <f t="shared" si="120"/>
        <v>115 - TW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Info'!L117="","",CONCATENATE('Cable Info'!L117," - ",'Cable Info'!M117))</f>
        <v>116 - TW</v>
      </c>
      <c r="AM413" s="121" t="str">
        <f t="shared" si="119"/>
        <v>116 - TW</v>
      </c>
      <c r="AO413" s="121" t="str">
        <f>IF('Cable Info'!N117="","",CONCATENATE('Cable Info'!N117," - ",'Cable Info'!O117))</f>
        <v>116 - TW</v>
      </c>
      <c r="AR413" s="121" t="str">
        <f t="shared" si="120"/>
        <v>116 - TW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Info'!L118="","",CONCATENATE('Cable Info'!L118," - ",'Cable Info'!M118))</f>
        <v>117 - TW</v>
      </c>
      <c r="AM414" s="121" t="str">
        <f t="shared" si="119"/>
        <v>117 - TW</v>
      </c>
      <c r="AO414" s="121" t="str">
        <f>IF('Cable Info'!N118="","",CONCATENATE('Cable Info'!N118," - ",'Cable Info'!O118))</f>
        <v>117 - TW</v>
      </c>
      <c r="AR414" s="121" t="str">
        <f t="shared" si="120"/>
        <v>117 - TW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Info'!L119="","",CONCATENATE('Cable Info'!L119," - ",'Cable Info'!M119))</f>
        <v>118 - TW</v>
      </c>
      <c r="AM415" s="121" t="str">
        <f t="shared" si="119"/>
        <v>118 - TW</v>
      </c>
      <c r="AO415" s="121" t="str">
        <f>IF('Cable Info'!N119="","",CONCATENATE('Cable Info'!N119," - ",'Cable Info'!O119))</f>
        <v>118 - TW</v>
      </c>
      <c r="AR415" s="121" t="str">
        <f t="shared" si="120"/>
        <v>118 - TW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Info'!L120="","",CONCATENATE('Cable Info'!L120," - ",'Cable Info'!M120))</f>
        <v>119 - TW</v>
      </c>
      <c r="AM416" s="121" t="str">
        <f t="shared" si="119"/>
        <v>119 - TW</v>
      </c>
      <c r="AO416" s="121" t="str">
        <f>IF('Cable Info'!N120="","",CONCATENATE('Cable Info'!N120," - ",'Cable Info'!O120))</f>
        <v>119 - TW</v>
      </c>
      <c r="AR416" s="121" t="str">
        <f t="shared" si="120"/>
        <v>119 - TW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Info'!L121="","",CONCATENATE('Cable Info'!L121," - ",'Cable Info'!M121))</f>
        <v>120 - TW</v>
      </c>
      <c r="AM417" s="121" t="str">
        <f t="shared" si="119"/>
        <v>120 - TW</v>
      </c>
      <c r="AO417" s="121" t="str">
        <f>IF('Cable Info'!N121="","",CONCATENATE('Cable Info'!N121," - ",'Cable Info'!O121))</f>
        <v>120 - TW</v>
      </c>
      <c r="AR417" s="121" t="str">
        <f t="shared" si="120"/>
        <v>120 - TW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Info'!L122="","",CONCATENATE('Cable Info'!L122," - ",'Cable Info'!M122))</f>
        <v>121 - TW</v>
      </c>
      <c r="AM418" s="121" t="str">
        <f t="shared" si="119"/>
        <v>121 - TW</v>
      </c>
      <c r="AO418" s="121" t="str">
        <f>IF('Cable Info'!N122="","",CONCATENATE('Cable Info'!N122," - ",'Cable Info'!O122))</f>
        <v>121 - TW</v>
      </c>
      <c r="AR418" s="121" t="str">
        <f t="shared" si="120"/>
        <v>121 - TW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Info'!L123="","",CONCATENATE('Cable Info'!L123," - ",'Cable Info'!M123))</f>
        <v>122 - TW</v>
      </c>
      <c r="AM419" s="121" t="str">
        <f t="shared" si="119"/>
        <v>122 - TW</v>
      </c>
      <c r="AO419" s="121" t="str">
        <f>IF('Cable Info'!N123="","",CONCATENATE('Cable Info'!N123," - ",'Cable Info'!O123))</f>
        <v>122 - TW</v>
      </c>
      <c r="AR419" s="121" t="str">
        <f t="shared" si="120"/>
        <v>122 - TW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Info'!L124="","",CONCATENATE('Cable Info'!L124," - ",'Cable Info'!M124))</f>
        <v>123 - TW</v>
      </c>
      <c r="AM420" s="121" t="str">
        <f t="shared" si="119"/>
        <v>123 - TW</v>
      </c>
      <c r="AO420" s="121" t="str">
        <f>IF('Cable Info'!N124="","",CONCATENATE('Cable Info'!N124," - ",'Cable Info'!O124))</f>
        <v>123 - TW</v>
      </c>
      <c r="AR420" s="121" t="str">
        <f t="shared" si="120"/>
        <v>123 - TW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Info'!L125="","",CONCATENATE('Cable Info'!L125," - ",'Cable Info'!M125))</f>
        <v>124 - TW</v>
      </c>
      <c r="AM421" s="121" t="str">
        <f t="shared" si="119"/>
        <v>124 - TW</v>
      </c>
      <c r="AO421" s="121" t="str">
        <f>IF('Cable Info'!N125="","",CONCATENATE('Cable Info'!N125," - ",'Cable Info'!O125))</f>
        <v>124 - TW</v>
      </c>
      <c r="AR421" s="121" t="str">
        <f t="shared" si="120"/>
        <v>124 - TW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Info'!L126="","",CONCATENATE('Cable Info'!L126," - ",'Cable Info'!M126))</f>
        <v>125 - TW</v>
      </c>
      <c r="AM422" s="121" t="str">
        <f t="shared" si="119"/>
        <v>125 - TW</v>
      </c>
      <c r="AO422" s="121" t="str">
        <f>IF('Cable Info'!N126="","",CONCATENATE('Cable Info'!N126," - ",'Cable Info'!O126))</f>
        <v>125 - TW</v>
      </c>
      <c r="AR422" s="121" t="str">
        <f t="shared" si="120"/>
        <v>125 - TW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Info'!L127="","",CONCATENATE('Cable Info'!L127," - ",'Cable Info'!M127))</f>
        <v>126 - TW</v>
      </c>
      <c r="AM423" s="121" t="str">
        <f t="shared" si="119"/>
        <v>126 - TW</v>
      </c>
      <c r="AO423" s="121" t="str">
        <f>IF('Cable Info'!N127="","",CONCATENATE('Cable Info'!N127," - ",'Cable Info'!O127))</f>
        <v>126 - TW</v>
      </c>
      <c r="AR423" s="121" t="str">
        <f t="shared" si="120"/>
        <v>126 - TW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Info'!L128="","",CONCATENATE('Cable Info'!L128," - ",'Cable Info'!M128))</f>
        <v>127 - TW</v>
      </c>
      <c r="AM424" s="121" t="str">
        <f t="shared" si="119"/>
        <v>127 - TW</v>
      </c>
      <c r="AO424" s="121" t="str">
        <f>IF('Cable Info'!N128="","",CONCATENATE('Cable Info'!N128," - ",'Cable Info'!O128))</f>
        <v>127 - TW</v>
      </c>
      <c r="AR424" s="121" t="str">
        <f t="shared" si="120"/>
        <v>127 - TW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Info'!L129="","",CONCATENATE('Cable Info'!L129," - ",'Cable Info'!M129))</f>
        <v>128 - TW</v>
      </c>
      <c r="AM425" s="121" t="str">
        <f t="shared" si="119"/>
        <v>128 - TW</v>
      </c>
      <c r="AO425" s="121" t="str">
        <f>IF('Cable Info'!N129="","",CONCATENATE('Cable Info'!N129," - ",'Cable Info'!O129))</f>
        <v>128 - TW</v>
      </c>
      <c r="AR425" s="121" t="str">
        <f t="shared" si="120"/>
        <v>128 - TW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Info'!L130="","",CONCATENATE('Cable Info'!L130," - ",'Cable Info'!M130))</f>
        <v>129 - TW</v>
      </c>
      <c r="AM426" s="121" t="str">
        <f t="shared" si="119"/>
        <v>129 - TW</v>
      </c>
      <c r="AO426" s="121" t="str">
        <f>IF('Cable Info'!N130="","",CONCATENATE('Cable Info'!N130," - ",'Cable Info'!O130))</f>
        <v>129 - TW</v>
      </c>
      <c r="AR426" s="121" t="str">
        <f t="shared" si="120"/>
        <v>129 - TW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Info'!L131="","",CONCATENATE('Cable Info'!L131," - ",'Cable Info'!M131))</f>
        <v>130 - TW</v>
      </c>
      <c r="AM427" s="121" t="str">
        <f t="shared" ref="AM427:AM490" si="125">IF(AK427="",AJ427,CONCATENATE(AJ427,"  &lt;=&gt; ",AK427," ",AL427))</f>
        <v>130 - TW</v>
      </c>
      <c r="AO427" s="121" t="str">
        <f>IF('Cable Info'!N131="","",CONCATENATE('Cable Info'!N131," - ",'Cable Info'!O131))</f>
        <v>130 - TW</v>
      </c>
      <c r="AR427" s="121" t="str">
        <f t="shared" ref="AR427:AR490" si="126">IF(AP427="",AO427,CONCATENATE(AO427,"  &lt;=&gt; ",AP427," ",AQ427))</f>
        <v>130 - TW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Info'!L132="","",CONCATENATE('Cable Info'!L132," - ",'Cable Info'!M132))</f>
        <v>131 - TW</v>
      </c>
      <c r="AM428" s="121" t="str">
        <f t="shared" si="125"/>
        <v>131 - TW</v>
      </c>
      <c r="AO428" s="121" t="str">
        <f>IF('Cable Info'!N132="","",CONCATENATE('Cable Info'!N132," - ",'Cable Info'!O132))</f>
        <v>131 - TW</v>
      </c>
      <c r="AR428" s="121" t="str">
        <f t="shared" si="126"/>
        <v>131 - TW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Info'!L133="","",CONCATENATE('Cable Info'!L133," - ",'Cable Info'!M133))</f>
        <v>132 - TW</v>
      </c>
      <c r="AM429" s="121" t="str">
        <f t="shared" si="125"/>
        <v>132 - TW</v>
      </c>
      <c r="AO429" s="121" t="str">
        <f>IF('Cable Info'!N133="","",CONCATENATE('Cable Info'!N133," - ",'Cable Info'!O133))</f>
        <v>132 - TW</v>
      </c>
      <c r="AR429" s="121" t="str">
        <f t="shared" si="126"/>
        <v>132 - TW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Info'!L134="","",CONCATENATE('Cable Info'!L134," - ",'Cable Info'!M134))</f>
        <v>133 - TW</v>
      </c>
      <c r="AM430" s="121" t="str">
        <f t="shared" si="125"/>
        <v>133 - TW</v>
      </c>
      <c r="AO430" s="121" t="str">
        <f>IF('Cable Info'!N134="","",CONCATENATE('Cable Info'!N134," - ",'Cable Info'!O134))</f>
        <v>133 - TW</v>
      </c>
      <c r="AR430" s="121" t="str">
        <f t="shared" si="126"/>
        <v>133 - TW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Info'!L135="","",CONCATENATE('Cable Info'!L135," - ",'Cable Info'!M135))</f>
        <v>134 - TW</v>
      </c>
      <c r="AM431" s="121" t="str">
        <f t="shared" si="125"/>
        <v>134 - TW</v>
      </c>
      <c r="AO431" s="121" t="str">
        <f>IF('Cable Info'!N135="","",CONCATENATE('Cable Info'!N135," - ",'Cable Info'!O135))</f>
        <v>134 - TW</v>
      </c>
      <c r="AR431" s="121" t="str">
        <f t="shared" si="126"/>
        <v>134 - TW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Info'!L136="","",CONCATENATE('Cable Info'!L136," - ",'Cable Info'!M136))</f>
        <v>135 - TW</v>
      </c>
      <c r="AM432" s="121" t="str">
        <f t="shared" si="125"/>
        <v>135 - TW</v>
      </c>
      <c r="AO432" s="121" t="str">
        <f>IF('Cable Info'!N136="","",CONCATENATE('Cable Info'!N136," - ",'Cable Info'!O136))</f>
        <v>135 - TW</v>
      </c>
      <c r="AR432" s="121" t="str">
        <f t="shared" si="126"/>
        <v>135 - TW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Info'!L137="","",CONCATENATE('Cable Info'!L137," - ",'Cable Info'!M137))</f>
        <v>136 - TW</v>
      </c>
      <c r="AM433" s="121" t="str">
        <f t="shared" si="125"/>
        <v>136 - TW</v>
      </c>
      <c r="AO433" s="121" t="str">
        <f>IF('Cable Info'!N137="","",CONCATENATE('Cable Info'!N137," - ",'Cable Info'!O137))</f>
        <v>136 - TW</v>
      </c>
      <c r="AR433" s="121" t="str">
        <f t="shared" si="126"/>
        <v>136 - TW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Info'!L138="","",CONCATENATE('Cable Info'!L138," - ",'Cable Info'!M138))</f>
        <v>137 - TW</v>
      </c>
      <c r="AM434" s="121" t="str">
        <f t="shared" si="125"/>
        <v>137 - TW</v>
      </c>
      <c r="AO434" s="121" t="str">
        <f>IF('Cable Info'!N138="","",CONCATENATE('Cable Info'!N138," - ",'Cable Info'!O138))</f>
        <v>137 - TW</v>
      </c>
      <c r="AR434" s="121" t="str">
        <f t="shared" si="126"/>
        <v>137 - TW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Info'!L139="","",CONCATENATE('Cable Info'!L139," - ",'Cable Info'!M139))</f>
        <v>138 - TW</v>
      </c>
      <c r="AM435" s="121" t="str">
        <f t="shared" si="125"/>
        <v>138 - TW</v>
      </c>
      <c r="AO435" s="121" t="str">
        <f>IF('Cable Info'!N139="","",CONCATENATE('Cable Info'!N139," - ",'Cable Info'!O139))</f>
        <v>138 - TW</v>
      </c>
      <c r="AR435" s="121" t="str">
        <f t="shared" si="126"/>
        <v>138 - TW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Info'!L140="","",CONCATENATE('Cable Info'!L140," - ",'Cable Info'!M140))</f>
        <v>139 - TW</v>
      </c>
      <c r="AM436" s="121" t="str">
        <f t="shared" si="125"/>
        <v>139 - TW</v>
      </c>
      <c r="AO436" s="121" t="str">
        <f>IF('Cable Info'!N140="","",CONCATENATE('Cable Info'!N140," - ",'Cable Info'!O140))</f>
        <v>139 - TW</v>
      </c>
      <c r="AR436" s="121" t="str">
        <f t="shared" si="126"/>
        <v>139 - TW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Info'!L141="","",CONCATENATE('Cable Info'!L141," - ",'Cable Info'!M141))</f>
        <v>140 - TW</v>
      </c>
      <c r="AM437" s="121" t="str">
        <f t="shared" si="125"/>
        <v>140 - TW</v>
      </c>
      <c r="AO437" s="121" t="str">
        <f>IF('Cable Info'!N141="","",CONCATENATE('Cable Info'!N141," - ",'Cable Info'!O141))</f>
        <v>140 - TW</v>
      </c>
      <c r="AR437" s="121" t="str">
        <f t="shared" si="126"/>
        <v>140 - TW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Info'!L142="","",CONCATENATE('Cable Info'!L142," - ",'Cable Info'!M142))</f>
        <v>141 - TW</v>
      </c>
      <c r="AM438" s="121" t="str">
        <f t="shared" si="125"/>
        <v>141 - TW</v>
      </c>
      <c r="AO438" s="121" t="str">
        <f>IF('Cable Info'!N142="","",CONCATENATE('Cable Info'!N142," - ",'Cable Info'!O142))</f>
        <v>141 - TW</v>
      </c>
      <c r="AR438" s="121" t="str">
        <f t="shared" si="126"/>
        <v>141 - TW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Info'!L143="","",CONCATENATE('Cable Info'!L143," - ",'Cable Info'!M143))</f>
        <v>142 - TW</v>
      </c>
      <c r="AM439" s="121" t="str">
        <f t="shared" si="125"/>
        <v>142 - TW</v>
      </c>
      <c r="AO439" s="121" t="str">
        <f>IF('Cable Info'!N143="","",CONCATENATE('Cable Info'!N143," - ",'Cable Info'!O143))</f>
        <v>142 - TW</v>
      </c>
      <c r="AR439" s="121" t="str">
        <f t="shared" si="126"/>
        <v>142 - TW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Info'!L144="","",CONCATENATE('Cable Info'!L144," - ",'Cable Info'!M144))</f>
        <v>143 - TW</v>
      </c>
      <c r="AM440" s="121" t="str">
        <f t="shared" si="125"/>
        <v>143 - TW</v>
      </c>
      <c r="AO440" s="121" t="str">
        <f>IF('Cable Info'!N144="","",CONCATENATE('Cable Info'!N144," - ",'Cable Info'!O144))</f>
        <v>143 - TW</v>
      </c>
      <c r="AR440" s="121" t="str">
        <f t="shared" si="126"/>
        <v>143 - TW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Info'!L145="","",CONCATENATE('Cable Info'!L145," - ",'Cable Info'!M145))</f>
        <v>144 - TW</v>
      </c>
      <c r="AM441" s="121" t="str">
        <f t="shared" si="125"/>
        <v>144 - TW</v>
      </c>
      <c r="AO441" s="121" t="str">
        <f>IF('Cable Info'!N145="","",CONCATENATE('Cable Info'!N145," - ",'Cable Info'!O145))</f>
        <v>144 - TW</v>
      </c>
      <c r="AR441" s="121" t="str">
        <f t="shared" si="126"/>
        <v>144 - TW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str">
        <f>IF('Cable Info'!L146="","",CONCATENATE('Cable Info'!L146," - ",'Cable Info'!M146))</f>
        <v>145 - TW</v>
      </c>
      <c r="AM442" s="121" t="str">
        <f t="shared" si="125"/>
        <v>145 - TW</v>
      </c>
      <c r="AO442" s="121" t="str">
        <f>IF('Cable Info'!N146="","",CONCATENATE('Cable Info'!N146," - ",'Cable Info'!O146))</f>
        <v>145 - TW</v>
      </c>
      <c r="AR442" s="121" t="str">
        <f t="shared" si="126"/>
        <v>145 - TW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str">
        <f>IF('Cable Info'!L147="","",CONCATENATE('Cable Info'!L147," - ",'Cable Info'!M147))</f>
        <v>146 - TW</v>
      </c>
      <c r="AM443" s="121" t="str">
        <f t="shared" si="125"/>
        <v>146 - TW</v>
      </c>
      <c r="AO443" s="121" t="str">
        <f>IF('Cable Info'!N147="","",CONCATENATE('Cable Info'!N147," - ",'Cable Info'!O147))</f>
        <v>146 - TW</v>
      </c>
      <c r="AR443" s="121" t="str">
        <f t="shared" si="126"/>
        <v>146 - TW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str">
        <f>IF('Cable Info'!L148="","",CONCATENATE('Cable Info'!L148," - ",'Cable Info'!M148))</f>
        <v>147 - TW</v>
      </c>
      <c r="AM444" s="121" t="str">
        <f t="shared" si="125"/>
        <v>147 - TW</v>
      </c>
      <c r="AO444" s="121" t="str">
        <f>IF('Cable Info'!N148="","",CONCATENATE('Cable Info'!N148," - ",'Cable Info'!O148))</f>
        <v>147 - TW</v>
      </c>
      <c r="AR444" s="121" t="str">
        <f t="shared" si="126"/>
        <v>147 - TW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str">
        <f>IF('Cable Info'!L149="","",CONCATENATE('Cable Info'!L149," - ",'Cable Info'!M149))</f>
        <v>148 - TW</v>
      </c>
      <c r="AM445" s="121" t="str">
        <f t="shared" si="125"/>
        <v>148 - TW</v>
      </c>
      <c r="AO445" s="121" t="str">
        <f>IF('Cable Info'!N149="","",CONCATENATE('Cable Info'!N149," - ",'Cable Info'!O149))</f>
        <v>148 - TW</v>
      </c>
      <c r="AR445" s="121" t="str">
        <f t="shared" si="126"/>
        <v>148 - TW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str">
        <f>IF('Cable Info'!L150="","",CONCATENATE('Cable Info'!L150," - ",'Cable Info'!M150))</f>
        <v>149 - TW</v>
      </c>
      <c r="AM446" s="121" t="str">
        <f t="shared" si="125"/>
        <v>149 - TW</v>
      </c>
      <c r="AO446" s="121" t="str">
        <f>IF('Cable Info'!N150="","",CONCATENATE('Cable Info'!N150," - ",'Cable Info'!O150))</f>
        <v>149 - TW</v>
      </c>
      <c r="AR446" s="121" t="str">
        <f t="shared" si="126"/>
        <v>149 - TW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str">
        <f>IF('Cable Info'!L151="","",CONCATENATE('Cable Info'!L151," - ",'Cable Info'!M151))</f>
        <v>150 - TW</v>
      </c>
      <c r="AM447" s="121" t="str">
        <f t="shared" si="125"/>
        <v>150 - TW</v>
      </c>
      <c r="AO447" s="121" t="str">
        <f>IF('Cable Info'!N151="","",CONCATENATE('Cable Info'!N151," - ",'Cable Info'!O151))</f>
        <v>150 - TW</v>
      </c>
      <c r="AR447" s="121" t="str">
        <f t="shared" si="126"/>
        <v>150 - TW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str">
        <f>IF('Cable Info'!L152="","",CONCATENATE('Cable Info'!L152," - ",'Cable Info'!M152))</f>
        <v>151 - TW</v>
      </c>
      <c r="AM448" s="121" t="str">
        <f t="shared" si="125"/>
        <v>151 - TW</v>
      </c>
      <c r="AO448" s="121" t="str">
        <f>IF('Cable Info'!N152="","",CONCATENATE('Cable Info'!N152," - ",'Cable Info'!O152))</f>
        <v>151 - TW</v>
      </c>
      <c r="AR448" s="121" t="str">
        <f t="shared" si="126"/>
        <v>151 - TW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str">
        <f>IF('Cable Info'!L153="","",CONCATENATE('Cable Info'!L153," - ",'Cable Info'!M153))</f>
        <v>152 - TW</v>
      </c>
      <c r="AM449" s="121" t="str">
        <f t="shared" si="125"/>
        <v>152 - TW</v>
      </c>
      <c r="AO449" s="121" t="str">
        <f>IF('Cable Info'!N153="","",CONCATENATE('Cable Info'!N153," - ",'Cable Info'!O153))</f>
        <v>152 - TW</v>
      </c>
      <c r="AR449" s="121" t="str">
        <f t="shared" si="126"/>
        <v>152 - TW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str">
        <f>IF('Cable Info'!L154="","",CONCATENATE('Cable Info'!L154," - ",'Cable Info'!M154))</f>
        <v>153 - TW</v>
      </c>
      <c r="AM450" s="121" t="str">
        <f t="shared" si="125"/>
        <v>153 - TW</v>
      </c>
      <c r="AO450" s="121" t="str">
        <f>IF('Cable Info'!N154="","",CONCATENATE('Cable Info'!N154," - ",'Cable Info'!O154))</f>
        <v>153 - TW</v>
      </c>
      <c r="AR450" s="121" t="str">
        <f t="shared" si="126"/>
        <v>153 - TW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str">
        <f>IF('Cable Info'!L155="","",CONCATENATE('Cable Info'!L155," - ",'Cable Info'!M155))</f>
        <v>154 - TW</v>
      </c>
      <c r="AM451" s="121" t="str">
        <f t="shared" si="125"/>
        <v>154 - TW</v>
      </c>
      <c r="AO451" s="121" t="str">
        <f>IF('Cable Info'!N155="","",CONCATENATE('Cable Info'!N155," - ",'Cable Info'!O155))</f>
        <v>154 - TW</v>
      </c>
      <c r="AR451" s="121" t="str">
        <f t="shared" si="126"/>
        <v>154 - TW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str">
        <f>IF('Cable Info'!L156="","",CONCATENATE('Cable Info'!L156," - ",'Cable Info'!M156))</f>
        <v>155 - TW</v>
      </c>
      <c r="AM452" s="121" t="str">
        <f t="shared" si="125"/>
        <v>155 - TW</v>
      </c>
      <c r="AO452" s="121" t="str">
        <f>IF('Cable Info'!N156="","",CONCATENATE('Cable Info'!N156," - ",'Cable Info'!O156))</f>
        <v>155 - TW</v>
      </c>
      <c r="AR452" s="121" t="str">
        <f t="shared" si="126"/>
        <v>155 - TW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str">
        <f>IF('Cable Info'!L157="","",CONCATENATE('Cable Info'!L157," - ",'Cable Info'!M157))</f>
        <v>156 - TW</v>
      </c>
      <c r="AM453" s="121" t="str">
        <f t="shared" si="125"/>
        <v>156 - TW</v>
      </c>
      <c r="AO453" s="121" t="str">
        <f>IF('Cable Info'!N157="","",CONCATENATE('Cable Info'!N157," - ",'Cable Info'!O157))</f>
        <v>156 - TW</v>
      </c>
      <c r="AR453" s="121" t="str">
        <f t="shared" si="126"/>
        <v>156 - TW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str">
        <f>IF('Cable Info'!L158="","",CONCATENATE('Cable Info'!L158," - ",'Cable Info'!M158))</f>
        <v>157 - TW</v>
      </c>
      <c r="AM454" s="121" t="str">
        <f t="shared" si="125"/>
        <v>157 - TW</v>
      </c>
      <c r="AO454" s="121" t="str">
        <f>IF('Cable Info'!N158="","",CONCATENATE('Cable Info'!N158," - ",'Cable Info'!O158))</f>
        <v>157 - TW</v>
      </c>
      <c r="AR454" s="121" t="str">
        <f t="shared" si="126"/>
        <v>157 - TW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str">
        <f>IF('Cable Info'!L159="","",CONCATENATE('Cable Info'!L159," - ",'Cable Info'!M159))</f>
        <v>158 - TW</v>
      </c>
      <c r="AM455" s="121" t="str">
        <f t="shared" si="125"/>
        <v>158 - TW</v>
      </c>
      <c r="AO455" s="121" t="str">
        <f>IF('Cable Info'!N159="","",CONCATENATE('Cable Info'!N159," - ",'Cable Info'!O159))</f>
        <v>158 - TW</v>
      </c>
      <c r="AR455" s="121" t="str">
        <f t="shared" si="126"/>
        <v>158 - TW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str">
        <f>IF('Cable Info'!L160="","",CONCATENATE('Cable Info'!L160," - ",'Cable Info'!M160))</f>
        <v>159 - TW</v>
      </c>
      <c r="AM456" s="121" t="str">
        <f t="shared" si="125"/>
        <v>159 - TW</v>
      </c>
      <c r="AO456" s="121" t="str">
        <f>IF('Cable Info'!N160="","",CONCATENATE('Cable Info'!N160," - ",'Cable Info'!O160))</f>
        <v>159 - TW</v>
      </c>
      <c r="AR456" s="121" t="str">
        <f t="shared" si="126"/>
        <v>159 - TW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str">
        <f>IF('Cable Info'!L161="","",CONCATENATE('Cable Info'!L161," - ",'Cable Info'!M161))</f>
        <v>160 - TW</v>
      </c>
      <c r="AM457" s="121" t="str">
        <f t="shared" si="125"/>
        <v>160 - TW</v>
      </c>
      <c r="AO457" s="121" t="str">
        <f>IF('Cable Info'!N161="","",CONCATENATE('Cable Info'!N161," - ",'Cable Info'!O161))</f>
        <v>160 - TW</v>
      </c>
      <c r="AR457" s="121" t="str">
        <f t="shared" si="126"/>
        <v>160 - TW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str">
        <f>IF('Cable Info'!L162="","",CONCATENATE('Cable Info'!L162," - ",'Cable Info'!M162))</f>
        <v>161 - TW</v>
      </c>
      <c r="AM458" s="121" t="str">
        <f t="shared" si="125"/>
        <v>161 - TW</v>
      </c>
      <c r="AO458" s="121" t="str">
        <f>IF('Cable Info'!N162="","",CONCATENATE('Cable Info'!N162," - ",'Cable Info'!O162))</f>
        <v>161 - TW</v>
      </c>
      <c r="AR458" s="121" t="str">
        <f t="shared" si="126"/>
        <v>161 - TW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str">
        <f>IF('Cable Info'!L163="","",CONCATENATE('Cable Info'!L163," - ",'Cable Info'!M163))</f>
        <v>162 - TW</v>
      </c>
      <c r="AM459" s="121" t="str">
        <f t="shared" si="125"/>
        <v>162 - TW</v>
      </c>
      <c r="AO459" s="121" t="str">
        <f>IF('Cable Info'!N163="","",CONCATENATE('Cable Info'!N163," - ",'Cable Info'!O163))</f>
        <v>162 - TW</v>
      </c>
      <c r="AR459" s="121" t="str">
        <f t="shared" si="126"/>
        <v>162 - TW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str">
        <f>IF('Cable Info'!L164="","",CONCATENATE('Cable Info'!L164," - ",'Cable Info'!M164))</f>
        <v>163 - TW</v>
      </c>
      <c r="AM460" s="121" t="str">
        <f t="shared" si="125"/>
        <v>163 - TW</v>
      </c>
      <c r="AO460" s="121" t="str">
        <f>IF('Cable Info'!N164="","",CONCATENATE('Cable Info'!N164," - ",'Cable Info'!O164))</f>
        <v>163 - TW</v>
      </c>
      <c r="AR460" s="121" t="str">
        <f t="shared" si="126"/>
        <v>163 - TW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str">
        <f>IF('Cable Info'!L165="","",CONCATENATE('Cable Info'!L165," - ",'Cable Info'!M165))</f>
        <v>164 - TW</v>
      </c>
      <c r="AM461" s="121" t="str">
        <f t="shared" si="125"/>
        <v>164 - TW</v>
      </c>
      <c r="AO461" s="121" t="str">
        <f>IF('Cable Info'!N165="","",CONCATENATE('Cable Info'!N165," - ",'Cable Info'!O165))</f>
        <v>164 - TW</v>
      </c>
      <c r="AR461" s="121" t="str">
        <f t="shared" si="126"/>
        <v>164 - TW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str">
        <f>IF('Cable Info'!L166="","",CONCATENATE('Cable Info'!L166," - ",'Cable Info'!M166))</f>
        <v>165 - TW</v>
      </c>
      <c r="AM462" s="121" t="str">
        <f t="shared" si="125"/>
        <v>165 - TW</v>
      </c>
      <c r="AO462" s="121" t="str">
        <f>IF('Cable Info'!N166="","",CONCATENATE('Cable Info'!N166," - ",'Cable Info'!O166))</f>
        <v>165 - TW</v>
      </c>
      <c r="AR462" s="121" t="str">
        <f t="shared" si="126"/>
        <v>165 - TW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str">
        <f>IF('Cable Info'!L167="","",CONCATENATE('Cable Info'!L167," - ",'Cable Info'!M167))</f>
        <v>166 - TW</v>
      </c>
      <c r="AM463" s="121" t="str">
        <f t="shared" si="125"/>
        <v>166 - TW</v>
      </c>
      <c r="AO463" s="121" t="str">
        <f>IF('Cable Info'!N167="","",CONCATENATE('Cable Info'!N167," - ",'Cable Info'!O167))</f>
        <v>166 - TW</v>
      </c>
      <c r="AR463" s="121" t="str">
        <f t="shared" si="126"/>
        <v>166 - TW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str">
        <f>IF('Cable Info'!L168="","",CONCATENATE('Cable Info'!L168," - ",'Cable Info'!M168))</f>
        <v>167 - TW</v>
      </c>
      <c r="AM464" s="121" t="str">
        <f t="shared" si="125"/>
        <v>167 - TW</v>
      </c>
      <c r="AO464" s="121" t="str">
        <f>IF('Cable Info'!N168="","",CONCATENATE('Cable Info'!N168," - ",'Cable Info'!O168))</f>
        <v>167 - TW</v>
      </c>
      <c r="AR464" s="121" t="str">
        <f t="shared" si="126"/>
        <v>167 - TW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str">
        <f>IF('Cable Info'!L169="","",CONCATENATE('Cable Info'!L169," - ",'Cable Info'!M169))</f>
        <v>168 - TW</v>
      </c>
      <c r="AM465" s="121" t="str">
        <f t="shared" si="125"/>
        <v>168 - TW</v>
      </c>
      <c r="AO465" s="121" t="str">
        <f>IF('Cable Info'!N169="","",CONCATENATE('Cable Info'!N169," - ",'Cable Info'!O169))</f>
        <v>168 - TW</v>
      </c>
      <c r="AR465" s="121" t="str">
        <f t="shared" si="126"/>
        <v>168 - TW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str">
        <f>IF('Cable Info'!L170="","",CONCATENATE('Cable Info'!L170," - ",'Cable Info'!M170))</f>
        <v>169 - TW</v>
      </c>
      <c r="AM466" s="121" t="str">
        <f t="shared" si="125"/>
        <v>169 - TW</v>
      </c>
      <c r="AO466" s="121" t="str">
        <f>IF('Cable Info'!N170="","",CONCATENATE('Cable Info'!N170," - ",'Cable Info'!O170))</f>
        <v>169 - TW</v>
      </c>
      <c r="AR466" s="121" t="str">
        <f t="shared" si="126"/>
        <v>169 - TW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str">
        <f>IF('Cable Info'!L171="","",CONCATENATE('Cable Info'!L171," - ",'Cable Info'!M171))</f>
        <v>170 - TW</v>
      </c>
      <c r="AM467" s="121" t="str">
        <f t="shared" si="125"/>
        <v>170 - TW</v>
      </c>
      <c r="AO467" s="121" t="str">
        <f>IF('Cable Info'!N171="","",CONCATENATE('Cable Info'!N171," - ",'Cable Info'!O171))</f>
        <v>170 - TW</v>
      </c>
      <c r="AR467" s="121" t="str">
        <f t="shared" si="126"/>
        <v>170 - TW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str">
        <f>IF('Cable Info'!L172="","",CONCATENATE('Cable Info'!L172," - ",'Cable Info'!M172))</f>
        <v>171 - TW</v>
      </c>
      <c r="AM468" s="121" t="str">
        <f t="shared" si="125"/>
        <v>171 - TW</v>
      </c>
      <c r="AO468" s="121" t="str">
        <f>IF('Cable Info'!N172="","",CONCATENATE('Cable Info'!N172," - ",'Cable Info'!O172))</f>
        <v>171 - TW</v>
      </c>
      <c r="AR468" s="121" t="str">
        <f t="shared" si="126"/>
        <v>171 - TW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str">
        <f>IF('Cable Info'!L173="","",CONCATENATE('Cable Info'!L173," - ",'Cable Info'!M173))</f>
        <v>172 - TW</v>
      </c>
      <c r="AM469" s="121" t="str">
        <f t="shared" si="125"/>
        <v>172 - TW</v>
      </c>
      <c r="AO469" s="121" t="str">
        <f>IF('Cable Info'!N173="","",CONCATENATE('Cable Info'!N173," - ",'Cable Info'!O173))</f>
        <v>172 - TW</v>
      </c>
      <c r="AR469" s="121" t="str">
        <f t="shared" si="126"/>
        <v>172 - TW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str">
        <f>IF('Cable Info'!L174="","",CONCATENATE('Cable Info'!L174," - ",'Cable Info'!M174))</f>
        <v>173 - TW</v>
      </c>
      <c r="AM470" s="121" t="str">
        <f t="shared" si="125"/>
        <v>173 - TW</v>
      </c>
      <c r="AO470" s="121" t="str">
        <f>IF('Cable Info'!N174="","",CONCATENATE('Cable Info'!N174," - ",'Cable Info'!O174))</f>
        <v>173 - TW</v>
      </c>
      <c r="AR470" s="121" t="str">
        <f t="shared" si="126"/>
        <v>173 - TW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str">
        <f>IF('Cable Info'!L175="","",CONCATENATE('Cable Info'!L175," - ",'Cable Info'!M175))</f>
        <v>174 - TW</v>
      </c>
      <c r="AM471" s="121" t="str">
        <f t="shared" si="125"/>
        <v>174 - TW</v>
      </c>
      <c r="AO471" s="121" t="str">
        <f>IF('Cable Info'!N175="","",CONCATENATE('Cable Info'!N175," - ",'Cable Info'!O175))</f>
        <v>174 - TW</v>
      </c>
      <c r="AR471" s="121" t="str">
        <f t="shared" si="126"/>
        <v>174 - TW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str">
        <f>IF('Cable Info'!L176="","",CONCATENATE('Cable Info'!L176," - ",'Cable Info'!M176))</f>
        <v>175 - TW</v>
      </c>
      <c r="AM472" s="121" t="str">
        <f t="shared" si="125"/>
        <v>175 - TW</v>
      </c>
      <c r="AO472" s="121" t="str">
        <f>IF('Cable Info'!N176="","",CONCATENATE('Cable Info'!N176," - ",'Cable Info'!O176))</f>
        <v>175 - TW</v>
      </c>
      <c r="AR472" s="121" t="str">
        <f t="shared" si="126"/>
        <v>175 - TW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str">
        <f>IF('Cable Info'!L177="","",CONCATENATE('Cable Info'!L177," - ",'Cable Info'!M177))</f>
        <v>176 - TW</v>
      </c>
      <c r="AM473" s="121" t="str">
        <f t="shared" si="125"/>
        <v>176 - TW</v>
      </c>
      <c r="AO473" s="121" t="str">
        <f>IF('Cable Info'!N177="","",CONCATENATE('Cable Info'!N177," - ",'Cable Info'!O177))</f>
        <v>176 - TW</v>
      </c>
      <c r="AR473" s="121" t="str">
        <f t="shared" si="126"/>
        <v>176 - TW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str">
        <f>IF('Cable Info'!L178="","",CONCATENATE('Cable Info'!L178," - ",'Cable Info'!M178))</f>
        <v>177 - TW</v>
      </c>
      <c r="AM474" s="121" t="str">
        <f t="shared" si="125"/>
        <v>177 - TW</v>
      </c>
      <c r="AO474" s="121" t="str">
        <f>IF('Cable Info'!N178="","",CONCATENATE('Cable Info'!N178," - ",'Cable Info'!O178))</f>
        <v>177 - TW</v>
      </c>
      <c r="AR474" s="121" t="str">
        <f t="shared" si="126"/>
        <v>177 - TW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str">
        <f>IF('Cable Info'!L179="","",CONCATENATE('Cable Info'!L179," - ",'Cable Info'!M179))</f>
        <v>178 - TW</v>
      </c>
      <c r="AM475" s="121" t="str">
        <f t="shared" si="125"/>
        <v>178 - TW</v>
      </c>
      <c r="AO475" s="121" t="str">
        <f>IF('Cable Info'!N179="","",CONCATENATE('Cable Info'!N179," - ",'Cable Info'!O179))</f>
        <v>178 - TW</v>
      </c>
      <c r="AR475" s="121" t="str">
        <f t="shared" si="126"/>
        <v>178 - TW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str">
        <f>IF('Cable Info'!L180="","",CONCATENATE('Cable Info'!L180," - ",'Cable Info'!M180))</f>
        <v>179 - TW</v>
      </c>
      <c r="AM476" s="121" t="str">
        <f t="shared" si="125"/>
        <v>179 - TW</v>
      </c>
      <c r="AO476" s="121" t="str">
        <f>IF('Cable Info'!N180="","",CONCATENATE('Cable Info'!N180," - ",'Cable Info'!O180))</f>
        <v>179 - TW</v>
      </c>
      <c r="AR476" s="121" t="str">
        <f t="shared" si="126"/>
        <v>179 - TW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str">
        <f>IF('Cable Info'!L181="","",CONCATENATE('Cable Info'!L181," - ",'Cable Info'!M181))</f>
        <v>180 - TW</v>
      </c>
      <c r="AM477" s="121" t="str">
        <f t="shared" si="125"/>
        <v>180 - TW</v>
      </c>
      <c r="AO477" s="121" t="str">
        <f>IF('Cable Info'!N181="","",CONCATENATE('Cable Info'!N181," - ",'Cable Info'!O181))</f>
        <v>180 - TW</v>
      </c>
      <c r="AR477" s="121" t="str">
        <f t="shared" si="126"/>
        <v>180 - TW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str">
        <f>IF('Cable Info'!L182="","",CONCATENATE('Cable Info'!L182," - ",'Cable Info'!M182))</f>
        <v>181 - TW</v>
      </c>
      <c r="AM478" s="121" t="str">
        <f t="shared" si="125"/>
        <v>181 - TW</v>
      </c>
      <c r="AO478" s="121" t="str">
        <f>IF('Cable Info'!N182="","",CONCATENATE('Cable Info'!N182," - ",'Cable Info'!O182))</f>
        <v>181 - TW</v>
      </c>
      <c r="AR478" s="121" t="str">
        <f t="shared" si="126"/>
        <v>181 - TW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str">
        <f>IF('Cable Info'!L183="","",CONCATENATE('Cable Info'!L183," - ",'Cable Info'!M183))</f>
        <v>182 - TW</v>
      </c>
      <c r="AM479" s="121" t="str">
        <f t="shared" si="125"/>
        <v>182 - TW</v>
      </c>
      <c r="AO479" s="121" t="str">
        <f>IF('Cable Info'!N183="","",CONCATENATE('Cable Info'!N183," - ",'Cable Info'!O183))</f>
        <v>182 - TW</v>
      </c>
      <c r="AR479" s="121" t="str">
        <f t="shared" si="126"/>
        <v>182 - TW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str">
        <f>IF('Cable Info'!L184="","",CONCATENATE('Cable Info'!L184," - ",'Cable Info'!M184))</f>
        <v>183 - TW</v>
      </c>
      <c r="AM480" s="121" t="str">
        <f t="shared" si="125"/>
        <v>183 - TW</v>
      </c>
      <c r="AO480" s="121" t="str">
        <f>IF('Cable Info'!N184="","",CONCATENATE('Cable Info'!N184," - ",'Cable Info'!O184))</f>
        <v>183 - TW</v>
      </c>
      <c r="AR480" s="121" t="str">
        <f t="shared" si="126"/>
        <v>183 - TW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str">
        <f>IF('Cable Info'!L185="","",CONCATENATE('Cable Info'!L185," - ",'Cable Info'!M185))</f>
        <v>184 - TW</v>
      </c>
      <c r="AM481" s="121" t="str">
        <f t="shared" si="125"/>
        <v>184 - TW</v>
      </c>
      <c r="AO481" s="121" t="str">
        <f>IF('Cable Info'!N185="","",CONCATENATE('Cable Info'!N185," - ",'Cable Info'!O185))</f>
        <v>184 - TW</v>
      </c>
      <c r="AR481" s="121" t="str">
        <f t="shared" si="126"/>
        <v>184 - TW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str">
        <f>IF('Cable Info'!L186="","",CONCATENATE('Cable Info'!L186," - ",'Cable Info'!M186))</f>
        <v>185 - TW</v>
      </c>
      <c r="AM482" s="121" t="str">
        <f t="shared" si="125"/>
        <v>185 - TW</v>
      </c>
      <c r="AO482" s="121" t="str">
        <f>IF('Cable Info'!N186="","",CONCATENATE('Cable Info'!N186," - ",'Cable Info'!O186))</f>
        <v>185 - TW</v>
      </c>
      <c r="AR482" s="121" t="str">
        <f t="shared" si="126"/>
        <v>185 - TW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str">
        <f>IF('Cable Info'!L187="","",CONCATENATE('Cable Info'!L187," - ",'Cable Info'!M187))</f>
        <v>186 - TW</v>
      </c>
      <c r="AM483" s="121" t="str">
        <f t="shared" si="125"/>
        <v>186 - TW</v>
      </c>
      <c r="AO483" s="121" t="str">
        <f>IF('Cable Info'!N187="","",CONCATENATE('Cable Info'!N187," - ",'Cable Info'!O187))</f>
        <v>186 - TW</v>
      </c>
      <c r="AR483" s="121" t="str">
        <f t="shared" si="126"/>
        <v>186 - TW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str">
        <f>IF('Cable Info'!L188="","",CONCATENATE('Cable Info'!L188," - ",'Cable Info'!M188))</f>
        <v>187 - TW</v>
      </c>
      <c r="AM484" s="121" t="str">
        <f t="shared" si="125"/>
        <v>187 - TW</v>
      </c>
      <c r="AO484" s="121" t="str">
        <f>IF('Cable Info'!N188="","",CONCATENATE('Cable Info'!N188," - ",'Cable Info'!O188))</f>
        <v>187 - TW</v>
      </c>
      <c r="AR484" s="121" t="str">
        <f t="shared" si="126"/>
        <v>187 - TW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str">
        <f>IF('Cable Info'!L189="","",CONCATENATE('Cable Info'!L189," - ",'Cable Info'!M189))</f>
        <v>188 - TW</v>
      </c>
      <c r="AM485" s="121" t="str">
        <f t="shared" si="125"/>
        <v>188 - TW</v>
      </c>
      <c r="AO485" s="121" t="str">
        <f>IF('Cable Info'!N189="","",CONCATENATE('Cable Info'!N189," - ",'Cable Info'!O189))</f>
        <v>188 - TW</v>
      </c>
      <c r="AR485" s="121" t="str">
        <f t="shared" si="126"/>
        <v>188 - TW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str">
        <f>IF('Cable Info'!L190="","",CONCATENATE('Cable Info'!L190," - ",'Cable Info'!M190))</f>
        <v>189 - TW</v>
      </c>
      <c r="AM486" s="121" t="str">
        <f t="shared" si="125"/>
        <v>189 - TW</v>
      </c>
      <c r="AO486" s="121" t="str">
        <f>IF('Cable Info'!N190="","",CONCATENATE('Cable Info'!N190," - ",'Cable Info'!O190))</f>
        <v>189 - TW</v>
      </c>
      <c r="AR486" s="121" t="str">
        <f t="shared" si="126"/>
        <v>189 - TW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str">
        <f>IF('Cable Info'!L191="","",CONCATENATE('Cable Info'!L191," - ",'Cable Info'!M191))</f>
        <v>190 - TW</v>
      </c>
      <c r="AM487" s="121" t="str">
        <f t="shared" si="125"/>
        <v>190 - TW</v>
      </c>
      <c r="AO487" s="121" t="str">
        <f>IF('Cable Info'!N191="","",CONCATENATE('Cable Info'!N191," - ",'Cable Info'!O191))</f>
        <v>190 - TW</v>
      </c>
      <c r="AR487" s="121" t="str">
        <f t="shared" si="126"/>
        <v>190 - TW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str">
        <f>IF('Cable Info'!L192="","",CONCATENATE('Cable Info'!L192," - ",'Cable Info'!M192))</f>
        <v>191 - TW</v>
      </c>
      <c r="AM488" s="121" t="str">
        <f t="shared" si="125"/>
        <v>191 - TW</v>
      </c>
      <c r="AO488" s="121" t="str">
        <f>IF('Cable Info'!N192="","",CONCATENATE('Cable Info'!N192," - ",'Cable Info'!O192))</f>
        <v>191 - TW</v>
      </c>
      <c r="AR488" s="121" t="str">
        <f t="shared" si="126"/>
        <v>191 - TW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str">
        <f>IF('Cable Info'!L193="","",CONCATENATE('Cable Info'!L193," - ",'Cable Info'!M193))</f>
        <v>192 - TW</v>
      </c>
      <c r="AM489" s="121" t="str">
        <f t="shared" si="125"/>
        <v>192 - TW</v>
      </c>
      <c r="AO489" s="121" t="str">
        <f>IF('Cable Info'!N193="","",CONCATENATE('Cable Info'!N193," - ",'Cable Info'!O193))</f>
        <v>192 - TW</v>
      </c>
      <c r="AR489" s="121" t="str">
        <f t="shared" si="126"/>
        <v>192 - TW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str">
        <f>IF('Cable Info'!L194="","",CONCATENATE('Cable Info'!L194," - ",'Cable Info'!M194))</f>
        <v>193 - TW</v>
      </c>
      <c r="AM490" s="121" t="str">
        <f t="shared" si="125"/>
        <v>193 - TW</v>
      </c>
      <c r="AO490" s="121" t="str">
        <f>IF('Cable Info'!N194="","",CONCATENATE('Cable Info'!N194," - ",'Cable Info'!O194))</f>
        <v>193 - TW</v>
      </c>
      <c r="AR490" s="121" t="str">
        <f t="shared" si="126"/>
        <v>193 - TW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str">
        <f>IF('Cable Info'!L195="","",CONCATENATE('Cable Info'!L195," - ",'Cable Info'!M195))</f>
        <v>194 - TW</v>
      </c>
      <c r="AM491" s="121" t="str">
        <f t="shared" ref="AM491:AM554" si="131">IF(AK491="",AJ491,CONCATENATE(AJ491,"  &lt;=&gt; ",AK491," ",AL491))</f>
        <v>194 - TW</v>
      </c>
      <c r="AO491" s="121" t="str">
        <f>IF('Cable Info'!N195="","",CONCATENATE('Cable Info'!N195," - ",'Cable Info'!O195))</f>
        <v>194 - TW</v>
      </c>
      <c r="AR491" s="121" t="str">
        <f t="shared" ref="AR491:AR554" si="132">IF(AP491="",AO491,CONCATENATE(AO491,"  &lt;=&gt; ",AP491," ",AQ491))</f>
        <v>194 - TW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str">
        <f>IF('Cable Info'!L196="","",CONCATENATE('Cable Info'!L196," - ",'Cable Info'!M196))</f>
        <v>195 - TW</v>
      </c>
      <c r="AM492" s="121" t="str">
        <f t="shared" si="131"/>
        <v>195 - TW</v>
      </c>
      <c r="AO492" s="121" t="str">
        <f>IF('Cable Info'!N196="","",CONCATENATE('Cable Info'!N196," - ",'Cable Info'!O196))</f>
        <v>195 - TW</v>
      </c>
      <c r="AR492" s="121" t="str">
        <f t="shared" si="132"/>
        <v>195 - TW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str">
        <f>IF('Cable Info'!L197="","",CONCATENATE('Cable Info'!L197," - ",'Cable Info'!M197))</f>
        <v>196 - TW</v>
      </c>
      <c r="AM493" s="121" t="str">
        <f t="shared" si="131"/>
        <v>196 - TW</v>
      </c>
      <c r="AO493" s="121" t="str">
        <f>IF('Cable Info'!N197="","",CONCATENATE('Cable Info'!N197," - ",'Cable Info'!O197))</f>
        <v>196 - TW</v>
      </c>
      <c r="AR493" s="121" t="str">
        <f t="shared" si="132"/>
        <v>196 - TW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str">
        <f>IF('Cable Info'!L198="","",CONCATENATE('Cable Info'!L198," - ",'Cable Info'!M198))</f>
        <v>197 - TW</v>
      </c>
      <c r="AM494" s="121" t="str">
        <f t="shared" si="131"/>
        <v>197 - TW</v>
      </c>
      <c r="AO494" s="121" t="str">
        <f>IF('Cable Info'!N198="","",CONCATENATE('Cable Info'!N198," - ",'Cable Info'!O198))</f>
        <v>197 - TW</v>
      </c>
      <c r="AR494" s="121" t="str">
        <f t="shared" si="132"/>
        <v>197 - TW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str">
        <f>IF('Cable Info'!L199="","",CONCATENATE('Cable Info'!L199," - ",'Cable Info'!M199))</f>
        <v>198 - TW</v>
      </c>
      <c r="AM495" s="121" t="str">
        <f t="shared" si="131"/>
        <v>198 - TW</v>
      </c>
      <c r="AO495" s="121" t="str">
        <f>IF('Cable Info'!N199="","",CONCATENATE('Cable Info'!N199," - ",'Cable Info'!O199))</f>
        <v>198 - TW</v>
      </c>
      <c r="AR495" s="121" t="str">
        <f t="shared" si="132"/>
        <v>198 - TW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str">
        <f>IF('Cable Info'!L200="","",CONCATENATE('Cable Info'!L200," - ",'Cable Info'!M200))</f>
        <v>199 - TW</v>
      </c>
      <c r="AM496" s="121" t="str">
        <f t="shared" si="131"/>
        <v>199 - TW</v>
      </c>
      <c r="AO496" s="121" t="str">
        <f>IF('Cable Info'!N200="","",CONCATENATE('Cable Info'!N200," - ",'Cable Info'!O200))</f>
        <v>199 - TW</v>
      </c>
      <c r="AR496" s="121" t="str">
        <f t="shared" si="132"/>
        <v>199 - TW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str">
        <f>IF('Cable Info'!L201="","",CONCATENATE('Cable Info'!L201," - ",'Cable Info'!M201))</f>
        <v>200 - TW</v>
      </c>
      <c r="AM497" s="121" t="str">
        <f t="shared" si="131"/>
        <v>200 - TW</v>
      </c>
      <c r="AO497" s="121" t="str">
        <f>IF('Cable Info'!N201="","",CONCATENATE('Cable Info'!N201," - ",'Cable Info'!O201))</f>
        <v>200 - TW</v>
      </c>
      <c r="AR497" s="121" t="str">
        <f t="shared" si="132"/>
        <v>200 - TW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str">
        <f>IF('Cable Info'!L202="","",CONCATENATE('Cable Info'!L202," - ",'Cable Info'!M202))</f>
        <v>201 - TW</v>
      </c>
      <c r="AM498" s="121" t="str">
        <f t="shared" si="131"/>
        <v>201 - TW</v>
      </c>
      <c r="AO498" s="121" t="str">
        <f>IF('Cable Info'!N202="","",CONCATENATE('Cable Info'!N202," - ",'Cable Info'!O202))</f>
        <v>201 - TW</v>
      </c>
      <c r="AR498" s="121" t="str">
        <f t="shared" si="132"/>
        <v>201 - TW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str">
        <f>IF('Cable Info'!L203="","",CONCATENATE('Cable Info'!L203," - ",'Cable Info'!M203))</f>
        <v>202 - TW</v>
      </c>
      <c r="AM499" s="121" t="str">
        <f t="shared" si="131"/>
        <v>202 - TW</v>
      </c>
      <c r="AO499" s="121" t="str">
        <f>IF('Cable Info'!N203="","",CONCATENATE('Cable Info'!N203," - ",'Cable Info'!O203))</f>
        <v>202 - TW</v>
      </c>
      <c r="AR499" s="121" t="str">
        <f t="shared" si="132"/>
        <v>202 - TW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str">
        <f>IF('Cable Info'!L204="","",CONCATENATE('Cable Info'!L204," - ",'Cable Info'!M204))</f>
        <v>203 - TW</v>
      </c>
      <c r="AM500" s="121" t="str">
        <f t="shared" si="131"/>
        <v>203 - TW</v>
      </c>
      <c r="AO500" s="121" t="str">
        <f>IF('Cable Info'!N204="","",CONCATENATE('Cable Info'!N204," - ",'Cable Info'!O204))</f>
        <v>203 - TW</v>
      </c>
      <c r="AR500" s="121" t="str">
        <f t="shared" si="132"/>
        <v>203 - TW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str">
        <f>IF('Cable Info'!L205="","",CONCATENATE('Cable Info'!L205," - ",'Cable Info'!M205))</f>
        <v>204 - TW</v>
      </c>
      <c r="AM501" s="121" t="str">
        <f t="shared" si="131"/>
        <v>204 - TW</v>
      </c>
      <c r="AO501" s="121" t="str">
        <f>IF('Cable Info'!N205="","",CONCATENATE('Cable Info'!N205," - ",'Cable Info'!O205))</f>
        <v>204 - TW</v>
      </c>
      <c r="AR501" s="121" t="str">
        <f t="shared" si="132"/>
        <v>204 - TW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str">
        <f>IF('Cable Info'!L206="","",CONCATENATE('Cable Info'!L206," - ",'Cable Info'!M206))</f>
        <v>205 - TW</v>
      </c>
      <c r="AM502" s="121" t="str">
        <f t="shared" si="131"/>
        <v>205 - TW</v>
      </c>
      <c r="AO502" s="121" t="str">
        <f>IF('Cable Info'!N206="","",CONCATENATE('Cable Info'!N206," - ",'Cable Info'!O206))</f>
        <v>205 - TW</v>
      </c>
      <c r="AR502" s="121" t="str">
        <f t="shared" si="132"/>
        <v>205 - TW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str">
        <f>IF('Cable Info'!L207="","",CONCATENATE('Cable Info'!L207," - ",'Cable Info'!M207))</f>
        <v>206 - TW</v>
      </c>
      <c r="AM503" s="121" t="str">
        <f t="shared" si="131"/>
        <v>206 - TW</v>
      </c>
      <c r="AO503" s="121" t="str">
        <f>IF('Cable Info'!N207="","",CONCATENATE('Cable Info'!N207," - ",'Cable Info'!O207))</f>
        <v>206 - TW</v>
      </c>
      <c r="AR503" s="121" t="str">
        <f t="shared" si="132"/>
        <v>206 - TW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str">
        <f>IF('Cable Info'!L208="","",CONCATENATE('Cable Info'!L208," - ",'Cable Info'!M208))</f>
        <v>207 - TW</v>
      </c>
      <c r="AM504" s="121" t="str">
        <f t="shared" si="131"/>
        <v>207 - TW</v>
      </c>
      <c r="AO504" s="121" t="str">
        <f>IF('Cable Info'!N208="","",CONCATENATE('Cable Info'!N208," - ",'Cable Info'!O208))</f>
        <v>207 - TW</v>
      </c>
      <c r="AR504" s="121" t="str">
        <f t="shared" si="132"/>
        <v>207 - TW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str">
        <f>IF('Cable Info'!L209="","",CONCATENATE('Cable Info'!L209," - ",'Cable Info'!M209))</f>
        <v>208 - TW</v>
      </c>
      <c r="AM505" s="121" t="str">
        <f t="shared" si="131"/>
        <v>208 - TW</v>
      </c>
      <c r="AO505" s="121" t="str">
        <f>IF('Cable Info'!N209="","",CONCATENATE('Cable Info'!N209," - ",'Cable Info'!O209))</f>
        <v>208 - TW</v>
      </c>
      <c r="AR505" s="121" t="str">
        <f t="shared" si="132"/>
        <v>208 - TW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str">
        <f>IF('Cable Info'!L210="","",CONCATENATE('Cable Info'!L210," - ",'Cable Info'!M210))</f>
        <v>209 - TW</v>
      </c>
      <c r="AM506" s="121" t="str">
        <f t="shared" si="131"/>
        <v>209 - TW</v>
      </c>
      <c r="AO506" s="121" t="str">
        <f>IF('Cable Info'!N210="","",CONCATENATE('Cable Info'!N210," - ",'Cable Info'!O210))</f>
        <v>209 - TW</v>
      </c>
      <c r="AR506" s="121" t="str">
        <f t="shared" si="132"/>
        <v>209 - TW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str">
        <f>IF('Cable Info'!L211="","",CONCATENATE('Cable Info'!L211," - ",'Cable Info'!M211))</f>
        <v>210 - TW</v>
      </c>
      <c r="AM507" s="121" t="str">
        <f t="shared" si="131"/>
        <v>210 - TW</v>
      </c>
      <c r="AO507" s="121" t="str">
        <f>IF('Cable Info'!N211="","",CONCATENATE('Cable Info'!N211," - ",'Cable Info'!O211))</f>
        <v>210 - TW</v>
      </c>
      <c r="AR507" s="121" t="str">
        <f t="shared" si="132"/>
        <v>210 - TW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str">
        <f>IF('Cable Info'!L212="","",CONCATENATE('Cable Info'!L212," - ",'Cable Info'!M212))</f>
        <v>211 - TW</v>
      </c>
      <c r="AM508" s="121" t="str">
        <f t="shared" si="131"/>
        <v>211 - TW</v>
      </c>
      <c r="AO508" s="121" t="str">
        <f>IF('Cable Info'!N212="","",CONCATENATE('Cable Info'!N212," - ",'Cable Info'!O212))</f>
        <v>211 - TW</v>
      </c>
      <c r="AR508" s="121" t="str">
        <f t="shared" si="132"/>
        <v>211 - TW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str">
        <f>IF('Cable Info'!L213="","",CONCATENATE('Cable Info'!L213," - ",'Cable Info'!M213))</f>
        <v>212 - TW</v>
      </c>
      <c r="AM509" s="121" t="str">
        <f t="shared" si="131"/>
        <v>212 - TW</v>
      </c>
      <c r="AO509" s="121" t="str">
        <f>IF('Cable Info'!N213="","",CONCATENATE('Cable Info'!N213," - ",'Cable Info'!O213))</f>
        <v>212 - TW</v>
      </c>
      <c r="AR509" s="121" t="str">
        <f t="shared" si="132"/>
        <v>212 - TW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str">
        <f>IF('Cable Info'!L214="","",CONCATENATE('Cable Info'!L214," - ",'Cable Info'!M214))</f>
        <v>213 - TW</v>
      </c>
      <c r="AM510" s="121" t="str">
        <f t="shared" si="131"/>
        <v>213 - TW</v>
      </c>
      <c r="AO510" s="121" t="str">
        <f>IF('Cable Info'!N214="","",CONCATENATE('Cable Info'!N214," - ",'Cable Info'!O214))</f>
        <v>213 - TW</v>
      </c>
      <c r="AR510" s="121" t="str">
        <f t="shared" si="132"/>
        <v>213 - TW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str">
        <f>IF('Cable Info'!L215="","",CONCATENATE('Cable Info'!L215," - ",'Cable Info'!M215))</f>
        <v>214 - TW</v>
      </c>
      <c r="AM511" s="121" t="str">
        <f t="shared" si="131"/>
        <v>214 - TW</v>
      </c>
      <c r="AO511" s="121" t="str">
        <f>IF('Cable Info'!N215="","",CONCATENATE('Cable Info'!N215," - ",'Cable Info'!O215))</f>
        <v>214 - TW</v>
      </c>
      <c r="AR511" s="121" t="str">
        <f t="shared" si="132"/>
        <v>214 - TW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str">
        <f>IF('Cable Info'!L216="","",CONCATENATE('Cable Info'!L216," - ",'Cable Info'!M216))</f>
        <v>215 - TW</v>
      </c>
      <c r="AM512" s="121" t="str">
        <f t="shared" si="131"/>
        <v>215 - TW</v>
      </c>
      <c r="AO512" s="121" t="str">
        <f>IF('Cable Info'!N216="","",CONCATENATE('Cable Info'!N216," - ",'Cable Info'!O216))</f>
        <v>215 - TW</v>
      </c>
      <c r="AR512" s="121" t="str">
        <f t="shared" si="132"/>
        <v>215 - TW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str">
        <f>IF('Cable Info'!L217="","",CONCATENATE('Cable Info'!L217," - ",'Cable Info'!M217))</f>
        <v>216 - TW</v>
      </c>
      <c r="AM513" s="121" t="str">
        <f t="shared" si="131"/>
        <v>216 - TW</v>
      </c>
      <c r="AO513" s="121" t="str">
        <f>IF('Cable Info'!N217="","",CONCATENATE('Cable Info'!N217," - ",'Cable Info'!O217))</f>
        <v>216 - TW</v>
      </c>
      <c r="AR513" s="121" t="str">
        <f t="shared" si="132"/>
        <v>216 - TW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str">
        <f>IF('Cable Info'!L218="","",CONCATENATE('Cable Info'!L218," - ",'Cable Info'!M218))</f>
        <v>217 - AW</v>
      </c>
      <c r="AM514" s="121" t="str">
        <f t="shared" si="131"/>
        <v>217 - AW</v>
      </c>
      <c r="AO514" s="121" t="str">
        <f>IF('Cable Info'!N218="","",CONCATENATE('Cable Info'!N218," - ",'Cable Info'!O218))</f>
        <v>217 - AW</v>
      </c>
      <c r="AR514" s="121" t="str">
        <f t="shared" si="132"/>
        <v>217 - AW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str">
        <f>IF('Cable Info'!L219="","",CONCATENATE('Cable Info'!L219," - ",'Cable Info'!M219))</f>
        <v>218 - AW</v>
      </c>
      <c r="AM515" s="121" t="str">
        <f t="shared" si="131"/>
        <v>218 - AW</v>
      </c>
      <c r="AO515" s="121" t="str">
        <f>IF('Cable Info'!N219="","",CONCATENATE('Cable Info'!N219," - ",'Cable Info'!O219))</f>
        <v>218 - AW</v>
      </c>
      <c r="AR515" s="121" t="str">
        <f t="shared" si="132"/>
        <v>218 - AW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str">
        <f>IF('Cable Info'!L220="","",CONCATENATE('Cable Info'!L220," - ",'Cable Info'!M220))</f>
        <v>219 - AW</v>
      </c>
      <c r="AM516" s="121" t="str">
        <f t="shared" si="131"/>
        <v>219 - AW</v>
      </c>
      <c r="AO516" s="121" t="str">
        <f>IF('Cable Info'!N220="","",CONCATENATE('Cable Info'!N220," - ",'Cable Info'!O220))</f>
        <v>219 - AW</v>
      </c>
      <c r="AR516" s="121" t="str">
        <f t="shared" si="132"/>
        <v>219 - AW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str">
        <f>IF('Cable Info'!L221="","",CONCATENATE('Cable Info'!L221," - ",'Cable Info'!M221))</f>
        <v>220 - AW</v>
      </c>
      <c r="AM517" s="121" t="str">
        <f t="shared" si="131"/>
        <v>220 - AW</v>
      </c>
      <c r="AO517" s="121" t="str">
        <f>IF('Cable Info'!N221="","",CONCATENATE('Cable Info'!N221," - ",'Cable Info'!O221))</f>
        <v>220 - AW</v>
      </c>
      <c r="AR517" s="121" t="str">
        <f t="shared" si="132"/>
        <v>220 - AW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str">
        <f>IF('Cable Info'!L222="","",CONCATENATE('Cable Info'!L222," - ",'Cable Info'!M222))</f>
        <v>221 - AW</v>
      </c>
      <c r="AM518" s="121" t="str">
        <f t="shared" si="131"/>
        <v>221 - AW</v>
      </c>
      <c r="AO518" s="121" t="str">
        <f>IF('Cable Info'!N222="","",CONCATENATE('Cable Info'!N222," - ",'Cable Info'!O222))</f>
        <v>221 - AW</v>
      </c>
      <c r="AR518" s="121" t="str">
        <f t="shared" si="132"/>
        <v>221 - AW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str">
        <f>IF('Cable Info'!L223="","",CONCATENATE('Cable Info'!L223," - ",'Cable Info'!M223))</f>
        <v>222 - AW</v>
      </c>
      <c r="AM519" s="121" t="str">
        <f t="shared" si="131"/>
        <v>222 - AW</v>
      </c>
      <c r="AO519" s="121" t="str">
        <f>IF('Cable Info'!N223="","",CONCATENATE('Cable Info'!N223," - ",'Cable Info'!O223))</f>
        <v>222 - AW</v>
      </c>
      <c r="AR519" s="121" t="str">
        <f t="shared" si="132"/>
        <v>222 - AW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str">
        <f>IF('Cable Info'!L224="","",CONCATENATE('Cable Info'!L224," - ",'Cable Info'!M224))</f>
        <v>223 - AW</v>
      </c>
      <c r="AM520" s="121" t="str">
        <f t="shared" si="131"/>
        <v>223 - AW</v>
      </c>
      <c r="AO520" s="121" t="str">
        <f>IF('Cable Info'!N224="","",CONCATENATE('Cable Info'!N224," - ",'Cable Info'!O224))</f>
        <v>223 - AW</v>
      </c>
      <c r="AR520" s="121" t="str">
        <f t="shared" si="132"/>
        <v>223 - AW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str">
        <f>IF('Cable Info'!L225="","",CONCATENATE('Cable Info'!L225," - ",'Cable Info'!M225))</f>
        <v>224 - AW</v>
      </c>
      <c r="AM521" s="121" t="str">
        <f t="shared" si="131"/>
        <v>224 - AW</v>
      </c>
      <c r="AO521" s="121" t="str">
        <f>IF('Cable Info'!N225="","",CONCATENATE('Cable Info'!N225," - ",'Cable Info'!O225))</f>
        <v>224 - AW</v>
      </c>
      <c r="AR521" s="121" t="str">
        <f t="shared" si="132"/>
        <v>224 - AW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str">
        <f>IF('Cable Info'!L226="","",CONCATENATE('Cable Info'!L226," - ",'Cable Info'!M226))</f>
        <v>225 - AW</v>
      </c>
      <c r="AM522" s="121" t="str">
        <f t="shared" si="131"/>
        <v>225 - AW</v>
      </c>
      <c r="AO522" s="121" t="str">
        <f>IF('Cable Info'!N226="","",CONCATENATE('Cable Info'!N226," - ",'Cable Info'!O226))</f>
        <v>225 - AW</v>
      </c>
      <c r="AR522" s="121" t="str">
        <f t="shared" si="132"/>
        <v>225 - AW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str">
        <f>IF('Cable Info'!L227="","",CONCATENATE('Cable Info'!L227," - ",'Cable Info'!M227))</f>
        <v>226 - AW</v>
      </c>
      <c r="AM523" s="121" t="str">
        <f t="shared" si="131"/>
        <v>226 - AW</v>
      </c>
      <c r="AO523" s="121" t="str">
        <f>IF('Cable Info'!N227="","",CONCATENATE('Cable Info'!N227," - ",'Cable Info'!O227))</f>
        <v>226 - AW</v>
      </c>
      <c r="AR523" s="121" t="str">
        <f t="shared" si="132"/>
        <v>226 - AW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str">
        <f>IF('Cable Info'!L228="","",CONCATENATE('Cable Info'!L228," - ",'Cable Info'!M228))</f>
        <v>227 - AW</v>
      </c>
      <c r="AM524" s="121" t="str">
        <f t="shared" si="131"/>
        <v>227 - AW</v>
      </c>
      <c r="AO524" s="121" t="str">
        <f>IF('Cable Info'!N228="","",CONCATENATE('Cable Info'!N228," - ",'Cable Info'!O228))</f>
        <v>227 - AW</v>
      </c>
      <c r="AR524" s="121" t="str">
        <f t="shared" si="132"/>
        <v>227 - AW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str">
        <f>IF('Cable Info'!L229="","",CONCATENATE('Cable Info'!L229," - ",'Cable Info'!M229))</f>
        <v>228 - AW</v>
      </c>
      <c r="AM525" s="121" t="str">
        <f t="shared" si="131"/>
        <v>228 - AW</v>
      </c>
      <c r="AO525" s="121" t="str">
        <f>IF('Cable Info'!N229="","",CONCATENATE('Cable Info'!N229," - ",'Cable Info'!O229))</f>
        <v>228 - AW</v>
      </c>
      <c r="AR525" s="121" t="str">
        <f t="shared" si="132"/>
        <v>228 - AW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str">
        <f>IF('Cable Info'!L230="","",CONCATENATE('Cable Info'!L230," - ",'Cable Info'!M230))</f>
        <v>229 - AW</v>
      </c>
      <c r="AM526" s="121" t="str">
        <f t="shared" si="131"/>
        <v>229 - AW</v>
      </c>
      <c r="AO526" s="121" t="str">
        <f>IF('Cable Info'!N230="","",CONCATENATE('Cable Info'!N230," - ",'Cable Info'!O230))</f>
        <v>229 - AW</v>
      </c>
      <c r="AR526" s="121" t="str">
        <f t="shared" si="132"/>
        <v>229 - AW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str">
        <f>IF('Cable Info'!L231="","",CONCATENATE('Cable Info'!L231," - ",'Cable Info'!M231))</f>
        <v>230 - AW</v>
      </c>
      <c r="AM527" s="121" t="str">
        <f t="shared" si="131"/>
        <v>230 - AW</v>
      </c>
      <c r="AO527" s="121" t="str">
        <f>IF('Cable Info'!N231="","",CONCATENATE('Cable Info'!N231," - ",'Cable Info'!O231))</f>
        <v>230 - AW</v>
      </c>
      <c r="AR527" s="121" t="str">
        <f t="shared" si="132"/>
        <v>230 - AW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str">
        <f>IF('Cable Info'!L232="","",CONCATENATE('Cable Info'!L232," - ",'Cable Info'!M232))</f>
        <v>231 - AW</v>
      </c>
      <c r="AM528" s="121" t="str">
        <f t="shared" si="131"/>
        <v>231 - AW</v>
      </c>
      <c r="AO528" s="121" t="str">
        <f>IF('Cable Info'!N232="","",CONCATENATE('Cable Info'!N232," - ",'Cable Info'!O232))</f>
        <v>231 - AW</v>
      </c>
      <c r="AR528" s="121" t="str">
        <f t="shared" si="132"/>
        <v>231 - AW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str">
        <f>IF('Cable Info'!L233="","",CONCATENATE('Cable Info'!L233," - ",'Cable Info'!M233))</f>
        <v>232 - AW</v>
      </c>
      <c r="AM529" s="121" t="str">
        <f t="shared" si="131"/>
        <v>232 - AW</v>
      </c>
      <c r="AO529" s="121" t="str">
        <f>IF('Cable Info'!N233="","",CONCATENATE('Cable Info'!N233," - ",'Cable Info'!O233))</f>
        <v>232 - AW</v>
      </c>
      <c r="AR529" s="121" t="str">
        <f t="shared" si="132"/>
        <v>232 - AW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str">
        <f>IF('Cable Info'!L234="","",CONCATENATE('Cable Info'!L234," - ",'Cable Info'!M234))</f>
        <v>233 - AW</v>
      </c>
      <c r="AM530" s="121" t="str">
        <f t="shared" si="131"/>
        <v>233 - AW</v>
      </c>
      <c r="AO530" s="121" t="str">
        <f>IF('Cable Info'!N234="","",CONCATENATE('Cable Info'!N234," - ",'Cable Info'!O234))</f>
        <v>233 - AW</v>
      </c>
      <c r="AR530" s="121" t="str">
        <f t="shared" si="132"/>
        <v>233 - AW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str">
        <f>IF('Cable Info'!L235="","",CONCATENATE('Cable Info'!L235," - ",'Cable Info'!M235))</f>
        <v>234 - AW</v>
      </c>
      <c r="AM531" s="121" t="str">
        <f t="shared" si="131"/>
        <v>234 - AW</v>
      </c>
      <c r="AO531" s="121" t="str">
        <f>IF('Cable Info'!N235="","",CONCATENATE('Cable Info'!N235," - ",'Cable Info'!O235))</f>
        <v>234 - AW</v>
      </c>
      <c r="AR531" s="121" t="str">
        <f t="shared" si="132"/>
        <v>234 - AW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str">
        <f>IF('Cable Info'!L236="","",CONCATENATE('Cable Info'!L236," - ",'Cable Info'!M236))</f>
        <v>235 - AW</v>
      </c>
      <c r="AM532" s="121" t="str">
        <f t="shared" si="131"/>
        <v>235 - AW</v>
      </c>
      <c r="AO532" s="121" t="str">
        <f>IF('Cable Info'!N236="","",CONCATENATE('Cable Info'!N236," - ",'Cable Info'!O236))</f>
        <v>235 - AW</v>
      </c>
      <c r="AR532" s="121" t="str">
        <f t="shared" si="132"/>
        <v>235 - AW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str">
        <f>IF('Cable Info'!L237="","",CONCATENATE('Cable Info'!L237," - ",'Cable Info'!M237))</f>
        <v>236 - AW</v>
      </c>
      <c r="AM533" s="121" t="str">
        <f t="shared" si="131"/>
        <v>236 - AW</v>
      </c>
      <c r="AO533" s="121" t="str">
        <f>IF('Cable Info'!N237="","",CONCATENATE('Cable Info'!N237," - ",'Cable Info'!O237))</f>
        <v>236 - AW</v>
      </c>
      <c r="AR533" s="121" t="str">
        <f t="shared" si="132"/>
        <v>236 - AW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str">
        <f>IF('Cable Info'!L238="","",CONCATENATE('Cable Info'!L238," - ",'Cable Info'!M238))</f>
        <v>237 - AW</v>
      </c>
      <c r="AM534" s="121" t="str">
        <f t="shared" si="131"/>
        <v>237 - AW</v>
      </c>
      <c r="AO534" s="121" t="str">
        <f>IF('Cable Info'!N238="","",CONCATENATE('Cable Info'!N238," - ",'Cable Info'!O238))</f>
        <v>237 - AW</v>
      </c>
      <c r="AR534" s="121" t="str">
        <f t="shared" si="132"/>
        <v>237 - AW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str">
        <f>IF('Cable Info'!L239="","",CONCATENATE('Cable Info'!L239," - ",'Cable Info'!M239))</f>
        <v>238 - AW</v>
      </c>
      <c r="AM535" s="121" t="str">
        <f t="shared" si="131"/>
        <v>238 - AW</v>
      </c>
      <c r="AO535" s="121" t="str">
        <f>IF('Cable Info'!N239="","",CONCATENATE('Cable Info'!N239," - ",'Cable Info'!O239))</f>
        <v>238 - AW</v>
      </c>
      <c r="AR535" s="121" t="str">
        <f t="shared" si="132"/>
        <v>238 - AW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str">
        <f>IF('Cable Info'!L240="","",CONCATENATE('Cable Info'!L240," - ",'Cable Info'!M240))</f>
        <v>239 - AW</v>
      </c>
      <c r="AM536" s="121" t="str">
        <f t="shared" si="131"/>
        <v>239 - AW</v>
      </c>
      <c r="AO536" s="121" t="str">
        <f>IF('Cable Info'!N240="","",CONCATENATE('Cable Info'!N240," - ",'Cable Info'!O240))</f>
        <v>239 - AW</v>
      </c>
      <c r="AR536" s="121" t="str">
        <f t="shared" si="132"/>
        <v>239 - AW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str">
        <f>IF('Cable Info'!L241="","",CONCATENATE('Cable Info'!L241," - ",'Cable Info'!M241))</f>
        <v>240 - AW</v>
      </c>
      <c r="AM537" s="121" t="str">
        <f t="shared" si="131"/>
        <v>240 - AW</v>
      </c>
      <c r="AO537" s="121" t="str">
        <f>IF('Cable Info'!N241="","",CONCATENATE('Cable Info'!N241," - ",'Cable Info'!O241))</f>
        <v>240 - AW</v>
      </c>
      <c r="AR537" s="121" t="str">
        <f t="shared" si="132"/>
        <v>240 - AW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str">
        <f>IF('Cable Info'!L242="","",CONCATENATE('Cable Info'!L242," - ",'Cable Info'!M242))</f>
        <v>241 - AW</v>
      </c>
      <c r="AM538" s="121" t="str">
        <f t="shared" si="131"/>
        <v>241 - AW</v>
      </c>
      <c r="AO538" s="121" t="str">
        <f>IF('Cable Info'!N242="","",CONCATENATE('Cable Info'!N242," - ",'Cable Info'!O242))</f>
        <v>241 - AW</v>
      </c>
      <c r="AR538" s="121" t="str">
        <f t="shared" si="132"/>
        <v>241 - AW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str">
        <f>IF('Cable Info'!L243="","",CONCATENATE('Cable Info'!L243," - ",'Cable Info'!M243))</f>
        <v>242 - AW</v>
      </c>
      <c r="AM539" s="121" t="str">
        <f t="shared" si="131"/>
        <v>242 - AW</v>
      </c>
      <c r="AO539" s="121" t="str">
        <f>IF('Cable Info'!N243="","",CONCATENATE('Cable Info'!N243," - ",'Cable Info'!O243))</f>
        <v>242 - AW</v>
      </c>
      <c r="AR539" s="121" t="str">
        <f t="shared" si="132"/>
        <v>242 - AW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str">
        <f>IF('Cable Info'!L244="","",CONCATENATE('Cable Info'!L244," - ",'Cable Info'!M244))</f>
        <v>243 - AW</v>
      </c>
      <c r="AM540" s="121" t="str">
        <f t="shared" si="131"/>
        <v>243 - AW</v>
      </c>
      <c r="AO540" s="121" t="str">
        <f>IF('Cable Info'!N244="","",CONCATENATE('Cable Info'!N244," - ",'Cable Info'!O244))</f>
        <v>243 - AW</v>
      </c>
      <c r="AR540" s="121" t="str">
        <f t="shared" si="132"/>
        <v>243 - AW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str">
        <f>IF('Cable Info'!L245="","",CONCATENATE('Cable Info'!L245," - ",'Cable Info'!M245))</f>
        <v>244 - AW</v>
      </c>
      <c r="AM541" s="121" t="str">
        <f t="shared" si="131"/>
        <v>244 - AW</v>
      </c>
      <c r="AO541" s="121" t="str">
        <f>IF('Cable Info'!N245="","",CONCATENATE('Cable Info'!N245," - ",'Cable Info'!O245))</f>
        <v>244 - AW</v>
      </c>
      <c r="AR541" s="121" t="str">
        <f t="shared" si="132"/>
        <v>244 - AW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str">
        <f>IF('Cable Info'!L246="","",CONCATENATE('Cable Info'!L246," - ",'Cable Info'!M246))</f>
        <v>245 - AW</v>
      </c>
      <c r="AM542" s="121" t="str">
        <f t="shared" si="131"/>
        <v>245 - AW</v>
      </c>
      <c r="AO542" s="121" t="str">
        <f>IF('Cable Info'!N246="","",CONCATENATE('Cable Info'!N246," - ",'Cable Info'!O246))</f>
        <v>245 - AW</v>
      </c>
      <c r="AR542" s="121" t="str">
        <f t="shared" si="132"/>
        <v>245 - AW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str">
        <f>IF('Cable Info'!L247="","",CONCATENATE('Cable Info'!L247," - ",'Cable Info'!M247))</f>
        <v>246 - AW</v>
      </c>
      <c r="AM543" s="121" t="str">
        <f t="shared" si="131"/>
        <v>246 - AW</v>
      </c>
      <c r="AO543" s="121" t="str">
        <f>IF('Cable Info'!N247="","",CONCATENATE('Cable Info'!N247," - ",'Cable Info'!O247))</f>
        <v>246 - AW</v>
      </c>
      <c r="AR543" s="121" t="str">
        <f t="shared" si="132"/>
        <v>246 - AW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str">
        <f>IF('Cable Info'!L248="","",CONCATENATE('Cable Info'!L248," - ",'Cable Info'!M248))</f>
        <v>247 - AW</v>
      </c>
      <c r="AM544" s="121" t="str">
        <f t="shared" si="131"/>
        <v>247 - AW</v>
      </c>
      <c r="AO544" s="121" t="str">
        <f>IF('Cable Info'!N248="","",CONCATENATE('Cable Info'!N248," - ",'Cable Info'!O248))</f>
        <v>247 - AW</v>
      </c>
      <c r="AR544" s="121" t="str">
        <f t="shared" si="132"/>
        <v>247 - AW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str">
        <f>IF('Cable Info'!L249="","",CONCATENATE('Cable Info'!L249," - ",'Cable Info'!M249))</f>
        <v>248 - AW</v>
      </c>
      <c r="AM545" s="121" t="str">
        <f t="shared" si="131"/>
        <v>248 - AW</v>
      </c>
      <c r="AO545" s="121" t="str">
        <f>IF('Cable Info'!N249="","",CONCATENATE('Cable Info'!N249," - ",'Cable Info'!O249))</f>
        <v>248 - AW</v>
      </c>
      <c r="AR545" s="121" t="str">
        <f t="shared" si="132"/>
        <v>248 - AW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str">
        <f>IF('Cable Info'!L250="","",CONCATENATE('Cable Info'!L250," - ",'Cable Info'!M250))</f>
        <v>249 - AW</v>
      </c>
      <c r="AM546" s="121" t="str">
        <f t="shared" si="131"/>
        <v>249 - AW</v>
      </c>
      <c r="AO546" s="121" t="str">
        <f>IF('Cable Info'!N250="","",CONCATENATE('Cable Info'!N250," - ",'Cable Info'!O250))</f>
        <v>249 - AW</v>
      </c>
      <c r="AR546" s="121" t="str">
        <f t="shared" si="132"/>
        <v>249 - AW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str">
        <f>IF('Cable Info'!L251="","",CONCATENATE('Cable Info'!L251," - ",'Cable Info'!M251))</f>
        <v>250 - AW</v>
      </c>
      <c r="AM547" s="121" t="str">
        <f t="shared" si="131"/>
        <v>250 - AW</v>
      </c>
      <c r="AO547" s="121" t="str">
        <f>IF('Cable Info'!N251="","",CONCATENATE('Cable Info'!N251," - ",'Cable Info'!O251))</f>
        <v>250 - AW</v>
      </c>
      <c r="AR547" s="121" t="str">
        <f t="shared" si="132"/>
        <v>250 - AW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str">
        <f>IF('Cable Info'!L252="","",CONCATENATE('Cable Info'!L252," - ",'Cable Info'!M252))</f>
        <v>251 - AW</v>
      </c>
      <c r="AM548" s="121" t="str">
        <f t="shared" si="131"/>
        <v>251 - AW</v>
      </c>
      <c r="AO548" s="121" t="str">
        <f>IF('Cable Info'!N252="","",CONCATENATE('Cable Info'!N252," - ",'Cable Info'!O252))</f>
        <v>251 - AW</v>
      </c>
      <c r="AR548" s="121" t="str">
        <f t="shared" si="132"/>
        <v>251 - AW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str">
        <f>IF('Cable Info'!L253="","",CONCATENATE('Cable Info'!L253," - ",'Cable Info'!M253))</f>
        <v>252 - AW</v>
      </c>
      <c r="AM549" s="121" t="str">
        <f t="shared" si="131"/>
        <v>252 - AW</v>
      </c>
      <c r="AO549" s="121" t="str">
        <f>IF('Cable Info'!N253="","",CONCATENATE('Cable Info'!N253," - ",'Cable Info'!O253))</f>
        <v>252 - AW</v>
      </c>
      <c r="AR549" s="121" t="str">
        <f t="shared" si="132"/>
        <v>252 - AW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str">
        <f>IF('Cable Info'!L254="","",CONCATENATE('Cable Info'!L254," - ",'Cable Info'!M254))</f>
        <v>253 - AW</v>
      </c>
      <c r="AM550" s="121" t="str">
        <f t="shared" si="131"/>
        <v>253 - AW</v>
      </c>
      <c r="AO550" s="121" t="str">
        <f>IF('Cable Info'!N254="","",CONCATENATE('Cable Info'!N254," - ",'Cable Info'!O254))</f>
        <v>253 - AW</v>
      </c>
      <c r="AR550" s="121" t="str">
        <f t="shared" si="132"/>
        <v>253 - AW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str">
        <f>IF('Cable Info'!L255="","",CONCATENATE('Cable Info'!L255," - ",'Cable Info'!M255))</f>
        <v>254 - AW</v>
      </c>
      <c r="AM551" s="121" t="str">
        <f t="shared" si="131"/>
        <v>254 - AW</v>
      </c>
      <c r="AO551" s="121" t="str">
        <f>IF('Cable Info'!N255="","",CONCATENATE('Cable Info'!N255," - ",'Cable Info'!O255))</f>
        <v>254 - AW</v>
      </c>
      <c r="AR551" s="121" t="str">
        <f t="shared" si="132"/>
        <v>254 - AW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str">
        <f>IF('Cable Info'!L256="","",CONCATENATE('Cable Info'!L256," - ",'Cable Info'!M256))</f>
        <v>255 - AW</v>
      </c>
      <c r="AM552" s="121" t="str">
        <f t="shared" si="131"/>
        <v>255 - AW</v>
      </c>
      <c r="AO552" s="121" t="str">
        <f>IF('Cable Info'!N256="","",CONCATENATE('Cable Info'!N256," - ",'Cable Info'!O256))</f>
        <v>255 - AW</v>
      </c>
      <c r="AR552" s="121" t="str">
        <f t="shared" si="132"/>
        <v>255 - AW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str">
        <f>IF('Cable Info'!L257="","",CONCATENATE('Cable Info'!L257," - ",'Cable Info'!M257))</f>
        <v>256 - AW</v>
      </c>
      <c r="AM553" s="121" t="str">
        <f t="shared" si="131"/>
        <v>256 - AW</v>
      </c>
      <c r="AO553" s="121" t="str">
        <f>IF('Cable Info'!N257="","",CONCATENATE('Cable Info'!N257," - ",'Cable Info'!O257))</f>
        <v>256 - AW</v>
      </c>
      <c r="AR553" s="121" t="str">
        <f t="shared" si="132"/>
        <v>256 - AW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str">
        <f>IF('Cable Info'!L258="","",CONCATENATE('Cable Info'!L258," - ",'Cable Info'!M258))</f>
        <v>257 - AW</v>
      </c>
      <c r="AM554" s="121" t="str">
        <f t="shared" si="131"/>
        <v>257 - AW</v>
      </c>
      <c r="AO554" s="121" t="str">
        <f>IF('Cable Info'!N258="","",CONCATENATE('Cable Info'!N258," - ",'Cable Info'!O258))</f>
        <v>257 - AW</v>
      </c>
      <c r="AR554" s="121" t="str">
        <f t="shared" si="132"/>
        <v>257 - AW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str">
        <f>IF('Cable Info'!L259="","",CONCATENATE('Cable Info'!L259," - ",'Cable Info'!M259))</f>
        <v>258 - AW</v>
      </c>
      <c r="AM555" s="121" t="str">
        <f t="shared" ref="AM555:AM618" si="137">IF(AK555="",AJ555,CONCATENATE(AJ555,"  &lt;=&gt; ",AK555," ",AL555))</f>
        <v>258 - AW</v>
      </c>
      <c r="AO555" s="121" t="str">
        <f>IF('Cable Info'!N259="","",CONCATENATE('Cable Info'!N259," - ",'Cable Info'!O259))</f>
        <v>258 - AW</v>
      </c>
      <c r="AR555" s="121" t="str">
        <f t="shared" ref="AR555:AR618" si="138">IF(AP555="",AO555,CONCATENATE(AO555,"  &lt;=&gt; ",AP555," ",AQ555))</f>
        <v>258 - AW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str">
        <f>IF('Cable Info'!L260="","",CONCATENATE('Cable Info'!L260," - ",'Cable Info'!M260))</f>
        <v>259 - AW</v>
      </c>
      <c r="AM556" s="121" t="str">
        <f t="shared" si="137"/>
        <v>259 - AW</v>
      </c>
      <c r="AO556" s="121" t="str">
        <f>IF('Cable Info'!N260="","",CONCATENATE('Cable Info'!N260," - ",'Cable Info'!O260))</f>
        <v>259 - AW</v>
      </c>
      <c r="AR556" s="121" t="str">
        <f t="shared" si="138"/>
        <v>259 - AW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str">
        <f>IF('Cable Info'!L261="","",CONCATENATE('Cable Info'!L261," - ",'Cable Info'!M261))</f>
        <v>260 - AW</v>
      </c>
      <c r="AM557" s="121" t="str">
        <f t="shared" si="137"/>
        <v>260 - AW</v>
      </c>
      <c r="AO557" s="121" t="str">
        <f>IF('Cable Info'!N261="","",CONCATENATE('Cable Info'!N261," - ",'Cable Info'!O261))</f>
        <v>260 - AW</v>
      </c>
      <c r="AR557" s="121" t="str">
        <f t="shared" si="138"/>
        <v>260 - AW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str">
        <f>IF('Cable Info'!L262="","",CONCATENATE('Cable Info'!L262," - ",'Cable Info'!M262))</f>
        <v>261 - AW</v>
      </c>
      <c r="AM558" s="121" t="str">
        <f t="shared" si="137"/>
        <v>261 - AW</v>
      </c>
      <c r="AO558" s="121" t="str">
        <f>IF('Cable Info'!N262="","",CONCATENATE('Cable Info'!N262," - ",'Cable Info'!O262))</f>
        <v>261 - AW</v>
      </c>
      <c r="AR558" s="121" t="str">
        <f t="shared" si="138"/>
        <v>261 - AW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str">
        <f>IF('Cable Info'!L263="","",CONCATENATE('Cable Info'!L263," - ",'Cable Info'!M263))</f>
        <v>262 - AW</v>
      </c>
      <c r="AM559" s="121" t="str">
        <f t="shared" si="137"/>
        <v>262 - AW</v>
      </c>
      <c r="AO559" s="121" t="str">
        <f>IF('Cable Info'!N263="","",CONCATENATE('Cable Info'!N263," - ",'Cable Info'!O263))</f>
        <v>262 - AW</v>
      </c>
      <c r="AR559" s="121" t="str">
        <f t="shared" si="138"/>
        <v>262 - AW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str">
        <f>IF('Cable Info'!L264="","",CONCATENATE('Cable Info'!L264," - ",'Cable Info'!M264))</f>
        <v>263 - AW</v>
      </c>
      <c r="AM560" s="121" t="str">
        <f t="shared" si="137"/>
        <v>263 - AW</v>
      </c>
      <c r="AO560" s="121" t="str">
        <f>IF('Cable Info'!N264="","",CONCATENATE('Cable Info'!N264," - ",'Cable Info'!O264))</f>
        <v>263 - AW</v>
      </c>
      <c r="AR560" s="121" t="str">
        <f t="shared" si="138"/>
        <v>263 - AW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str">
        <f>IF('Cable Info'!L265="","",CONCATENATE('Cable Info'!L265," - ",'Cable Info'!M265))</f>
        <v>264 - AW</v>
      </c>
      <c r="AM561" s="121" t="str">
        <f t="shared" si="137"/>
        <v>264 - AW</v>
      </c>
      <c r="AO561" s="121" t="str">
        <f>IF('Cable Info'!N265="","",CONCATENATE('Cable Info'!N265," - ",'Cable Info'!O265))</f>
        <v>264 - AW</v>
      </c>
      <c r="AR561" s="121" t="str">
        <f t="shared" si="138"/>
        <v>264 - AW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str">
        <f>IF('Cable Info'!L266="","",CONCATENATE('Cable Info'!L266," - ",'Cable Info'!M266))</f>
        <v>265 - AW</v>
      </c>
      <c r="AM562" s="121" t="str">
        <f t="shared" si="137"/>
        <v>265 - AW</v>
      </c>
      <c r="AO562" s="121" t="str">
        <f>IF('Cable Info'!N266="","",CONCATENATE('Cable Info'!N266," - ",'Cable Info'!O266))</f>
        <v>265 - AW</v>
      </c>
      <c r="AR562" s="121" t="str">
        <f t="shared" si="138"/>
        <v>265 - AW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str">
        <f>IF('Cable Info'!L267="","",CONCATENATE('Cable Info'!L267," - ",'Cable Info'!M267))</f>
        <v>266 - AW</v>
      </c>
      <c r="AM563" s="121" t="str">
        <f t="shared" si="137"/>
        <v>266 - AW</v>
      </c>
      <c r="AO563" s="121" t="str">
        <f>IF('Cable Info'!N267="","",CONCATENATE('Cable Info'!N267," - ",'Cable Info'!O267))</f>
        <v>266 - AW</v>
      </c>
      <c r="AR563" s="121" t="str">
        <f t="shared" si="138"/>
        <v>266 - AW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str">
        <f>IF('Cable Info'!L268="","",CONCATENATE('Cable Info'!L268," - ",'Cable Info'!M268))</f>
        <v>267 - AW</v>
      </c>
      <c r="AM564" s="121" t="str">
        <f t="shared" si="137"/>
        <v>267 - AW</v>
      </c>
      <c r="AO564" s="121" t="str">
        <f>IF('Cable Info'!N268="","",CONCATENATE('Cable Info'!N268," - ",'Cable Info'!O268))</f>
        <v>267 - AW</v>
      </c>
      <c r="AR564" s="121" t="str">
        <f t="shared" si="138"/>
        <v>267 - AW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str">
        <f>IF('Cable Info'!L269="","",CONCATENATE('Cable Info'!L269," - ",'Cable Info'!M269))</f>
        <v>268 - AW</v>
      </c>
      <c r="AM565" s="121" t="str">
        <f t="shared" si="137"/>
        <v>268 - AW</v>
      </c>
      <c r="AO565" s="121" t="str">
        <f>IF('Cable Info'!N269="","",CONCATENATE('Cable Info'!N269," - ",'Cable Info'!O269))</f>
        <v>268 - AW</v>
      </c>
      <c r="AR565" s="121" t="str">
        <f t="shared" si="138"/>
        <v>268 - AW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str">
        <f>IF('Cable Info'!L270="","",CONCATENATE('Cable Info'!L270," - ",'Cable Info'!M270))</f>
        <v>269 - AW</v>
      </c>
      <c r="AM566" s="121" t="str">
        <f t="shared" si="137"/>
        <v>269 - AW</v>
      </c>
      <c r="AO566" s="121" t="str">
        <f>IF('Cable Info'!N270="","",CONCATENATE('Cable Info'!N270," - ",'Cable Info'!O270))</f>
        <v>269 - AW</v>
      </c>
      <c r="AR566" s="121" t="str">
        <f t="shared" si="138"/>
        <v>269 - AW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str">
        <f>IF('Cable Info'!L271="","",CONCATENATE('Cable Info'!L271," - ",'Cable Info'!M271))</f>
        <v>270 - AW</v>
      </c>
      <c r="AM567" s="121" t="str">
        <f t="shared" si="137"/>
        <v>270 - AW</v>
      </c>
      <c r="AO567" s="121" t="str">
        <f>IF('Cable Info'!N271="","",CONCATENATE('Cable Info'!N271," - ",'Cable Info'!O271))</f>
        <v>270 - AW</v>
      </c>
      <c r="AR567" s="121" t="str">
        <f t="shared" si="138"/>
        <v>270 - AW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str">
        <f>IF('Cable Info'!L272="","",CONCATENATE('Cable Info'!L272," - ",'Cable Info'!M272))</f>
        <v>271 - AW</v>
      </c>
      <c r="AM568" s="121" t="str">
        <f t="shared" si="137"/>
        <v>271 - AW</v>
      </c>
      <c r="AO568" s="121" t="str">
        <f>IF('Cable Info'!N272="","",CONCATENATE('Cable Info'!N272," - ",'Cable Info'!O272))</f>
        <v>271 - AW</v>
      </c>
      <c r="AR568" s="121" t="str">
        <f t="shared" si="138"/>
        <v>271 - AW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str">
        <f>IF('Cable Info'!L273="","",CONCATENATE('Cable Info'!L273," - ",'Cable Info'!M273))</f>
        <v>272 - AW</v>
      </c>
      <c r="AM569" s="121" t="str">
        <f t="shared" si="137"/>
        <v>272 - AW</v>
      </c>
      <c r="AO569" s="121" t="str">
        <f>IF('Cable Info'!N273="","",CONCATENATE('Cable Info'!N273," - ",'Cable Info'!O273))</f>
        <v>272 - AW</v>
      </c>
      <c r="AR569" s="121" t="str">
        <f t="shared" si="138"/>
        <v>272 - AW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str">
        <f>IF('Cable Info'!L274="","",CONCATENATE('Cable Info'!L274," - ",'Cable Info'!M274))</f>
        <v>273 - AW</v>
      </c>
      <c r="AM570" s="121" t="str">
        <f t="shared" si="137"/>
        <v>273 - AW</v>
      </c>
      <c r="AO570" s="121" t="str">
        <f>IF('Cable Info'!N274="","",CONCATENATE('Cable Info'!N274," - ",'Cable Info'!O274))</f>
        <v>273 - AW</v>
      </c>
      <c r="AR570" s="121" t="str">
        <f t="shared" si="138"/>
        <v>273 - AW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str">
        <f>IF('Cable Info'!L275="","",CONCATENATE('Cable Info'!L275," - ",'Cable Info'!M275))</f>
        <v>274 - AW</v>
      </c>
      <c r="AM571" s="121" t="str">
        <f t="shared" si="137"/>
        <v>274 - AW</v>
      </c>
      <c r="AO571" s="121" t="str">
        <f>IF('Cable Info'!N275="","",CONCATENATE('Cable Info'!N275," - ",'Cable Info'!O275))</f>
        <v>274 - AW</v>
      </c>
      <c r="AR571" s="121" t="str">
        <f t="shared" si="138"/>
        <v>274 - AW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str">
        <f>IF('Cable Info'!L276="","",CONCATENATE('Cable Info'!L276," - ",'Cable Info'!M276))</f>
        <v>275 - AW</v>
      </c>
      <c r="AM572" s="121" t="str">
        <f t="shared" si="137"/>
        <v>275 - AW</v>
      </c>
      <c r="AO572" s="121" t="str">
        <f>IF('Cable Info'!N276="","",CONCATENATE('Cable Info'!N276," - ",'Cable Info'!O276))</f>
        <v>275 - AW</v>
      </c>
      <c r="AR572" s="121" t="str">
        <f t="shared" si="138"/>
        <v>275 - AW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str">
        <f>IF('Cable Info'!L277="","",CONCATENATE('Cable Info'!L277," - ",'Cable Info'!M277))</f>
        <v>276 - AW</v>
      </c>
      <c r="AM573" s="121" t="str">
        <f t="shared" si="137"/>
        <v>276 - AW</v>
      </c>
      <c r="AO573" s="121" t="str">
        <f>IF('Cable Info'!N277="","",CONCATENATE('Cable Info'!N277," - ",'Cable Info'!O277))</f>
        <v>276 - AW</v>
      </c>
      <c r="AR573" s="121" t="str">
        <f t="shared" si="138"/>
        <v>276 - AW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str">
        <f>IF('Cable Info'!L278="","",CONCATENATE('Cable Info'!L278," - ",'Cable Info'!M278))</f>
        <v>277 - AW</v>
      </c>
      <c r="AM574" s="121" t="str">
        <f t="shared" si="137"/>
        <v>277 - AW</v>
      </c>
      <c r="AO574" s="121" t="str">
        <f>IF('Cable Info'!N278="","",CONCATENATE('Cable Info'!N278," - ",'Cable Info'!O278))</f>
        <v>277 - AW</v>
      </c>
      <c r="AR574" s="121" t="str">
        <f t="shared" si="138"/>
        <v>277 - AW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str">
        <f>IF('Cable Info'!L279="","",CONCATENATE('Cable Info'!L279," - ",'Cable Info'!M279))</f>
        <v>278 - AW</v>
      </c>
      <c r="AM575" s="121" t="str">
        <f t="shared" si="137"/>
        <v>278 - AW</v>
      </c>
      <c r="AO575" s="121" t="str">
        <f>IF('Cable Info'!N279="","",CONCATENATE('Cable Info'!N279," - ",'Cable Info'!O279))</f>
        <v>278 - AW</v>
      </c>
      <c r="AR575" s="121" t="str">
        <f t="shared" si="138"/>
        <v>278 - AW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str">
        <f>IF('Cable Info'!L280="","",CONCATENATE('Cable Info'!L280," - ",'Cable Info'!M280))</f>
        <v>279 - AW</v>
      </c>
      <c r="AM576" s="121" t="str">
        <f t="shared" si="137"/>
        <v>279 - AW</v>
      </c>
      <c r="AO576" s="121" t="str">
        <f>IF('Cable Info'!N280="","",CONCATENATE('Cable Info'!N280," - ",'Cable Info'!O280))</f>
        <v>279 - AW</v>
      </c>
      <c r="AR576" s="121" t="str">
        <f t="shared" si="138"/>
        <v>279 - AW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str">
        <f>IF('Cable Info'!L281="","",CONCATENATE('Cable Info'!L281," - ",'Cable Info'!M281))</f>
        <v>280 - AW</v>
      </c>
      <c r="AM577" s="121" t="str">
        <f t="shared" si="137"/>
        <v>280 - AW</v>
      </c>
      <c r="AO577" s="121" t="str">
        <f>IF('Cable Info'!N281="","",CONCATENATE('Cable Info'!N281," - ",'Cable Info'!O281))</f>
        <v>280 - AW</v>
      </c>
      <c r="AR577" s="121" t="str">
        <f t="shared" si="138"/>
        <v>280 - AW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str">
        <f>IF('Cable Info'!L282="","",CONCATENATE('Cable Info'!L282," - ",'Cable Info'!M282))</f>
        <v>281 - AW</v>
      </c>
      <c r="AM578" s="121" t="str">
        <f t="shared" si="137"/>
        <v>281 - AW</v>
      </c>
      <c r="AO578" s="121" t="str">
        <f>IF('Cable Info'!N282="","",CONCATENATE('Cable Info'!N282," - ",'Cable Info'!O282))</f>
        <v>281 - AW</v>
      </c>
      <c r="AR578" s="121" t="str">
        <f t="shared" si="138"/>
        <v>281 - AW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str">
        <f>IF('Cable Info'!L283="","",CONCATENATE('Cable Info'!L283," - ",'Cable Info'!M283))</f>
        <v>282 - AW</v>
      </c>
      <c r="AM579" s="121" t="str">
        <f t="shared" si="137"/>
        <v>282 - AW</v>
      </c>
      <c r="AO579" s="121" t="str">
        <f>IF('Cable Info'!N283="","",CONCATENATE('Cable Info'!N283," - ",'Cable Info'!O283))</f>
        <v>282 - AW</v>
      </c>
      <c r="AR579" s="121" t="str">
        <f t="shared" si="138"/>
        <v>282 - AW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str">
        <f>IF('Cable Info'!L284="","",CONCATENATE('Cable Info'!L284," - ",'Cable Info'!M284))</f>
        <v>283 - AW</v>
      </c>
      <c r="AM580" s="121" t="str">
        <f t="shared" si="137"/>
        <v>283 - AW</v>
      </c>
      <c r="AO580" s="121" t="str">
        <f>IF('Cable Info'!N284="","",CONCATENATE('Cable Info'!N284," - ",'Cable Info'!O284))</f>
        <v>283 - AW</v>
      </c>
      <c r="AR580" s="121" t="str">
        <f t="shared" si="138"/>
        <v>283 - AW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str">
        <f>IF('Cable Info'!L285="","",CONCATENATE('Cable Info'!L285," - ",'Cable Info'!M285))</f>
        <v>284 - AW</v>
      </c>
      <c r="AM581" s="121" t="str">
        <f t="shared" si="137"/>
        <v>284 - AW</v>
      </c>
      <c r="AO581" s="121" t="str">
        <f>IF('Cable Info'!N285="","",CONCATENATE('Cable Info'!N285," - ",'Cable Info'!O285))</f>
        <v>284 - AW</v>
      </c>
      <c r="AR581" s="121" t="str">
        <f t="shared" si="138"/>
        <v>284 - AW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str">
        <f>IF('Cable Info'!L286="","",CONCATENATE('Cable Info'!L286," - ",'Cable Info'!M286))</f>
        <v>285 - AW</v>
      </c>
      <c r="AM582" s="121" t="str">
        <f t="shared" si="137"/>
        <v>285 - AW</v>
      </c>
      <c r="AO582" s="121" t="str">
        <f>IF('Cable Info'!N286="","",CONCATENATE('Cable Info'!N286," - ",'Cable Info'!O286))</f>
        <v>285 - AW</v>
      </c>
      <c r="AR582" s="121" t="str">
        <f t="shared" si="138"/>
        <v>285 - AW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str">
        <f>IF('Cable Info'!L287="","",CONCATENATE('Cable Info'!L287," - ",'Cable Info'!M287))</f>
        <v>286 - AW</v>
      </c>
      <c r="AM583" s="121" t="str">
        <f t="shared" si="137"/>
        <v>286 - AW</v>
      </c>
      <c r="AO583" s="121" t="str">
        <f>IF('Cable Info'!N287="","",CONCATENATE('Cable Info'!N287," - ",'Cable Info'!O287))</f>
        <v>286 - AW</v>
      </c>
      <c r="AR583" s="121" t="str">
        <f t="shared" si="138"/>
        <v>286 - AW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str">
        <f>IF('Cable Info'!L288="","",CONCATENATE('Cable Info'!L288," - ",'Cable Info'!M288))</f>
        <v>287 - AW</v>
      </c>
      <c r="AM584" s="121" t="str">
        <f t="shared" si="137"/>
        <v>287 - AW</v>
      </c>
      <c r="AO584" s="121" t="str">
        <f>IF('Cable Info'!N288="","",CONCATENATE('Cable Info'!N288," - ",'Cable Info'!O288))</f>
        <v>287 - AW</v>
      </c>
      <c r="AR584" s="121" t="str">
        <f t="shared" si="138"/>
        <v>287 - AW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str">
        <f>IF('Cable Info'!L289="","",CONCATENATE('Cable Info'!L289," - ",'Cable Info'!M289))</f>
        <v>288 - AW</v>
      </c>
      <c r="AM585" s="121" t="str">
        <f t="shared" si="137"/>
        <v>288 - AW</v>
      </c>
      <c r="AO585" s="121" t="str">
        <f>IF('Cable Info'!N289="","",CONCATENATE('Cable Info'!N289," - ",'Cable Info'!O289))</f>
        <v>288 - AW</v>
      </c>
      <c r="AR585" s="121" t="str">
        <f t="shared" si="138"/>
        <v>288 - AW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str">
        <f>IF('Cable Info'!L290="","",CONCATENATE('Cable Info'!L290," - ",'Cable Info'!M290))</f>
        <v>289 - AW</v>
      </c>
      <c r="AM586" s="121" t="str">
        <f t="shared" si="137"/>
        <v>289 - AW</v>
      </c>
      <c r="AO586" s="121" t="str">
        <f>IF('Cable Info'!N290="","",CONCATENATE('Cable Info'!N290," - ",'Cable Info'!O290))</f>
        <v>289 - AW</v>
      </c>
      <c r="AR586" s="121" t="str">
        <f t="shared" si="138"/>
        <v>289 - AW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str">
        <f>IF('Cable Info'!L291="","",CONCATENATE('Cable Info'!L291," - ",'Cable Info'!M291))</f>
        <v>290 - AW</v>
      </c>
      <c r="AM587" s="121" t="str">
        <f t="shared" si="137"/>
        <v>290 - AW</v>
      </c>
      <c r="AO587" s="121" t="str">
        <f>IF('Cable Info'!N291="","",CONCATENATE('Cable Info'!N291," - ",'Cable Info'!O291))</f>
        <v>290 - AW</v>
      </c>
      <c r="AR587" s="121" t="str">
        <f t="shared" si="138"/>
        <v>290 - AW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str">
        <f>IF('Cable Info'!L292="","",CONCATENATE('Cable Info'!L292," - ",'Cable Info'!M292))</f>
        <v>291 - AW</v>
      </c>
      <c r="AM588" s="121" t="str">
        <f t="shared" si="137"/>
        <v>291 - AW</v>
      </c>
      <c r="AO588" s="121" t="str">
        <f>IF('Cable Info'!N292="","",CONCATENATE('Cable Info'!N292," - ",'Cable Info'!O292))</f>
        <v>291 - AW</v>
      </c>
      <c r="AR588" s="121" t="str">
        <f t="shared" si="138"/>
        <v>291 - AW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str">
        <f>IF('Cable Info'!L293="","",CONCATENATE('Cable Info'!L293," - ",'Cable Info'!M293))</f>
        <v>292 - AW</v>
      </c>
      <c r="AM589" s="121" t="str">
        <f t="shared" si="137"/>
        <v>292 - AW</v>
      </c>
      <c r="AO589" s="121" t="str">
        <f>IF('Cable Info'!N293="","",CONCATENATE('Cable Info'!N293," - ",'Cable Info'!O293))</f>
        <v>292 - AW</v>
      </c>
      <c r="AR589" s="121" t="str">
        <f t="shared" si="138"/>
        <v>292 - AW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str">
        <f>IF('Cable Info'!L294="","",CONCATENATE('Cable Info'!L294," - ",'Cable Info'!M294))</f>
        <v>293 - AW</v>
      </c>
      <c r="AM590" s="121" t="str">
        <f t="shared" si="137"/>
        <v>293 - AW</v>
      </c>
      <c r="AO590" s="121" t="str">
        <f>IF('Cable Info'!N294="","",CONCATENATE('Cable Info'!N294," - ",'Cable Info'!O294))</f>
        <v>293 - AW</v>
      </c>
      <c r="AR590" s="121" t="str">
        <f t="shared" si="138"/>
        <v>293 - AW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str">
        <f>IF('Cable Info'!L295="","",CONCATENATE('Cable Info'!L295," - ",'Cable Info'!M295))</f>
        <v>294 - AW</v>
      </c>
      <c r="AM591" s="121" t="str">
        <f t="shared" si="137"/>
        <v>294 - AW</v>
      </c>
      <c r="AO591" s="121" t="str">
        <f>IF('Cable Info'!N295="","",CONCATENATE('Cable Info'!N295," - ",'Cable Info'!O295))</f>
        <v>294 - AW</v>
      </c>
      <c r="AR591" s="121" t="str">
        <f t="shared" si="138"/>
        <v>294 - AW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str">
        <f>IF('Cable Info'!L296="","",CONCATENATE('Cable Info'!L296," - ",'Cable Info'!M296))</f>
        <v>295 - AW</v>
      </c>
      <c r="AM592" s="121" t="str">
        <f t="shared" si="137"/>
        <v>295 - AW</v>
      </c>
      <c r="AO592" s="121" t="str">
        <f>IF('Cable Info'!N296="","",CONCATENATE('Cable Info'!N296," - ",'Cable Info'!O296))</f>
        <v>295 - AW</v>
      </c>
      <c r="AR592" s="121" t="str">
        <f t="shared" si="138"/>
        <v>295 - AW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str">
        <f>IF('Cable Info'!L297="","",CONCATENATE('Cable Info'!L297," - ",'Cable Info'!M297))</f>
        <v>296 - AW</v>
      </c>
      <c r="AM593" s="121" t="str">
        <f t="shared" si="137"/>
        <v>296 - AW</v>
      </c>
      <c r="AO593" s="121" t="str">
        <f>IF('Cable Info'!N297="","",CONCATENATE('Cable Info'!N297," - ",'Cable Info'!O297))</f>
        <v>296 - AW</v>
      </c>
      <c r="AR593" s="121" t="str">
        <f t="shared" si="138"/>
        <v>296 - AW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str">
        <f>IF('Cable Info'!L298="","",CONCATENATE('Cable Info'!L298," - ",'Cable Info'!M298))</f>
        <v>297 - AW</v>
      </c>
      <c r="AM594" s="121" t="str">
        <f t="shared" si="137"/>
        <v>297 - AW</v>
      </c>
      <c r="AO594" s="121" t="str">
        <f>IF('Cable Info'!N298="","",CONCATENATE('Cable Info'!N298," - ",'Cable Info'!O298))</f>
        <v>297 - AW</v>
      </c>
      <c r="AR594" s="121" t="str">
        <f t="shared" si="138"/>
        <v>297 - AW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str">
        <f>IF('Cable Info'!L299="","",CONCATENATE('Cable Info'!L299," - ",'Cable Info'!M299))</f>
        <v>298 - AW</v>
      </c>
      <c r="AM595" s="121" t="str">
        <f t="shared" si="137"/>
        <v>298 - AW</v>
      </c>
      <c r="AO595" s="121" t="str">
        <f>IF('Cable Info'!N299="","",CONCATENATE('Cable Info'!N299," - ",'Cable Info'!O299))</f>
        <v>298 - AW</v>
      </c>
      <c r="AR595" s="121" t="str">
        <f t="shared" si="138"/>
        <v>298 - AW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str">
        <f>IF('Cable Info'!L300="","",CONCATENATE('Cable Info'!L300," - ",'Cable Info'!M300))</f>
        <v>299 - AW</v>
      </c>
      <c r="AM596" s="121" t="str">
        <f t="shared" si="137"/>
        <v>299 - AW</v>
      </c>
      <c r="AO596" s="121" t="str">
        <f>IF('Cable Info'!N300="","",CONCATENATE('Cable Info'!N300," - ",'Cable Info'!O300))</f>
        <v>299 - AW</v>
      </c>
      <c r="AR596" s="121" t="str">
        <f t="shared" si="138"/>
        <v>299 - AW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str">
        <f>IF('Cable Info'!L301="","",CONCATENATE('Cable Info'!L301," - ",'Cable Info'!M301))</f>
        <v>300 - AW</v>
      </c>
      <c r="AM597" s="121" t="str">
        <f t="shared" si="137"/>
        <v>300 - AW</v>
      </c>
      <c r="AO597" s="121" t="str">
        <f>IF('Cable Info'!N301="","",CONCATENATE('Cable Info'!N301," - ",'Cable Info'!O301))</f>
        <v>300 - AW</v>
      </c>
      <c r="AR597" s="121" t="str">
        <f t="shared" si="138"/>
        <v>300 - AW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str">
        <f>IF('Cable Info'!L302="","",CONCATENATE('Cable Info'!L302," - ",'Cable Info'!M302))</f>
        <v>301 - AW</v>
      </c>
      <c r="AM598" s="121" t="str">
        <f t="shared" si="137"/>
        <v>301 - AW</v>
      </c>
      <c r="AO598" s="121" t="str">
        <f>IF('Cable Info'!N302="","",CONCATENATE('Cable Info'!N302," - ",'Cable Info'!O302))</f>
        <v>301 - AW</v>
      </c>
      <c r="AR598" s="121" t="str">
        <f t="shared" si="138"/>
        <v>301 - AW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str">
        <f>IF('Cable Info'!L303="","",CONCATENATE('Cable Info'!L303," - ",'Cable Info'!M303))</f>
        <v>302 - AW</v>
      </c>
      <c r="AM599" s="121" t="str">
        <f t="shared" si="137"/>
        <v>302 - AW</v>
      </c>
      <c r="AO599" s="121" t="str">
        <f>IF('Cable Info'!N303="","",CONCATENATE('Cable Info'!N303," - ",'Cable Info'!O303))</f>
        <v>302 - AW</v>
      </c>
      <c r="AR599" s="121" t="str">
        <f t="shared" si="138"/>
        <v>302 - AW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str">
        <f>IF('Cable Info'!L304="","",CONCATENATE('Cable Info'!L304," - ",'Cable Info'!M304))</f>
        <v>303 - AW</v>
      </c>
      <c r="AM600" s="121" t="str">
        <f t="shared" si="137"/>
        <v>303 - AW</v>
      </c>
      <c r="AO600" s="121" t="str">
        <f>IF('Cable Info'!N304="","",CONCATENATE('Cable Info'!N304," - ",'Cable Info'!O304))</f>
        <v>303 - AW</v>
      </c>
      <c r="AR600" s="121" t="str">
        <f t="shared" si="138"/>
        <v>303 - AW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str">
        <f>IF('Cable Info'!L305="","",CONCATENATE('Cable Info'!L305," - ",'Cable Info'!M305))</f>
        <v>304 - AW</v>
      </c>
      <c r="AM601" s="121" t="str">
        <f t="shared" si="137"/>
        <v>304 - AW</v>
      </c>
      <c r="AO601" s="121" t="str">
        <f>IF('Cable Info'!N305="","",CONCATENATE('Cable Info'!N305," - ",'Cable Info'!O305))</f>
        <v>304 - AW</v>
      </c>
      <c r="AR601" s="121" t="str">
        <f t="shared" si="138"/>
        <v>304 - AW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str">
        <f>IF('Cable Info'!L306="","",CONCATENATE('Cable Info'!L306," - ",'Cable Info'!M306))</f>
        <v>305 - AW</v>
      </c>
      <c r="AM602" s="121" t="str">
        <f t="shared" si="137"/>
        <v>305 - AW</v>
      </c>
      <c r="AO602" s="121" t="str">
        <f>IF('Cable Info'!N306="","",CONCATENATE('Cable Info'!N306," - ",'Cable Info'!O306))</f>
        <v>305 - AW</v>
      </c>
      <c r="AR602" s="121" t="str">
        <f t="shared" si="138"/>
        <v>305 - AW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str">
        <f>IF('Cable Info'!L307="","",CONCATENATE('Cable Info'!L307," - ",'Cable Info'!M307))</f>
        <v>306 - AW</v>
      </c>
      <c r="AM603" s="121" t="str">
        <f t="shared" si="137"/>
        <v>306 - AW</v>
      </c>
      <c r="AO603" s="121" t="str">
        <f>IF('Cable Info'!N307="","",CONCATENATE('Cable Info'!N307," - ",'Cable Info'!O307))</f>
        <v>306 - AW</v>
      </c>
      <c r="AR603" s="121" t="str">
        <f t="shared" si="138"/>
        <v>306 - AW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str">
        <f>IF('Cable Info'!L308="","",CONCATENATE('Cable Info'!L308," - ",'Cable Info'!M308))</f>
        <v>307 - AW</v>
      </c>
      <c r="AM604" s="121" t="str">
        <f t="shared" si="137"/>
        <v>307 - AW</v>
      </c>
      <c r="AO604" s="121" t="str">
        <f>IF('Cable Info'!N308="","",CONCATENATE('Cable Info'!N308," - ",'Cable Info'!O308))</f>
        <v>307 - AW</v>
      </c>
      <c r="AR604" s="121" t="str">
        <f t="shared" si="138"/>
        <v>307 - AW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str">
        <f>IF('Cable Info'!L309="","",CONCATENATE('Cable Info'!L309," - ",'Cable Info'!M309))</f>
        <v>308 - AW</v>
      </c>
      <c r="AM605" s="121" t="str">
        <f t="shared" si="137"/>
        <v>308 - AW</v>
      </c>
      <c r="AO605" s="121" t="str">
        <f>IF('Cable Info'!N309="","",CONCATENATE('Cable Info'!N309," - ",'Cable Info'!O309))</f>
        <v>308 - AW</v>
      </c>
      <c r="AR605" s="121" t="str">
        <f t="shared" si="138"/>
        <v>308 - AW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str">
        <f>IF('Cable Info'!L310="","",CONCATENATE('Cable Info'!L310," - ",'Cable Info'!M310))</f>
        <v>309 - AW</v>
      </c>
      <c r="AM606" s="121" t="str">
        <f t="shared" si="137"/>
        <v>309 - AW</v>
      </c>
      <c r="AO606" s="121" t="str">
        <f>IF('Cable Info'!N310="","",CONCATENATE('Cable Info'!N310," - ",'Cable Info'!O310))</f>
        <v>309 - AW</v>
      </c>
      <c r="AR606" s="121" t="str">
        <f t="shared" si="138"/>
        <v>309 - AW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str">
        <f>IF('Cable Info'!L311="","",CONCATENATE('Cable Info'!L311," - ",'Cable Info'!M311))</f>
        <v>310 - AW</v>
      </c>
      <c r="AM607" s="121" t="str">
        <f t="shared" si="137"/>
        <v>310 - AW</v>
      </c>
      <c r="AO607" s="121" t="str">
        <f>IF('Cable Info'!N311="","",CONCATENATE('Cable Info'!N311," - ",'Cable Info'!O311))</f>
        <v>310 - AW</v>
      </c>
      <c r="AR607" s="121" t="str">
        <f t="shared" si="138"/>
        <v>310 - AW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str">
        <f>IF('Cable Info'!L312="","",CONCATENATE('Cable Info'!L312," - ",'Cable Info'!M312))</f>
        <v>311 - AW</v>
      </c>
      <c r="AM608" s="121" t="str">
        <f t="shared" si="137"/>
        <v>311 - AW</v>
      </c>
      <c r="AO608" s="121" t="str">
        <f>IF('Cable Info'!N312="","",CONCATENATE('Cable Info'!N312," - ",'Cable Info'!O312))</f>
        <v>311 - AW</v>
      </c>
      <c r="AR608" s="121" t="str">
        <f t="shared" si="138"/>
        <v>311 - AW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str">
        <f>IF('Cable Info'!L313="","",CONCATENATE('Cable Info'!L313," - ",'Cable Info'!M313))</f>
        <v>312 - AW</v>
      </c>
      <c r="AM609" s="121" t="str">
        <f t="shared" si="137"/>
        <v>312 - AW</v>
      </c>
      <c r="AO609" s="121" t="str">
        <f>IF('Cable Info'!N313="","",CONCATENATE('Cable Info'!N313," - ",'Cable Info'!O313))</f>
        <v>312 - AW</v>
      </c>
      <c r="AR609" s="121" t="str">
        <f t="shared" si="138"/>
        <v>312 - AW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str">
        <f>IF('Cable Info'!L314="","",CONCATENATE('Cable Info'!L314," - ",'Cable Info'!M314))</f>
        <v>313 - AW</v>
      </c>
      <c r="AM610" s="121" t="str">
        <f t="shared" si="137"/>
        <v>313 - AW</v>
      </c>
      <c r="AO610" s="121" t="str">
        <f>IF('Cable Info'!N314="","",CONCATENATE('Cable Info'!N314," - ",'Cable Info'!O314))</f>
        <v>313 - AW</v>
      </c>
      <c r="AR610" s="121" t="str">
        <f t="shared" si="138"/>
        <v>313 - AW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str">
        <f>IF('Cable Info'!L315="","",CONCATENATE('Cable Info'!L315," - ",'Cable Info'!M315))</f>
        <v>314 - AW</v>
      </c>
      <c r="AM611" s="121" t="str">
        <f t="shared" si="137"/>
        <v>314 - AW</v>
      </c>
      <c r="AO611" s="121" t="str">
        <f>IF('Cable Info'!N315="","",CONCATENATE('Cable Info'!N315," - ",'Cable Info'!O315))</f>
        <v>314 - AW</v>
      </c>
      <c r="AR611" s="121" t="str">
        <f t="shared" si="138"/>
        <v>314 - AW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str">
        <f>IF('Cable Info'!L316="","",CONCATENATE('Cable Info'!L316," - ",'Cable Info'!M316))</f>
        <v>315 - AW</v>
      </c>
      <c r="AM612" s="121" t="str">
        <f t="shared" si="137"/>
        <v>315 - AW</v>
      </c>
      <c r="AO612" s="121" t="str">
        <f>IF('Cable Info'!N316="","",CONCATENATE('Cable Info'!N316," - ",'Cable Info'!O316))</f>
        <v>315 - AW</v>
      </c>
      <c r="AR612" s="121" t="str">
        <f t="shared" si="138"/>
        <v>315 - AW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str">
        <f>IF('Cable Info'!L317="","",CONCATENATE('Cable Info'!L317," - ",'Cable Info'!M317))</f>
        <v>316 - AW</v>
      </c>
      <c r="AM613" s="121" t="str">
        <f t="shared" si="137"/>
        <v>316 - AW</v>
      </c>
      <c r="AO613" s="121" t="str">
        <f>IF('Cable Info'!N317="","",CONCATENATE('Cable Info'!N317," - ",'Cable Info'!O317))</f>
        <v>316 - AW</v>
      </c>
      <c r="AR613" s="121" t="str">
        <f t="shared" si="138"/>
        <v>316 - AW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str">
        <f>IF('Cable Info'!L318="","",CONCATENATE('Cable Info'!L318," - ",'Cable Info'!M318))</f>
        <v>317 - AW</v>
      </c>
      <c r="AM614" s="121" t="str">
        <f t="shared" si="137"/>
        <v>317 - AW</v>
      </c>
      <c r="AO614" s="121" t="str">
        <f>IF('Cable Info'!N318="","",CONCATENATE('Cable Info'!N318," - ",'Cable Info'!O318))</f>
        <v>317 - AW</v>
      </c>
      <c r="AR614" s="121" t="str">
        <f t="shared" si="138"/>
        <v>317 - AW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str">
        <f>IF('Cable Info'!L319="","",CONCATENATE('Cable Info'!L319," - ",'Cable Info'!M319))</f>
        <v>318 - AW</v>
      </c>
      <c r="AM615" s="121" t="str">
        <f t="shared" si="137"/>
        <v>318 - AW</v>
      </c>
      <c r="AO615" s="121" t="str">
        <f>IF('Cable Info'!N319="","",CONCATENATE('Cable Info'!N319," - ",'Cable Info'!O319))</f>
        <v>318 - AW</v>
      </c>
      <c r="AR615" s="121" t="str">
        <f t="shared" si="138"/>
        <v>318 - AW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str">
        <f>IF('Cable Info'!L320="","",CONCATENATE('Cable Info'!L320," - ",'Cable Info'!M320))</f>
        <v>319 - AW</v>
      </c>
      <c r="AM616" s="121" t="str">
        <f t="shared" si="137"/>
        <v>319 - AW</v>
      </c>
      <c r="AO616" s="121" t="str">
        <f>IF('Cable Info'!N320="","",CONCATENATE('Cable Info'!N320," - ",'Cable Info'!O320))</f>
        <v>319 - AW</v>
      </c>
      <c r="AR616" s="121" t="str">
        <f t="shared" si="138"/>
        <v>319 - AW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str">
        <f>IF('Cable Info'!L321="","",CONCATENATE('Cable Info'!L321," - ",'Cable Info'!M321))</f>
        <v>320 - AW</v>
      </c>
      <c r="AM617" s="121" t="str">
        <f t="shared" si="137"/>
        <v>320 - AW</v>
      </c>
      <c r="AO617" s="121" t="str">
        <f>IF('Cable Info'!N321="","",CONCATENATE('Cable Info'!N321," - ",'Cable Info'!O321))</f>
        <v>320 - AW</v>
      </c>
      <c r="AR617" s="121" t="str">
        <f t="shared" si="138"/>
        <v>320 - AW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str">
        <f>IF('Cable Info'!L322="","",CONCATENATE('Cable Info'!L322," - ",'Cable Info'!M322))</f>
        <v>321 - AW</v>
      </c>
      <c r="AM618" s="121" t="str">
        <f t="shared" si="137"/>
        <v>321 - AW</v>
      </c>
      <c r="AO618" s="121" t="str">
        <f>IF('Cable Info'!N322="","",CONCATENATE('Cable Info'!N322," - ",'Cable Info'!O322))</f>
        <v>321 - AW</v>
      </c>
      <c r="AR618" s="121" t="str">
        <f t="shared" si="138"/>
        <v>321 - AW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str">
        <f>IF('Cable Info'!L323="","",CONCATENATE('Cable Info'!L323," - ",'Cable Info'!M323))</f>
        <v>322 - AW</v>
      </c>
      <c r="AM619" s="121" t="str">
        <f t="shared" ref="AM619:AM682" si="143">IF(AK619="",AJ619,CONCATENATE(AJ619,"  &lt;=&gt; ",AK619," ",AL619))</f>
        <v>322 - AW</v>
      </c>
      <c r="AO619" s="121" t="str">
        <f>IF('Cable Info'!N323="","",CONCATENATE('Cable Info'!N323," - ",'Cable Info'!O323))</f>
        <v>322 - AW</v>
      </c>
      <c r="AR619" s="121" t="str">
        <f t="shared" ref="AR619:AR682" si="144">IF(AP619="",AO619,CONCATENATE(AO619,"  &lt;=&gt; ",AP619," ",AQ619))</f>
        <v>322 - AW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str">
        <f>IF('Cable Info'!L324="","",CONCATENATE('Cable Info'!L324," - ",'Cable Info'!M324))</f>
        <v>323 - AW</v>
      </c>
      <c r="AM620" s="121" t="str">
        <f t="shared" si="143"/>
        <v>323 - AW</v>
      </c>
      <c r="AO620" s="121" t="str">
        <f>IF('Cable Info'!N324="","",CONCATENATE('Cable Info'!N324," - ",'Cable Info'!O324))</f>
        <v>323 - AW</v>
      </c>
      <c r="AR620" s="121" t="str">
        <f t="shared" si="144"/>
        <v>323 - AW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str">
        <f>IF('Cable Info'!L325="","",CONCATENATE('Cable Info'!L325," - ",'Cable Info'!M325))</f>
        <v>324 - AW</v>
      </c>
      <c r="AM621" s="121" t="str">
        <f t="shared" si="143"/>
        <v>324 - AW</v>
      </c>
      <c r="AO621" s="121" t="str">
        <f>IF('Cable Info'!N325="","",CONCATENATE('Cable Info'!N325," - ",'Cable Info'!O325))</f>
        <v>324 - AW</v>
      </c>
      <c r="AR621" s="121" t="str">
        <f t="shared" si="144"/>
        <v>324 - AW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str">
        <f>IF('Cable Info'!L326="","",CONCATENATE('Cable Info'!L326," - ",'Cable Info'!M326))</f>
        <v>325 - AW</v>
      </c>
      <c r="AM622" s="121" t="str">
        <f t="shared" si="143"/>
        <v>325 - AW</v>
      </c>
      <c r="AO622" s="121" t="str">
        <f>IF('Cable Info'!N326="","",CONCATENATE('Cable Info'!N326," - ",'Cable Info'!O326))</f>
        <v>325 - AW</v>
      </c>
      <c r="AR622" s="121" t="str">
        <f t="shared" si="144"/>
        <v>325 - AW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str">
        <f>IF('Cable Info'!L327="","",CONCATENATE('Cable Info'!L327," - ",'Cable Info'!M327))</f>
        <v>326 - AW</v>
      </c>
      <c r="AM623" s="121" t="str">
        <f t="shared" si="143"/>
        <v>326 - AW</v>
      </c>
      <c r="AO623" s="121" t="str">
        <f>IF('Cable Info'!N327="","",CONCATENATE('Cable Info'!N327," - ",'Cable Info'!O327))</f>
        <v>326 - AW</v>
      </c>
      <c r="AR623" s="121" t="str">
        <f t="shared" si="144"/>
        <v>326 - AW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str">
        <f>IF('Cable Info'!L328="","",CONCATENATE('Cable Info'!L328," - ",'Cable Info'!M328))</f>
        <v>327 - AW</v>
      </c>
      <c r="AM624" s="121" t="str">
        <f t="shared" si="143"/>
        <v>327 - AW</v>
      </c>
      <c r="AO624" s="121" t="str">
        <f>IF('Cable Info'!N328="","",CONCATENATE('Cable Info'!N328," - ",'Cable Info'!O328))</f>
        <v>327 - AW</v>
      </c>
      <c r="AR624" s="121" t="str">
        <f t="shared" si="144"/>
        <v>327 - AW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str">
        <f>IF('Cable Info'!L329="","",CONCATENATE('Cable Info'!L329," - ",'Cable Info'!M329))</f>
        <v>328 - AW</v>
      </c>
      <c r="AM625" s="121" t="str">
        <f t="shared" si="143"/>
        <v>328 - AW</v>
      </c>
      <c r="AO625" s="121" t="str">
        <f>IF('Cable Info'!N329="","",CONCATENATE('Cable Info'!N329," - ",'Cable Info'!O329))</f>
        <v>328 - AW</v>
      </c>
      <c r="AR625" s="121" t="str">
        <f t="shared" si="144"/>
        <v>328 - AW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str">
        <f>IF('Cable Info'!L330="","",CONCATENATE('Cable Info'!L330," - ",'Cable Info'!M330))</f>
        <v>329 - AW</v>
      </c>
      <c r="AM626" s="121" t="str">
        <f t="shared" si="143"/>
        <v>329 - AW</v>
      </c>
      <c r="AO626" s="121" t="str">
        <f>IF('Cable Info'!N330="","",CONCATENATE('Cable Info'!N330," - ",'Cable Info'!O330))</f>
        <v>329 - AW</v>
      </c>
      <c r="AR626" s="121" t="str">
        <f t="shared" si="144"/>
        <v>329 - AW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str">
        <f>IF('Cable Info'!L331="","",CONCATENATE('Cable Info'!L331," - ",'Cable Info'!M331))</f>
        <v>330 - AW</v>
      </c>
      <c r="AM627" s="121" t="str">
        <f t="shared" si="143"/>
        <v>330 - AW</v>
      </c>
      <c r="AO627" s="121" t="str">
        <f>IF('Cable Info'!N331="","",CONCATENATE('Cable Info'!N331," - ",'Cable Info'!O331))</f>
        <v>330 - AW</v>
      </c>
      <c r="AR627" s="121" t="str">
        <f t="shared" si="144"/>
        <v>330 - AW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str">
        <f>IF('Cable Info'!L332="","",CONCATENATE('Cable Info'!L332," - ",'Cable Info'!M332))</f>
        <v>331 - AW</v>
      </c>
      <c r="AM628" s="121" t="str">
        <f t="shared" si="143"/>
        <v>331 - AW</v>
      </c>
      <c r="AO628" s="121" t="str">
        <f>IF('Cable Info'!N332="","",CONCATENATE('Cable Info'!N332," - ",'Cable Info'!O332))</f>
        <v>331 - AW</v>
      </c>
      <c r="AR628" s="121" t="str">
        <f t="shared" si="144"/>
        <v>331 - AW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str">
        <f>IF('Cable Info'!L333="","",CONCATENATE('Cable Info'!L333," - ",'Cable Info'!M333))</f>
        <v>332 - AW</v>
      </c>
      <c r="AM629" s="121" t="str">
        <f t="shared" si="143"/>
        <v>332 - AW</v>
      </c>
      <c r="AO629" s="121" t="str">
        <f>IF('Cable Info'!N333="","",CONCATENATE('Cable Info'!N333," - ",'Cable Info'!O333))</f>
        <v>332 - AW</v>
      </c>
      <c r="AR629" s="121" t="str">
        <f t="shared" si="144"/>
        <v>332 - AW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str">
        <f>IF('Cable Info'!L334="","",CONCATENATE('Cable Info'!L334," - ",'Cable Info'!M334))</f>
        <v>333 - AW</v>
      </c>
      <c r="AM630" s="121" t="str">
        <f t="shared" si="143"/>
        <v>333 - AW</v>
      </c>
      <c r="AO630" s="121" t="str">
        <f>IF('Cable Info'!N334="","",CONCATENATE('Cable Info'!N334," - ",'Cable Info'!O334))</f>
        <v>333 - AW</v>
      </c>
      <c r="AR630" s="121" t="str">
        <f t="shared" si="144"/>
        <v>333 - AW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str">
        <f>IF('Cable Info'!L335="","",CONCATENATE('Cable Info'!L335," - ",'Cable Info'!M335))</f>
        <v>334 - AW</v>
      </c>
      <c r="AM631" s="121" t="str">
        <f t="shared" si="143"/>
        <v>334 - AW</v>
      </c>
      <c r="AO631" s="121" t="str">
        <f>IF('Cable Info'!N335="","",CONCATENATE('Cable Info'!N335," - ",'Cable Info'!O335))</f>
        <v>334 - AW</v>
      </c>
      <c r="AR631" s="121" t="str">
        <f t="shared" si="144"/>
        <v>334 - AW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str">
        <f>IF('Cable Info'!L336="","",CONCATENATE('Cable Info'!L336," - ",'Cable Info'!M336))</f>
        <v>335 - AW</v>
      </c>
      <c r="AM632" s="121" t="str">
        <f t="shared" si="143"/>
        <v>335 - AW</v>
      </c>
      <c r="AO632" s="121" t="str">
        <f>IF('Cable Info'!N336="","",CONCATENATE('Cable Info'!N336," - ",'Cable Info'!O336))</f>
        <v>335 - AW</v>
      </c>
      <c r="AR632" s="121" t="str">
        <f t="shared" si="144"/>
        <v>335 - AW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str">
        <f>IF('Cable Info'!L337="","",CONCATENATE('Cable Info'!L337," - ",'Cable Info'!M337))</f>
        <v>336 - AW</v>
      </c>
      <c r="AM633" s="121" t="str">
        <f t="shared" si="143"/>
        <v>336 - AW</v>
      </c>
      <c r="AO633" s="121" t="str">
        <f>IF('Cable Info'!N337="","",CONCATENATE('Cable Info'!N337," - ",'Cable Info'!O337))</f>
        <v>336 - AW</v>
      </c>
      <c r="AR633" s="121" t="str">
        <f t="shared" si="144"/>
        <v>336 - AW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str">
        <f>IF('Cable Info'!L338="","",CONCATENATE('Cable Info'!L338," - ",'Cable Info'!M338))</f>
        <v>337 - AW</v>
      </c>
      <c r="AM634" s="121" t="str">
        <f t="shared" si="143"/>
        <v>337 - AW</v>
      </c>
      <c r="AO634" s="121" t="str">
        <f>IF('Cable Info'!N338="","",CONCATENATE('Cable Info'!N338," - ",'Cable Info'!O338))</f>
        <v>337 - AW</v>
      </c>
      <c r="AR634" s="121" t="str">
        <f t="shared" si="144"/>
        <v>337 - AW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str">
        <f>IF('Cable Info'!L339="","",CONCATENATE('Cable Info'!L339," - ",'Cable Info'!M339))</f>
        <v>338 - AW</v>
      </c>
      <c r="AM635" s="121" t="str">
        <f t="shared" si="143"/>
        <v>338 - AW</v>
      </c>
      <c r="AO635" s="121" t="str">
        <f>IF('Cable Info'!N339="","",CONCATENATE('Cable Info'!N339," - ",'Cable Info'!O339))</f>
        <v>338 - AW</v>
      </c>
      <c r="AR635" s="121" t="str">
        <f t="shared" si="144"/>
        <v>338 - AW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str">
        <f>IF('Cable Info'!L340="","",CONCATENATE('Cable Info'!L340," - ",'Cable Info'!M340))</f>
        <v>339 - AW</v>
      </c>
      <c r="AM636" s="121" t="str">
        <f t="shared" si="143"/>
        <v>339 - AW</v>
      </c>
      <c r="AO636" s="121" t="str">
        <f>IF('Cable Info'!N340="","",CONCATENATE('Cable Info'!N340," - ",'Cable Info'!O340))</f>
        <v>339 - AW</v>
      </c>
      <c r="AR636" s="121" t="str">
        <f t="shared" si="144"/>
        <v>339 - AW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str">
        <f>IF('Cable Info'!L341="","",CONCATENATE('Cable Info'!L341," - ",'Cable Info'!M341))</f>
        <v>340 - AW</v>
      </c>
      <c r="AM637" s="121" t="str">
        <f t="shared" si="143"/>
        <v>340 - AW</v>
      </c>
      <c r="AO637" s="121" t="str">
        <f>IF('Cable Info'!N341="","",CONCATENATE('Cable Info'!N341," - ",'Cable Info'!O341))</f>
        <v>340 - AW</v>
      </c>
      <c r="AR637" s="121" t="str">
        <f t="shared" si="144"/>
        <v>340 - AW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str">
        <f>IF('Cable Info'!L342="","",CONCATENATE('Cable Info'!L342," - ",'Cable Info'!M342))</f>
        <v>341 - AW</v>
      </c>
      <c r="AM638" s="121" t="str">
        <f t="shared" si="143"/>
        <v>341 - AW</v>
      </c>
      <c r="AO638" s="121" t="str">
        <f>IF('Cable Info'!N342="","",CONCATENATE('Cable Info'!N342," - ",'Cable Info'!O342))</f>
        <v>341 - AW</v>
      </c>
      <c r="AR638" s="121" t="str">
        <f t="shared" si="144"/>
        <v>341 - AW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str">
        <f>IF('Cable Info'!L343="","",CONCATENATE('Cable Info'!L343," - ",'Cable Info'!M343))</f>
        <v>342 - AW</v>
      </c>
      <c r="AM639" s="121" t="str">
        <f t="shared" si="143"/>
        <v>342 - AW</v>
      </c>
      <c r="AO639" s="121" t="str">
        <f>IF('Cable Info'!N343="","",CONCATENATE('Cable Info'!N343," - ",'Cable Info'!O343))</f>
        <v>342 - AW</v>
      </c>
      <c r="AR639" s="121" t="str">
        <f t="shared" si="144"/>
        <v>342 - AW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str">
        <f>IF('Cable Info'!L344="","",CONCATENATE('Cable Info'!L344," - ",'Cable Info'!M344))</f>
        <v>343 - AW</v>
      </c>
      <c r="AM640" s="121" t="str">
        <f t="shared" si="143"/>
        <v>343 - AW</v>
      </c>
      <c r="AO640" s="121" t="str">
        <f>IF('Cable Info'!N344="","",CONCATENATE('Cable Info'!N344," - ",'Cable Info'!O344))</f>
        <v>343 - AW</v>
      </c>
      <c r="AR640" s="121" t="str">
        <f t="shared" si="144"/>
        <v>343 - AW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str">
        <f>IF('Cable Info'!L345="","",CONCATENATE('Cable Info'!L345," - ",'Cable Info'!M345))</f>
        <v>344 - AW</v>
      </c>
      <c r="AM641" s="121" t="str">
        <f t="shared" si="143"/>
        <v>344 - AW</v>
      </c>
      <c r="AO641" s="121" t="str">
        <f>IF('Cable Info'!N345="","",CONCATENATE('Cable Info'!N345," - ",'Cable Info'!O345))</f>
        <v>344 - AW</v>
      </c>
      <c r="AR641" s="121" t="str">
        <f t="shared" si="144"/>
        <v>344 - AW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str">
        <f>IF('Cable Info'!L346="","",CONCATENATE('Cable Info'!L346," - ",'Cable Info'!M346))</f>
        <v>345 - AW</v>
      </c>
      <c r="AM642" s="121" t="str">
        <f t="shared" si="143"/>
        <v>345 - AW</v>
      </c>
      <c r="AO642" s="121" t="str">
        <f>IF('Cable Info'!N346="","",CONCATENATE('Cable Info'!N346," - ",'Cable Info'!O346))</f>
        <v>345 - AW</v>
      </c>
      <c r="AR642" s="121" t="str">
        <f t="shared" si="144"/>
        <v>345 - AW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str">
        <f>IF('Cable Info'!L347="","",CONCATENATE('Cable Info'!L347," - ",'Cable Info'!M347))</f>
        <v>346 - AW</v>
      </c>
      <c r="AM643" s="121" t="str">
        <f t="shared" si="143"/>
        <v>346 - AW</v>
      </c>
      <c r="AO643" s="121" t="str">
        <f>IF('Cable Info'!N347="","",CONCATENATE('Cable Info'!N347," - ",'Cable Info'!O347))</f>
        <v>346 - AW</v>
      </c>
      <c r="AR643" s="121" t="str">
        <f t="shared" si="144"/>
        <v>346 - AW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str">
        <f>IF('Cable Info'!L348="","",CONCATENATE('Cable Info'!L348," - ",'Cable Info'!M348))</f>
        <v>347 - AW</v>
      </c>
      <c r="AM644" s="121" t="str">
        <f t="shared" si="143"/>
        <v>347 - AW</v>
      </c>
      <c r="AO644" s="121" t="str">
        <f>IF('Cable Info'!N348="","",CONCATENATE('Cable Info'!N348," - ",'Cable Info'!O348))</f>
        <v>347 - AW</v>
      </c>
      <c r="AR644" s="121" t="str">
        <f t="shared" si="144"/>
        <v>347 - AW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str">
        <f>IF('Cable Info'!L349="","",CONCATENATE('Cable Info'!L349," - ",'Cable Info'!M349))</f>
        <v>348 - AW</v>
      </c>
      <c r="AM645" s="121" t="str">
        <f t="shared" si="143"/>
        <v>348 - AW</v>
      </c>
      <c r="AO645" s="121" t="str">
        <f>IF('Cable Info'!N349="","",CONCATENATE('Cable Info'!N349," - ",'Cable Info'!O349))</f>
        <v>348 - AW</v>
      </c>
      <c r="AR645" s="121" t="str">
        <f t="shared" si="144"/>
        <v>348 - AW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str">
        <f>IF('Cable Info'!L350="","",CONCATENATE('Cable Info'!L350," - ",'Cable Info'!M350))</f>
        <v>349 - AW</v>
      </c>
      <c r="AM646" s="121" t="str">
        <f t="shared" si="143"/>
        <v>349 - AW</v>
      </c>
      <c r="AO646" s="121" t="str">
        <f>IF('Cable Info'!N350="","",CONCATENATE('Cable Info'!N350," - ",'Cable Info'!O350))</f>
        <v>349 - AW</v>
      </c>
      <c r="AR646" s="121" t="str">
        <f t="shared" si="144"/>
        <v>349 - AW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str">
        <f>IF('Cable Info'!L351="","",CONCATENATE('Cable Info'!L351," - ",'Cable Info'!M351))</f>
        <v>350 - AW</v>
      </c>
      <c r="AM647" s="121" t="str">
        <f t="shared" si="143"/>
        <v>350 - AW</v>
      </c>
      <c r="AO647" s="121" t="str">
        <f>IF('Cable Info'!N351="","",CONCATENATE('Cable Info'!N351," - ",'Cable Info'!O351))</f>
        <v>350 - AW</v>
      </c>
      <c r="AR647" s="121" t="str">
        <f t="shared" si="144"/>
        <v>350 - AW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str">
        <f>IF('Cable Info'!L352="","",CONCATENATE('Cable Info'!L352," - ",'Cable Info'!M352))</f>
        <v>351 - AW</v>
      </c>
      <c r="AM648" s="121" t="str">
        <f t="shared" si="143"/>
        <v>351 - AW</v>
      </c>
      <c r="AO648" s="121" t="str">
        <f>IF('Cable Info'!N352="","",CONCATENATE('Cable Info'!N352," - ",'Cable Info'!O352))</f>
        <v>351 - AW</v>
      </c>
      <c r="AR648" s="121" t="str">
        <f t="shared" si="144"/>
        <v>351 - AW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str">
        <f>IF('Cable Info'!L353="","",CONCATENATE('Cable Info'!L353," - ",'Cable Info'!M353))</f>
        <v>352 - AW</v>
      </c>
      <c r="AM649" s="121" t="str">
        <f t="shared" si="143"/>
        <v>352 - AW</v>
      </c>
      <c r="AO649" s="121" t="str">
        <f>IF('Cable Info'!N353="","",CONCATENATE('Cable Info'!N353," - ",'Cable Info'!O353))</f>
        <v>352 - AW</v>
      </c>
      <c r="AR649" s="121" t="str">
        <f t="shared" si="144"/>
        <v>352 - AW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str">
        <f>IF('Cable Info'!L354="","",CONCATENATE('Cable Info'!L354," - ",'Cable Info'!M354))</f>
        <v>353 - AW</v>
      </c>
      <c r="AM650" s="121" t="str">
        <f t="shared" si="143"/>
        <v>353 - AW</v>
      </c>
      <c r="AO650" s="121" t="str">
        <f>IF('Cable Info'!N354="","",CONCATENATE('Cable Info'!N354," - ",'Cable Info'!O354))</f>
        <v>353 - AW</v>
      </c>
      <c r="AR650" s="121" t="str">
        <f t="shared" si="144"/>
        <v>353 - AW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str">
        <f>IF('Cable Info'!L355="","",CONCATENATE('Cable Info'!L355," - ",'Cable Info'!M355))</f>
        <v>354 - AW</v>
      </c>
      <c r="AM651" s="121" t="str">
        <f t="shared" si="143"/>
        <v>354 - AW</v>
      </c>
      <c r="AO651" s="121" t="str">
        <f>IF('Cable Info'!N355="","",CONCATENATE('Cable Info'!N355," - ",'Cable Info'!O355))</f>
        <v>354 - AW</v>
      </c>
      <c r="AR651" s="121" t="str">
        <f t="shared" si="144"/>
        <v>354 - AW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str">
        <f>IF('Cable Info'!L356="","",CONCATENATE('Cable Info'!L356," - ",'Cable Info'!M356))</f>
        <v>355 - AW</v>
      </c>
      <c r="AM652" s="121" t="str">
        <f t="shared" si="143"/>
        <v>355 - AW</v>
      </c>
      <c r="AO652" s="121" t="str">
        <f>IF('Cable Info'!N356="","",CONCATENATE('Cable Info'!N356," - ",'Cable Info'!O356))</f>
        <v>355 - AW</v>
      </c>
      <c r="AR652" s="121" t="str">
        <f t="shared" si="144"/>
        <v>355 - AW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str">
        <f>IF('Cable Info'!L357="","",CONCATENATE('Cable Info'!L357," - ",'Cable Info'!M357))</f>
        <v>356 - AW</v>
      </c>
      <c r="AM653" s="121" t="str">
        <f t="shared" si="143"/>
        <v>356 - AW</v>
      </c>
      <c r="AO653" s="121" t="str">
        <f>IF('Cable Info'!N357="","",CONCATENATE('Cable Info'!N357," - ",'Cable Info'!O357))</f>
        <v>356 - AW</v>
      </c>
      <c r="AR653" s="121" t="str">
        <f t="shared" si="144"/>
        <v>356 - AW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str">
        <f>IF('Cable Info'!L358="","",CONCATENATE('Cable Info'!L358," - ",'Cable Info'!M358))</f>
        <v>357 - AW</v>
      </c>
      <c r="AM654" s="121" t="str">
        <f t="shared" si="143"/>
        <v>357 - AW</v>
      </c>
      <c r="AO654" s="121" t="str">
        <f>IF('Cable Info'!N358="","",CONCATENATE('Cable Info'!N358," - ",'Cable Info'!O358))</f>
        <v>357 - AW</v>
      </c>
      <c r="AR654" s="121" t="str">
        <f t="shared" si="144"/>
        <v>357 - AW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str">
        <f>IF('Cable Info'!L359="","",CONCATENATE('Cable Info'!L359," - ",'Cable Info'!M359))</f>
        <v>358 - AW</v>
      </c>
      <c r="AM655" s="121" t="str">
        <f t="shared" si="143"/>
        <v>358 - AW</v>
      </c>
      <c r="AO655" s="121" t="str">
        <f>IF('Cable Info'!N359="","",CONCATENATE('Cable Info'!N359," - ",'Cable Info'!O359))</f>
        <v>358 - AW</v>
      </c>
      <c r="AR655" s="121" t="str">
        <f t="shared" si="144"/>
        <v>358 - AW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str">
        <f>IF('Cable Info'!L360="","",CONCATENATE('Cable Info'!L360," - ",'Cable Info'!M360))</f>
        <v>359 - AW</v>
      </c>
      <c r="AM656" s="121" t="str">
        <f t="shared" si="143"/>
        <v>359 - AW</v>
      </c>
      <c r="AO656" s="121" t="str">
        <f>IF('Cable Info'!N360="","",CONCATENATE('Cable Info'!N360," - ",'Cable Info'!O360))</f>
        <v>359 - AW</v>
      </c>
      <c r="AR656" s="121" t="str">
        <f t="shared" si="144"/>
        <v>359 - AW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str">
        <f>IF('Cable Info'!L361="","",CONCATENATE('Cable Info'!L361," - ",'Cable Info'!M361))</f>
        <v>360 - AW</v>
      </c>
      <c r="AM657" s="121" t="str">
        <f t="shared" si="143"/>
        <v>360 - AW</v>
      </c>
      <c r="AO657" s="121" t="str">
        <f>IF('Cable Info'!N361="","",CONCATENATE('Cable Info'!N361," - ",'Cable Info'!O361))</f>
        <v>360 - AW</v>
      </c>
      <c r="AR657" s="121" t="str">
        <f t="shared" si="144"/>
        <v>360 - AW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str">
        <f>IF('Cable Info'!L362="","",CONCATENATE('Cable Info'!L362," - ",'Cable Info'!M362))</f>
        <v>361 - AW</v>
      </c>
      <c r="AM658" s="121" t="str">
        <f t="shared" si="143"/>
        <v>361 - AW</v>
      </c>
      <c r="AO658" s="121" t="str">
        <f>IF('Cable Info'!N362="","",CONCATENATE('Cable Info'!N362," - ",'Cable Info'!O362))</f>
        <v>361 - AW</v>
      </c>
      <c r="AR658" s="121" t="str">
        <f t="shared" si="144"/>
        <v>361 - AW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str">
        <f>IF('Cable Info'!L363="","",CONCATENATE('Cable Info'!L363," - ",'Cable Info'!M363))</f>
        <v>362 - AW</v>
      </c>
      <c r="AM659" s="121" t="str">
        <f t="shared" si="143"/>
        <v>362 - AW</v>
      </c>
      <c r="AO659" s="121" t="str">
        <f>IF('Cable Info'!N363="","",CONCATENATE('Cable Info'!N363," - ",'Cable Info'!O363))</f>
        <v>362 - AW</v>
      </c>
      <c r="AR659" s="121" t="str">
        <f t="shared" si="144"/>
        <v>362 - AW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str">
        <f>IF('Cable Info'!L364="","",CONCATENATE('Cable Info'!L364," - ",'Cable Info'!M364))</f>
        <v>363 - AW</v>
      </c>
      <c r="AM660" s="121" t="str">
        <f t="shared" si="143"/>
        <v>363 - AW</v>
      </c>
      <c r="AO660" s="121" t="str">
        <f>IF('Cable Info'!N364="","",CONCATENATE('Cable Info'!N364," - ",'Cable Info'!O364))</f>
        <v>363 - AW</v>
      </c>
      <c r="AR660" s="121" t="str">
        <f t="shared" si="144"/>
        <v>363 - AW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str">
        <f>IF('Cable Info'!L365="","",CONCATENATE('Cable Info'!L365," - ",'Cable Info'!M365))</f>
        <v>364 - AW</v>
      </c>
      <c r="AM661" s="121" t="str">
        <f t="shared" si="143"/>
        <v>364 - AW</v>
      </c>
      <c r="AO661" s="121" t="str">
        <f>IF('Cable Info'!N365="","",CONCATENATE('Cable Info'!N365," - ",'Cable Info'!O365))</f>
        <v>364 - AW</v>
      </c>
      <c r="AR661" s="121" t="str">
        <f t="shared" si="144"/>
        <v>364 - AW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str">
        <f>IF('Cable Info'!L366="","",CONCATENATE('Cable Info'!L366," - ",'Cable Info'!M366))</f>
        <v>365 - AW</v>
      </c>
      <c r="AM662" s="121" t="str">
        <f t="shared" si="143"/>
        <v>365 - AW</v>
      </c>
      <c r="AO662" s="121" t="str">
        <f>IF('Cable Info'!N366="","",CONCATENATE('Cable Info'!N366," - ",'Cable Info'!O366))</f>
        <v>365 - AW</v>
      </c>
      <c r="AR662" s="121" t="str">
        <f t="shared" si="144"/>
        <v>365 - AW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str">
        <f>IF('Cable Info'!L367="","",CONCATENATE('Cable Info'!L367," - ",'Cable Info'!M367))</f>
        <v>366 - AW</v>
      </c>
      <c r="AM663" s="121" t="str">
        <f t="shared" si="143"/>
        <v>366 - AW</v>
      </c>
      <c r="AO663" s="121" t="str">
        <f>IF('Cable Info'!N367="","",CONCATENATE('Cable Info'!N367," - ",'Cable Info'!O367))</f>
        <v>366 - AW</v>
      </c>
      <c r="AR663" s="121" t="str">
        <f t="shared" si="144"/>
        <v>366 - AW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str">
        <f>IF('Cable Info'!L368="","",CONCATENATE('Cable Info'!L368," - ",'Cable Info'!M368))</f>
        <v>367 - AW</v>
      </c>
      <c r="AM664" s="121" t="str">
        <f t="shared" si="143"/>
        <v>367 - AW</v>
      </c>
      <c r="AO664" s="121" t="str">
        <f>IF('Cable Info'!N368="","",CONCATENATE('Cable Info'!N368," - ",'Cable Info'!O368))</f>
        <v>367 - AW</v>
      </c>
      <c r="AR664" s="121" t="str">
        <f t="shared" si="144"/>
        <v>367 - AW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str">
        <f>IF('Cable Info'!L369="","",CONCATENATE('Cable Info'!L369," - ",'Cable Info'!M369))</f>
        <v>368 - AW</v>
      </c>
      <c r="AM665" s="121" t="str">
        <f t="shared" si="143"/>
        <v>368 - AW</v>
      </c>
      <c r="AO665" s="121" t="str">
        <f>IF('Cable Info'!N369="","",CONCATENATE('Cable Info'!N369," - ",'Cable Info'!O369))</f>
        <v>368 - AW</v>
      </c>
      <c r="AR665" s="121" t="str">
        <f t="shared" si="144"/>
        <v>368 - AW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str">
        <f>IF('Cable Info'!L370="","",CONCATENATE('Cable Info'!L370," - ",'Cable Info'!M370))</f>
        <v>369 - AW</v>
      </c>
      <c r="AM666" s="121" t="str">
        <f t="shared" si="143"/>
        <v>369 - AW</v>
      </c>
      <c r="AO666" s="121" t="str">
        <f>IF('Cable Info'!N370="","",CONCATENATE('Cable Info'!N370," - ",'Cable Info'!O370))</f>
        <v>369 - AW</v>
      </c>
      <c r="AR666" s="121" t="str">
        <f t="shared" si="144"/>
        <v>369 - AW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str">
        <f>IF('Cable Info'!L371="","",CONCATENATE('Cable Info'!L371," - ",'Cable Info'!M371))</f>
        <v>370 - AW</v>
      </c>
      <c r="AM667" s="121" t="str">
        <f t="shared" si="143"/>
        <v>370 - AW</v>
      </c>
      <c r="AO667" s="121" t="str">
        <f>IF('Cable Info'!N371="","",CONCATENATE('Cable Info'!N371," - ",'Cable Info'!O371))</f>
        <v>370 - AW</v>
      </c>
      <c r="AR667" s="121" t="str">
        <f t="shared" si="144"/>
        <v>370 - AW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str">
        <f>IF('Cable Info'!L372="","",CONCATENATE('Cable Info'!L372," - ",'Cable Info'!M372))</f>
        <v>371 - AW</v>
      </c>
      <c r="AM668" s="121" t="str">
        <f t="shared" si="143"/>
        <v>371 - AW</v>
      </c>
      <c r="AO668" s="121" t="str">
        <f>IF('Cable Info'!N372="","",CONCATENATE('Cable Info'!N372," - ",'Cable Info'!O372))</f>
        <v>371 - AW</v>
      </c>
      <c r="AR668" s="121" t="str">
        <f t="shared" si="144"/>
        <v>371 - AW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str">
        <f>IF('Cable Info'!L373="","",CONCATENATE('Cable Info'!L373," - ",'Cable Info'!M373))</f>
        <v>372 - AW</v>
      </c>
      <c r="AM669" s="121" t="str">
        <f t="shared" si="143"/>
        <v>372 - AW</v>
      </c>
      <c r="AO669" s="121" t="str">
        <f>IF('Cable Info'!N373="","",CONCATENATE('Cable Info'!N373," - ",'Cable Info'!O373))</f>
        <v>372 - AW</v>
      </c>
      <c r="AR669" s="121" t="str">
        <f t="shared" si="144"/>
        <v>372 - AW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str">
        <f>IF('Cable Info'!L374="","",CONCATENATE('Cable Info'!L374," - ",'Cable Info'!M374))</f>
        <v>373 - AW</v>
      </c>
      <c r="AM670" s="121" t="str">
        <f t="shared" si="143"/>
        <v>373 - AW</v>
      </c>
      <c r="AO670" s="121" t="str">
        <f>IF('Cable Info'!N374="","",CONCATENATE('Cable Info'!N374," - ",'Cable Info'!O374))</f>
        <v>373 - AW</v>
      </c>
      <c r="AR670" s="121" t="str">
        <f t="shared" si="144"/>
        <v>373 - AW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str">
        <f>IF('Cable Info'!L375="","",CONCATENATE('Cable Info'!L375," - ",'Cable Info'!M375))</f>
        <v>374 - AW</v>
      </c>
      <c r="AM671" s="121" t="str">
        <f t="shared" si="143"/>
        <v>374 - AW</v>
      </c>
      <c r="AO671" s="121" t="str">
        <f>IF('Cable Info'!N375="","",CONCATENATE('Cable Info'!N375," - ",'Cable Info'!O375))</f>
        <v>374 - AW</v>
      </c>
      <c r="AR671" s="121" t="str">
        <f t="shared" si="144"/>
        <v>374 - AW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str">
        <f>IF('Cable Info'!L376="","",CONCATENATE('Cable Info'!L376," - ",'Cable Info'!M376))</f>
        <v>375 - AW</v>
      </c>
      <c r="AM672" s="121" t="str">
        <f t="shared" si="143"/>
        <v>375 - AW</v>
      </c>
      <c r="AO672" s="121" t="str">
        <f>IF('Cable Info'!N376="","",CONCATENATE('Cable Info'!N376," - ",'Cable Info'!O376))</f>
        <v>375 - AW</v>
      </c>
      <c r="AR672" s="121" t="str">
        <f t="shared" si="144"/>
        <v>375 - AW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str">
        <f>IF('Cable Info'!L377="","",CONCATENATE('Cable Info'!L377," - ",'Cable Info'!M377))</f>
        <v>376 - AW</v>
      </c>
      <c r="AM673" s="121" t="str">
        <f t="shared" si="143"/>
        <v>376 - AW</v>
      </c>
      <c r="AO673" s="121" t="str">
        <f>IF('Cable Info'!N377="","",CONCATENATE('Cable Info'!N377," - ",'Cable Info'!O377))</f>
        <v>376 - AW</v>
      </c>
      <c r="AR673" s="121" t="str">
        <f t="shared" si="144"/>
        <v>376 - AW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str">
        <f>IF('Cable Info'!L378="","",CONCATENATE('Cable Info'!L378," - ",'Cable Info'!M378))</f>
        <v>377 - AW</v>
      </c>
      <c r="AM674" s="121" t="str">
        <f t="shared" si="143"/>
        <v>377 - AW</v>
      </c>
      <c r="AO674" s="121" t="str">
        <f>IF('Cable Info'!N378="","",CONCATENATE('Cable Info'!N378," - ",'Cable Info'!O378))</f>
        <v>377 - AW</v>
      </c>
      <c r="AR674" s="121" t="str">
        <f t="shared" si="144"/>
        <v>377 - AW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str">
        <f>IF('Cable Info'!L379="","",CONCATENATE('Cable Info'!L379," - ",'Cable Info'!M379))</f>
        <v>378 - AW</v>
      </c>
      <c r="AM675" s="121" t="str">
        <f t="shared" si="143"/>
        <v>378 - AW</v>
      </c>
      <c r="AO675" s="121" t="str">
        <f>IF('Cable Info'!N379="","",CONCATENATE('Cable Info'!N379," - ",'Cable Info'!O379))</f>
        <v>378 - AW</v>
      </c>
      <c r="AR675" s="121" t="str">
        <f t="shared" si="144"/>
        <v>378 - AW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str">
        <f>IF('Cable Info'!L380="","",CONCATENATE('Cable Info'!L380," - ",'Cable Info'!M380))</f>
        <v>379 - AW</v>
      </c>
      <c r="AM676" s="121" t="str">
        <f t="shared" si="143"/>
        <v>379 - AW</v>
      </c>
      <c r="AO676" s="121" t="str">
        <f>IF('Cable Info'!N380="","",CONCATENATE('Cable Info'!N380," - ",'Cable Info'!O380))</f>
        <v>379 - AW</v>
      </c>
      <c r="AR676" s="121" t="str">
        <f t="shared" si="144"/>
        <v>379 - AW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str">
        <f>IF('Cable Info'!L381="","",CONCATENATE('Cable Info'!L381," - ",'Cable Info'!M381))</f>
        <v>380 - AW</v>
      </c>
      <c r="AM677" s="121" t="str">
        <f t="shared" si="143"/>
        <v>380 - AW</v>
      </c>
      <c r="AO677" s="121" t="str">
        <f>IF('Cable Info'!N381="","",CONCATENATE('Cable Info'!N381," - ",'Cable Info'!O381))</f>
        <v>380 - AW</v>
      </c>
      <c r="AR677" s="121" t="str">
        <f t="shared" si="144"/>
        <v>380 - AW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str">
        <f>IF('Cable Info'!L382="","",CONCATENATE('Cable Info'!L382," - ",'Cable Info'!M382))</f>
        <v>381 - AW</v>
      </c>
      <c r="AM678" s="121" t="str">
        <f t="shared" si="143"/>
        <v>381 - AW</v>
      </c>
      <c r="AO678" s="121" t="str">
        <f>IF('Cable Info'!N382="","",CONCATENATE('Cable Info'!N382," - ",'Cable Info'!O382))</f>
        <v>381 - AW</v>
      </c>
      <c r="AR678" s="121" t="str">
        <f t="shared" si="144"/>
        <v>381 - AW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str">
        <f>IF('Cable Info'!L383="","",CONCATENATE('Cable Info'!L383," - ",'Cable Info'!M383))</f>
        <v>382 - AW</v>
      </c>
      <c r="AM679" s="121" t="str">
        <f t="shared" si="143"/>
        <v>382 - AW</v>
      </c>
      <c r="AO679" s="121" t="str">
        <f>IF('Cable Info'!N383="","",CONCATENATE('Cable Info'!N383," - ",'Cable Info'!O383))</f>
        <v>382 - AW</v>
      </c>
      <c r="AR679" s="121" t="str">
        <f t="shared" si="144"/>
        <v>382 - AW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str">
        <f>IF('Cable Info'!L384="","",CONCATENATE('Cable Info'!L384," - ",'Cable Info'!M384))</f>
        <v>383 - AW</v>
      </c>
      <c r="AM680" s="121" t="str">
        <f t="shared" si="143"/>
        <v>383 - AW</v>
      </c>
      <c r="AO680" s="121" t="str">
        <f>IF('Cable Info'!N384="","",CONCATENATE('Cable Info'!N384," - ",'Cable Info'!O384))</f>
        <v>383 - AW</v>
      </c>
      <c r="AR680" s="121" t="str">
        <f t="shared" si="144"/>
        <v>383 - AW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str">
        <f>IF('Cable Info'!L385="","",CONCATENATE('Cable Info'!L385," - ",'Cable Info'!M385))</f>
        <v>384 - AW</v>
      </c>
      <c r="AM681" s="121" t="str">
        <f t="shared" si="143"/>
        <v>384 - AW</v>
      </c>
      <c r="AO681" s="121" t="str">
        <f>IF('Cable Info'!N385="","",CONCATENATE('Cable Info'!N385," - ",'Cable Info'!O385))</f>
        <v>384 - AW</v>
      </c>
      <c r="AR681" s="121" t="str">
        <f t="shared" si="144"/>
        <v>384 - AW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str">
        <f>IF('Cable Info'!L386="","",CONCATENATE('Cable Info'!L386," - ",'Cable Info'!M386))</f>
        <v>385 - AW</v>
      </c>
      <c r="AM682" s="121" t="str">
        <f t="shared" si="143"/>
        <v>385 - AW</v>
      </c>
      <c r="AO682" s="121" t="str">
        <f>IF('Cable Info'!N386="","",CONCATENATE('Cable Info'!N386," - ",'Cable Info'!O386))</f>
        <v>385 - AW</v>
      </c>
      <c r="AR682" s="121" t="str">
        <f t="shared" si="144"/>
        <v>385 - AW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str">
        <f>IF('Cable Info'!L387="","",CONCATENATE('Cable Info'!L387," - ",'Cable Info'!M387))</f>
        <v>386 - AW</v>
      </c>
      <c r="AM683" s="121" t="str">
        <f t="shared" ref="AM683:AM746" si="149">IF(AK683="",AJ683,CONCATENATE(AJ683,"  &lt;=&gt; ",AK683," ",AL683))</f>
        <v>386 - AW</v>
      </c>
      <c r="AO683" s="121" t="str">
        <f>IF('Cable Info'!N387="","",CONCATENATE('Cable Info'!N387," - ",'Cable Info'!O387))</f>
        <v>386 - AW</v>
      </c>
      <c r="AR683" s="121" t="str">
        <f t="shared" ref="AR683:AR746" si="150">IF(AP683="",AO683,CONCATENATE(AO683,"  &lt;=&gt; ",AP683," ",AQ683))</f>
        <v>386 - AW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str">
        <f>IF('Cable Info'!L388="","",CONCATENATE('Cable Info'!L388," - ",'Cable Info'!M388))</f>
        <v>387 - AW</v>
      </c>
      <c r="AM684" s="121" t="str">
        <f t="shared" si="149"/>
        <v>387 - AW</v>
      </c>
      <c r="AO684" s="121" t="str">
        <f>IF('Cable Info'!N388="","",CONCATENATE('Cable Info'!N388," - ",'Cable Info'!O388))</f>
        <v>387 - AW</v>
      </c>
      <c r="AR684" s="121" t="str">
        <f t="shared" si="150"/>
        <v>387 - AW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str">
        <f>IF('Cable Info'!L389="","",CONCATENATE('Cable Info'!L389," - ",'Cable Info'!M389))</f>
        <v>388 - AW</v>
      </c>
      <c r="AM685" s="121" t="str">
        <f t="shared" si="149"/>
        <v>388 - AW</v>
      </c>
      <c r="AO685" s="121" t="str">
        <f>IF('Cable Info'!N389="","",CONCATENATE('Cable Info'!N389," - ",'Cable Info'!O389))</f>
        <v>388 - AW</v>
      </c>
      <c r="AR685" s="121" t="str">
        <f t="shared" si="150"/>
        <v>388 - AW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str">
        <f>IF('Cable Info'!L390="","",CONCATENATE('Cable Info'!L390," - ",'Cable Info'!M390))</f>
        <v>389 - AW</v>
      </c>
      <c r="AM686" s="121" t="str">
        <f t="shared" si="149"/>
        <v>389 - AW</v>
      </c>
      <c r="AO686" s="121" t="str">
        <f>IF('Cable Info'!N390="","",CONCATENATE('Cable Info'!N390," - ",'Cable Info'!O390))</f>
        <v>389 - AW</v>
      </c>
      <c r="AR686" s="121" t="str">
        <f t="shared" si="150"/>
        <v>389 - AW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str">
        <f>IF('Cable Info'!L391="","",CONCATENATE('Cable Info'!L391," - ",'Cable Info'!M391))</f>
        <v>390 - AW</v>
      </c>
      <c r="AM687" s="121" t="str">
        <f t="shared" si="149"/>
        <v>390 - AW</v>
      </c>
      <c r="AO687" s="121" t="str">
        <f>IF('Cable Info'!N391="","",CONCATENATE('Cable Info'!N391," - ",'Cable Info'!O391))</f>
        <v>390 - AW</v>
      </c>
      <c r="AR687" s="121" t="str">
        <f t="shared" si="150"/>
        <v>390 - AW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str">
        <f>IF('Cable Info'!L392="","",CONCATENATE('Cable Info'!L392," - ",'Cable Info'!M392))</f>
        <v>391 - AW</v>
      </c>
      <c r="AM688" s="121" t="str">
        <f t="shared" si="149"/>
        <v>391 - AW</v>
      </c>
      <c r="AO688" s="121" t="str">
        <f>IF('Cable Info'!N392="","",CONCATENATE('Cable Info'!N392," - ",'Cable Info'!O392))</f>
        <v>391 - AW</v>
      </c>
      <c r="AR688" s="121" t="str">
        <f t="shared" si="150"/>
        <v>391 - AW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str">
        <f>IF('Cable Info'!L393="","",CONCATENATE('Cable Info'!L393," - ",'Cable Info'!M393))</f>
        <v>392 - AW</v>
      </c>
      <c r="AM689" s="121" t="str">
        <f t="shared" si="149"/>
        <v>392 - AW</v>
      </c>
      <c r="AO689" s="121" t="str">
        <f>IF('Cable Info'!N393="","",CONCATENATE('Cable Info'!N393," - ",'Cable Info'!O393))</f>
        <v>392 - AW</v>
      </c>
      <c r="AR689" s="121" t="str">
        <f t="shared" si="150"/>
        <v>392 - AW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str">
        <f>IF('Cable Info'!L394="","",CONCATENATE('Cable Info'!L394," - ",'Cable Info'!M394))</f>
        <v>393 - AW</v>
      </c>
      <c r="AM690" s="121" t="str">
        <f t="shared" si="149"/>
        <v>393 - AW</v>
      </c>
      <c r="AO690" s="121" t="str">
        <f>IF('Cable Info'!N394="","",CONCATENATE('Cable Info'!N394," - ",'Cable Info'!O394))</f>
        <v>393 - AW</v>
      </c>
      <c r="AR690" s="121" t="str">
        <f t="shared" si="150"/>
        <v>393 - AW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str">
        <f>IF('Cable Info'!L395="","",CONCATENATE('Cable Info'!L395," - ",'Cable Info'!M395))</f>
        <v>394 - AW</v>
      </c>
      <c r="AM691" s="121" t="str">
        <f t="shared" si="149"/>
        <v>394 - AW</v>
      </c>
      <c r="AO691" s="121" t="str">
        <f>IF('Cable Info'!N395="","",CONCATENATE('Cable Info'!N395," - ",'Cable Info'!O395))</f>
        <v>394 - AW</v>
      </c>
      <c r="AR691" s="121" t="str">
        <f t="shared" si="150"/>
        <v>394 - AW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str">
        <f>IF('Cable Info'!L396="","",CONCATENATE('Cable Info'!L396," - ",'Cable Info'!M396))</f>
        <v>395 - AW</v>
      </c>
      <c r="AM692" s="121" t="str">
        <f t="shared" si="149"/>
        <v>395 - AW</v>
      </c>
      <c r="AO692" s="121" t="str">
        <f>IF('Cable Info'!N396="","",CONCATENATE('Cable Info'!N396," - ",'Cable Info'!O396))</f>
        <v>395 - AW</v>
      </c>
      <c r="AR692" s="121" t="str">
        <f t="shared" si="150"/>
        <v>395 - AW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str">
        <f>IF('Cable Info'!L397="","",CONCATENATE('Cable Info'!L397," - ",'Cable Info'!M397))</f>
        <v>396 - AW</v>
      </c>
      <c r="AM693" s="121" t="str">
        <f t="shared" si="149"/>
        <v>396 - AW</v>
      </c>
      <c r="AO693" s="121" t="str">
        <f>IF('Cable Info'!N397="","",CONCATENATE('Cable Info'!N397," - ",'Cable Info'!O397))</f>
        <v>396 - AW</v>
      </c>
      <c r="AR693" s="121" t="str">
        <f t="shared" si="150"/>
        <v>396 - AW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str">
        <f>IF('Cable Info'!L398="","",CONCATENATE('Cable Info'!L398," - ",'Cable Info'!M398))</f>
        <v>397 - AW</v>
      </c>
      <c r="AM694" s="121" t="str">
        <f t="shared" si="149"/>
        <v>397 - AW</v>
      </c>
      <c r="AO694" s="121" t="str">
        <f>IF('Cable Info'!N398="","",CONCATENATE('Cable Info'!N398," - ",'Cable Info'!O398))</f>
        <v>397 - AW</v>
      </c>
      <c r="AR694" s="121" t="str">
        <f t="shared" si="150"/>
        <v>397 - AW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str">
        <f>IF('Cable Info'!L399="","",CONCATENATE('Cable Info'!L399," - ",'Cable Info'!M399))</f>
        <v>398 - AW</v>
      </c>
      <c r="AM695" s="121" t="str">
        <f t="shared" si="149"/>
        <v>398 - AW</v>
      </c>
      <c r="AO695" s="121" t="str">
        <f>IF('Cable Info'!N399="","",CONCATENATE('Cable Info'!N399," - ",'Cable Info'!O399))</f>
        <v>398 - AW</v>
      </c>
      <c r="AR695" s="121" t="str">
        <f t="shared" si="150"/>
        <v>398 - AW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str">
        <f>IF('Cable Info'!L400="","",CONCATENATE('Cable Info'!L400," - ",'Cable Info'!M400))</f>
        <v>399 - AW</v>
      </c>
      <c r="AM696" s="121" t="str">
        <f t="shared" si="149"/>
        <v>399 - AW</v>
      </c>
      <c r="AO696" s="121" t="str">
        <f>IF('Cable Info'!N400="","",CONCATENATE('Cable Info'!N400," - ",'Cable Info'!O400))</f>
        <v>399 - AW</v>
      </c>
      <c r="AR696" s="121" t="str">
        <f t="shared" si="150"/>
        <v>399 - AW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str">
        <f>IF('Cable Info'!L401="","",CONCATENATE('Cable Info'!L401," - ",'Cable Info'!M401))</f>
        <v>400 - AW</v>
      </c>
      <c r="AM697" s="121" t="str">
        <f t="shared" si="149"/>
        <v>400 - AW</v>
      </c>
      <c r="AO697" s="121" t="str">
        <f>IF('Cable Info'!N401="","",CONCATENATE('Cable Info'!N401," - ",'Cable Info'!O401))</f>
        <v>400 - AW</v>
      </c>
      <c r="AR697" s="121" t="str">
        <f t="shared" si="150"/>
        <v>400 - AW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str">
        <f>IF('Cable Info'!L402="","",CONCATENATE('Cable Info'!L402," - ",'Cable Info'!M402))</f>
        <v>401 - AW</v>
      </c>
      <c r="AM698" s="121" t="str">
        <f t="shared" si="149"/>
        <v>401 - AW</v>
      </c>
      <c r="AO698" s="121" t="str">
        <f>IF('Cable Info'!N402="","",CONCATENATE('Cable Info'!N402," - ",'Cable Info'!O402))</f>
        <v>401 - AW</v>
      </c>
      <c r="AR698" s="121" t="str">
        <f t="shared" si="150"/>
        <v>401 - AW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str">
        <f>IF('Cable Info'!L403="","",CONCATENATE('Cable Info'!L403," - ",'Cable Info'!M403))</f>
        <v>402 - AW</v>
      </c>
      <c r="AM699" s="121" t="str">
        <f t="shared" si="149"/>
        <v>402 - AW</v>
      </c>
      <c r="AO699" s="121" t="str">
        <f>IF('Cable Info'!N403="","",CONCATENATE('Cable Info'!N403," - ",'Cable Info'!O403))</f>
        <v>402 - AW</v>
      </c>
      <c r="AR699" s="121" t="str">
        <f t="shared" si="150"/>
        <v>402 - AW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str">
        <f>IF('Cable Info'!L404="","",CONCATENATE('Cable Info'!L404," - ",'Cable Info'!M404))</f>
        <v>403 - AW</v>
      </c>
      <c r="AM700" s="121" t="str">
        <f t="shared" si="149"/>
        <v>403 - AW</v>
      </c>
      <c r="AO700" s="121" t="str">
        <f>IF('Cable Info'!N404="","",CONCATENATE('Cable Info'!N404," - ",'Cable Info'!O404))</f>
        <v>403 - AW</v>
      </c>
      <c r="AR700" s="121" t="str">
        <f t="shared" si="150"/>
        <v>403 - AW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str">
        <f>IF('Cable Info'!L405="","",CONCATENATE('Cable Info'!L405," - ",'Cable Info'!M405))</f>
        <v>404 - AW</v>
      </c>
      <c r="AM701" s="121" t="str">
        <f t="shared" si="149"/>
        <v>404 - AW</v>
      </c>
      <c r="AO701" s="121" t="str">
        <f>IF('Cable Info'!N405="","",CONCATENATE('Cable Info'!N405," - ",'Cable Info'!O405))</f>
        <v>404 - AW</v>
      </c>
      <c r="AR701" s="121" t="str">
        <f t="shared" si="150"/>
        <v>404 - AW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str">
        <f>IF('Cable Info'!L406="","",CONCATENATE('Cable Info'!L406," - ",'Cable Info'!M406))</f>
        <v>405 - AW</v>
      </c>
      <c r="AM702" s="121" t="str">
        <f t="shared" si="149"/>
        <v>405 - AW</v>
      </c>
      <c r="AO702" s="121" t="str">
        <f>IF('Cable Info'!N406="","",CONCATENATE('Cable Info'!N406," - ",'Cable Info'!O406))</f>
        <v>405 - AW</v>
      </c>
      <c r="AR702" s="121" t="str">
        <f t="shared" si="150"/>
        <v>405 - AW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str">
        <f>IF('Cable Info'!L407="","",CONCATENATE('Cable Info'!L407," - ",'Cable Info'!M407))</f>
        <v>406 - AW</v>
      </c>
      <c r="AM703" s="121" t="str">
        <f t="shared" si="149"/>
        <v>406 - AW</v>
      </c>
      <c r="AO703" s="121" t="str">
        <f>IF('Cable Info'!N407="","",CONCATENATE('Cable Info'!N407," - ",'Cable Info'!O407))</f>
        <v>406 - AW</v>
      </c>
      <c r="AR703" s="121" t="str">
        <f t="shared" si="150"/>
        <v>406 - AW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str">
        <f>IF('Cable Info'!L408="","",CONCATENATE('Cable Info'!L408," - ",'Cable Info'!M408))</f>
        <v>407 - AW</v>
      </c>
      <c r="AM704" s="121" t="str">
        <f t="shared" si="149"/>
        <v>407 - AW</v>
      </c>
      <c r="AO704" s="121" t="str">
        <f>IF('Cable Info'!N408="","",CONCATENATE('Cable Info'!N408," - ",'Cable Info'!O408))</f>
        <v>407 - AW</v>
      </c>
      <c r="AR704" s="121" t="str">
        <f t="shared" si="150"/>
        <v>407 - AW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str">
        <f>IF('Cable Info'!L409="","",CONCATENATE('Cable Info'!L409," - ",'Cable Info'!M409))</f>
        <v>408 - AW</v>
      </c>
      <c r="AM705" s="121" t="str">
        <f t="shared" si="149"/>
        <v>408 - AW</v>
      </c>
      <c r="AO705" s="121" t="str">
        <f>IF('Cable Info'!N409="","",CONCATENATE('Cable Info'!N409," - ",'Cable Info'!O409))</f>
        <v>408 - AW</v>
      </c>
      <c r="AR705" s="121" t="str">
        <f t="shared" si="150"/>
        <v>408 - AW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str">
        <f>IF('Cable Info'!L410="","",CONCATENATE('Cable Info'!L410," - ",'Cable Info'!M410))</f>
        <v>409 - AW</v>
      </c>
      <c r="AM706" s="121" t="str">
        <f t="shared" si="149"/>
        <v>409 - AW</v>
      </c>
      <c r="AO706" s="121" t="str">
        <f>IF('Cable Info'!N410="","",CONCATENATE('Cable Info'!N410," - ",'Cable Info'!O410))</f>
        <v>409 - AW</v>
      </c>
      <c r="AR706" s="121" t="str">
        <f t="shared" si="150"/>
        <v>409 - AW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str">
        <f>IF('Cable Info'!L411="","",CONCATENATE('Cable Info'!L411," - ",'Cable Info'!M411))</f>
        <v>410 - AW</v>
      </c>
      <c r="AM707" s="121" t="str">
        <f t="shared" si="149"/>
        <v>410 - AW</v>
      </c>
      <c r="AO707" s="121" t="str">
        <f>IF('Cable Info'!N411="","",CONCATENATE('Cable Info'!N411," - ",'Cable Info'!O411))</f>
        <v>410 - AW</v>
      </c>
      <c r="AR707" s="121" t="str">
        <f t="shared" si="150"/>
        <v>410 - AW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str">
        <f>IF('Cable Info'!L412="","",CONCATENATE('Cable Info'!L412," - ",'Cable Info'!M412))</f>
        <v>411 - AW</v>
      </c>
      <c r="AM708" s="121" t="str">
        <f t="shared" si="149"/>
        <v>411 - AW</v>
      </c>
      <c r="AO708" s="121" t="str">
        <f>IF('Cable Info'!N412="","",CONCATENATE('Cable Info'!N412," - ",'Cable Info'!O412))</f>
        <v>411 - AW</v>
      </c>
      <c r="AR708" s="121" t="str">
        <f t="shared" si="150"/>
        <v>411 - AW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str">
        <f>IF('Cable Info'!L413="","",CONCATENATE('Cable Info'!L413," - ",'Cable Info'!M413))</f>
        <v>412 - AW</v>
      </c>
      <c r="AM709" s="121" t="str">
        <f t="shared" si="149"/>
        <v>412 - AW</v>
      </c>
      <c r="AO709" s="121" t="str">
        <f>IF('Cable Info'!N413="","",CONCATENATE('Cable Info'!N413," - ",'Cable Info'!O413))</f>
        <v>412 - AW</v>
      </c>
      <c r="AR709" s="121" t="str">
        <f t="shared" si="150"/>
        <v>412 - AW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str">
        <f>IF('Cable Info'!L414="","",CONCATENATE('Cable Info'!L414," - ",'Cable Info'!M414))</f>
        <v>413 - AW</v>
      </c>
      <c r="AM710" s="121" t="str">
        <f t="shared" si="149"/>
        <v>413 - AW</v>
      </c>
      <c r="AO710" s="121" t="str">
        <f>IF('Cable Info'!N414="","",CONCATENATE('Cable Info'!N414," - ",'Cable Info'!O414))</f>
        <v>413 - AW</v>
      </c>
      <c r="AR710" s="121" t="str">
        <f t="shared" si="150"/>
        <v>413 - AW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str">
        <f>IF('Cable Info'!L415="","",CONCATENATE('Cable Info'!L415," - ",'Cable Info'!M415))</f>
        <v>414 - AW</v>
      </c>
      <c r="AM711" s="121" t="str">
        <f t="shared" si="149"/>
        <v>414 - AW</v>
      </c>
      <c r="AO711" s="121" t="str">
        <f>IF('Cable Info'!N415="","",CONCATENATE('Cable Info'!N415," - ",'Cable Info'!O415))</f>
        <v>414 - AW</v>
      </c>
      <c r="AR711" s="121" t="str">
        <f t="shared" si="150"/>
        <v>414 - AW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str">
        <f>IF('Cable Info'!L416="","",CONCATENATE('Cable Info'!L416," - ",'Cable Info'!M416))</f>
        <v>415 - AW</v>
      </c>
      <c r="AM712" s="121" t="str">
        <f t="shared" si="149"/>
        <v>415 - AW</v>
      </c>
      <c r="AO712" s="121" t="str">
        <f>IF('Cable Info'!N416="","",CONCATENATE('Cable Info'!N416," - ",'Cable Info'!O416))</f>
        <v>415 - AW</v>
      </c>
      <c r="AR712" s="121" t="str">
        <f t="shared" si="150"/>
        <v>415 - AW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str">
        <f>IF('Cable Info'!L417="","",CONCATENATE('Cable Info'!L417," - ",'Cable Info'!M417))</f>
        <v>416 - AW</v>
      </c>
      <c r="AM713" s="121" t="str">
        <f t="shared" si="149"/>
        <v>416 - AW</v>
      </c>
      <c r="AO713" s="121" t="str">
        <f>IF('Cable Info'!N417="","",CONCATENATE('Cable Info'!N417," - ",'Cable Info'!O417))</f>
        <v>416 - AW</v>
      </c>
      <c r="AR713" s="121" t="str">
        <f t="shared" si="150"/>
        <v>416 - AW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str">
        <f>IF('Cable Info'!L418="","",CONCATENATE('Cable Info'!L418," - ",'Cable Info'!M418))</f>
        <v>417 - AW</v>
      </c>
      <c r="AM714" s="121" t="str">
        <f t="shared" si="149"/>
        <v>417 - AW</v>
      </c>
      <c r="AO714" s="121" t="str">
        <f>IF('Cable Info'!N418="","",CONCATENATE('Cable Info'!N418," - ",'Cable Info'!O418))</f>
        <v>417 - AW</v>
      </c>
      <c r="AR714" s="121" t="str">
        <f t="shared" si="150"/>
        <v>417 - AW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str">
        <f>IF('Cable Info'!L419="","",CONCATENATE('Cable Info'!L419," - ",'Cable Info'!M419))</f>
        <v>418 - AW</v>
      </c>
      <c r="AM715" s="121" t="str">
        <f t="shared" si="149"/>
        <v>418 - AW</v>
      </c>
      <c r="AO715" s="121" t="str">
        <f>IF('Cable Info'!N419="","",CONCATENATE('Cable Info'!N419," - ",'Cable Info'!O419))</f>
        <v>418 - AW</v>
      </c>
      <c r="AR715" s="121" t="str">
        <f t="shared" si="150"/>
        <v>418 - AW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str">
        <f>IF('Cable Info'!L420="","",CONCATENATE('Cable Info'!L420," - ",'Cable Info'!M420))</f>
        <v>419 - AW</v>
      </c>
      <c r="AM716" s="121" t="str">
        <f t="shared" si="149"/>
        <v>419 - AW</v>
      </c>
      <c r="AO716" s="121" t="str">
        <f>IF('Cable Info'!N420="","",CONCATENATE('Cable Info'!N420," - ",'Cable Info'!O420))</f>
        <v>419 - AW</v>
      </c>
      <c r="AR716" s="121" t="str">
        <f t="shared" si="150"/>
        <v>419 - AW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str">
        <f>IF('Cable Info'!L421="","",CONCATENATE('Cable Info'!L421," - ",'Cable Info'!M421))</f>
        <v>420 - AW</v>
      </c>
      <c r="AM717" s="121" t="str">
        <f t="shared" si="149"/>
        <v>420 - AW</v>
      </c>
      <c r="AO717" s="121" t="str">
        <f>IF('Cable Info'!N421="","",CONCATENATE('Cable Info'!N421," - ",'Cable Info'!O421))</f>
        <v>420 - AW</v>
      </c>
      <c r="AR717" s="121" t="str">
        <f t="shared" si="150"/>
        <v>420 - AW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str">
        <f>IF('Cable Info'!L422="","",CONCATENATE('Cable Info'!L422," - ",'Cable Info'!M422))</f>
        <v>421 - AW</v>
      </c>
      <c r="AM718" s="121" t="str">
        <f t="shared" si="149"/>
        <v>421 - AW</v>
      </c>
      <c r="AO718" s="121" t="str">
        <f>IF('Cable Info'!N422="","",CONCATENATE('Cable Info'!N422," - ",'Cable Info'!O422))</f>
        <v>421 - AW</v>
      </c>
      <c r="AR718" s="121" t="str">
        <f t="shared" si="150"/>
        <v>421 - AW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str">
        <f>IF('Cable Info'!L423="","",CONCATENATE('Cable Info'!L423," - ",'Cable Info'!M423))</f>
        <v>422 - AW</v>
      </c>
      <c r="AM719" s="121" t="str">
        <f t="shared" si="149"/>
        <v>422 - AW</v>
      </c>
      <c r="AO719" s="121" t="str">
        <f>IF('Cable Info'!N423="","",CONCATENATE('Cable Info'!N423," - ",'Cable Info'!O423))</f>
        <v>422 - AW</v>
      </c>
      <c r="AR719" s="121" t="str">
        <f t="shared" si="150"/>
        <v>422 - AW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str">
        <f>IF('Cable Info'!L424="","",CONCATENATE('Cable Info'!L424," - ",'Cable Info'!M424))</f>
        <v>423 - AW</v>
      </c>
      <c r="AM720" s="121" t="str">
        <f t="shared" si="149"/>
        <v>423 - AW</v>
      </c>
      <c r="AO720" s="121" t="str">
        <f>IF('Cable Info'!N424="","",CONCATENATE('Cable Info'!N424," - ",'Cable Info'!O424))</f>
        <v>423 - AW</v>
      </c>
      <c r="AR720" s="121" t="str">
        <f t="shared" si="150"/>
        <v>423 - AW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str">
        <f>IF('Cable Info'!L425="","",CONCATENATE('Cable Info'!L425," - ",'Cable Info'!M425))</f>
        <v>424 - AW</v>
      </c>
      <c r="AM721" s="121" t="str">
        <f t="shared" si="149"/>
        <v>424 - AW</v>
      </c>
      <c r="AO721" s="121" t="str">
        <f>IF('Cable Info'!N425="","",CONCATENATE('Cable Info'!N425," - ",'Cable Info'!O425))</f>
        <v>424 - AW</v>
      </c>
      <c r="AR721" s="121" t="str">
        <f t="shared" si="150"/>
        <v>424 - AW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str">
        <f>IF('Cable Info'!L426="","",CONCATENATE('Cable Info'!L426," - ",'Cable Info'!M426))</f>
        <v>425 - AW</v>
      </c>
      <c r="AM722" s="121" t="str">
        <f t="shared" si="149"/>
        <v>425 - AW</v>
      </c>
      <c r="AO722" s="121" t="str">
        <f>IF('Cable Info'!N426="","",CONCATENATE('Cable Info'!N426," - ",'Cable Info'!O426))</f>
        <v>425 - AW</v>
      </c>
      <c r="AR722" s="121" t="str">
        <f t="shared" si="150"/>
        <v>425 - AW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str">
        <f>IF('Cable Info'!L427="","",CONCATENATE('Cable Info'!L427," - ",'Cable Info'!M427))</f>
        <v>426 - AW</v>
      </c>
      <c r="AM723" s="121" t="str">
        <f t="shared" si="149"/>
        <v>426 - AW</v>
      </c>
      <c r="AO723" s="121" t="str">
        <f>IF('Cable Info'!N427="","",CONCATENATE('Cable Info'!N427," - ",'Cable Info'!O427))</f>
        <v>426 - AW</v>
      </c>
      <c r="AR723" s="121" t="str">
        <f t="shared" si="150"/>
        <v>426 - AW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str">
        <f>IF('Cable Info'!L428="","",CONCATENATE('Cable Info'!L428," - ",'Cable Info'!M428))</f>
        <v>427 - AW</v>
      </c>
      <c r="AM724" s="121" t="str">
        <f t="shared" si="149"/>
        <v>427 - AW</v>
      </c>
      <c r="AO724" s="121" t="str">
        <f>IF('Cable Info'!N428="","",CONCATENATE('Cable Info'!N428," - ",'Cable Info'!O428))</f>
        <v>427 - AW</v>
      </c>
      <c r="AR724" s="121" t="str">
        <f t="shared" si="150"/>
        <v>427 - AW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str">
        <f>IF('Cable Info'!L429="","",CONCATENATE('Cable Info'!L429," - ",'Cable Info'!M429))</f>
        <v>428 - AW</v>
      </c>
      <c r="AM725" s="121" t="str">
        <f t="shared" si="149"/>
        <v>428 - AW</v>
      </c>
      <c r="AO725" s="121" t="str">
        <f>IF('Cable Info'!N429="","",CONCATENATE('Cable Info'!N429," - ",'Cable Info'!O429))</f>
        <v>428 - AW</v>
      </c>
      <c r="AR725" s="121" t="str">
        <f t="shared" si="150"/>
        <v>428 - AW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str">
        <f>IF('Cable Info'!L430="","",CONCATENATE('Cable Info'!L430," - ",'Cable Info'!M430))</f>
        <v>429 - AW</v>
      </c>
      <c r="AM726" s="121" t="str">
        <f t="shared" si="149"/>
        <v>429 - AW</v>
      </c>
      <c r="AO726" s="121" t="str">
        <f>IF('Cable Info'!N430="","",CONCATENATE('Cable Info'!N430," - ",'Cable Info'!O430))</f>
        <v>429 - AW</v>
      </c>
      <c r="AR726" s="121" t="str">
        <f t="shared" si="150"/>
        <v>429 - AW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str">
        <f>IF('Cable Info'!L431="","",CONCATENATE('Cable Info'!L431," - ",'Cable Info'!M431))</f>
        <v>430 - AW</v>
      </c>
      <c r="AM727" s="121" t="str">
        <f t="shared" si="149"/>
        <v>430 - AW</v>
      </c>
      <c r="AO727" s="121" t="str">
        <f>IF('Cable Info'!N431="","",CONCATENATE('Cable Info'!N431," - ",'Cable Info'!O431))</f>
        <v>430 - AW</v>
      </c>
      <c r="AR727" s="121" t="str">
        <f t="shared" si="150"/>
        <v>430 - AW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str">
        <f>IF('Cable Info'!L432="","",CONCATENATE('Cable Info'!L432," - ",'Cable Info'!M432))</f>
        <v>431 - AW</v>
      </c>
      <c r="AM728" s="121" t="str">
        <f t="shared" si="149"/>
        <v>431 - AW</v>
      </c>
      <c r="AO728" s="121" t="str">
        <f>IF('Cable Info'!N432="","",CONCATENATE('Cable Info'!N432," - ",'Cable Info'!O432))</f>
        <v>431 - AW</v>
      </c>
      <c r="AR728" s="121" t="str">
        <f t="shared" si="150"/>
        <v>431 - AW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str">
        <f>IF('Cable Info'!L433="","",CONCATENATE('Cable Info'!L433," - ",'Cable Info'!M433))</f>
        <v>432 - AW</v>
      </c>
      <c r="AM729" s="121" t="str">
        <f t="shared" si="149"/>
        <v>432 - AW</v>
      </c>
      <c r="AO729" s="121" t="str">
        <f>IF('Cable Info'!N433="","",CONCATENATE('Cable Info'!N433," - ",'Cable Info'!O433))</f>
        <v>432 - AW</v>
      </c>
      <c r="AR729" s="121" t="str">
        <f t="shared" si="150"/>
        <v>432 - AW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str">
        <f>IF('Cable Info'!L434="","",CONCATENATE('Cable Info'!L434," - ",'Cable Info'!M434))</f>
        <v>433 - AW</v>
      </c>
      <c r="AM730" s="121" t="str">
        <f t="shared" si="149"/>
        <v>433 - AW</v>
      </c>
      <c r="AO730" s="121" t="str">
        <f>IF('Cable Info'!N434="","",CONCATENATE('Cable Info'!N434," - ",'Cable Info'!O434))</f>
        <v>433 - AW</v>
      </c>
      <c r="AR730" s="121" t="str">
        <f t="shared" si="150"/>
        <v>433 - AW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str">
        <f>IF('Cable Info'!L435="","",CONCATENATE('Cable Info'!L435," - ",'Cable Info'!M435))</f>
        <v>434 - AW</v>
      </c>
      <c r="AM731" s="121" t="str">
        <f t="shared" si="149"/>
        <v>434 - AW</v>
      </c>
      <c r="AO731" s="121" t="str">
        <f>IF('Cable Info'!N435="","",CONCATENATE('Cable Info'!N435," - ",'Cable Info'!O435))</f>
        <v>434 - AW</v>
      </c>
      <c r="AR731" s="121" t="str">
        <f t="shared" si="150"/>
        <v>434 - AW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str">
        <f>IF('Cable Info'!L436="","",CONCATENATE('Cable Info'!L436," - ",'Cable Info'!M436))</f>
        <v>435 - AW</v>
      </c>
      <c r="AM732" s="121" t="str">
        <f t="shared" si="149"/>
        <v>435 - AW</v>
      </c>
      <c r="AO732" s="121" t="str">
        <f>IF('Cable Info'!N436="","",CONCATENATE('Cable Info'!N436," - ",'Cable Info'!O436))</f>
        <v>435 - AW</v>
      </c>
      <c r="AR732" s="121" t="str">
        <f t="shared" si="150"/>
        <v>435 - AW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str">
        <f>IF('Cable Info'!L437="","",CONCATENATE('Cable Info'!L437," - ",'Cable Info'!M437))</f>
        <v>436 - AW</v>
      </c>
      <c r="AM733" s="121" t="str">
        <f t="shared" si="149"/>
        <v>436 - AW</v>
      </c>
      <c r="AO733" s="121" t="str">
        <f>IF('Cable Info'!N437="","",CONCATENATE('Cable Info'!N437," - ",'Cable Info'!O437))</f>
        <v>436 - AW</v>
      </c>
      <c r="AR733" s="121" t="str">
        <f t="shared" si="150"/>
        <v>436 - AW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str">
        <f>IF('Cable Info'!L438="","",CONCATENATE('Cable Info'!L438," - ",'Cable Info'!M438))</f>
        <v>437 - AW</v>
      </c>
      <c r="AM734" s="121" t="str">
        <f t="shared" si="149"/>
        <v>437 - AW</v>
      </c>
      <c r="AO734" s="121" t="str">
        <f>IF('Cable Info'!N438="","",CONCATENATE('Cable Info'!N438," - ",'Cable Info'!O438))</f>
        <v>437 - AW</v>
      </c>
      <c r="AR734" s="121" t="str">
        <f t="shared" si="150"/>
        <v>437 - AW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str">
        <f>IF('Cable Info'!L439="","",CONCATENATE('Cable Info'!L439," - ",'Cable Info'!M439))</f>
        <v>438 - AW</v>
      </c>
      <c r="AM735" s="121" t="str">
        <f t="shared" si="149"/>
        <v>438 - AW</v>
      </c>
      <c r="AO735" s="121" t="str">
        <f>IF('Cable Info'!N439="","",CONCATENATE('Cable Info'!N439," - ",'Cable Info'!O439))</f>
        <v>438 - AW</v>
      </c>
      <c r="AR735" s="121" t="str">
        <f t="shared" si="150"/>
        <v>438 - AW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str">
        <f>IF('Cable Info'!L440="","",CONCATENATE('Cable Info'!L440," - ",'Cable Info'!M440))</f>
        <v>439 - AW</v>
      </c>
      <c r="AM736" s="121" t="str">
        <f t="shared" si="149"/>
        <v>439 - AW</v>
      </c>
      <c r="AO736" s="121" t="str">
        <f>IF('Cable Info'!N440="","",CONCATENATE('Cable Info'!N440," - ",'Cable Info'!O440))</f>
        <v>439 - AW</v>
      </c>
      <c r="AR736" s="121" t="str">
        <f t="shared" si="150"/>
        <v>439 - AW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str">
        <f>IF('Cable Info'!L441="","",CONCATENATE('Cable Info'!L441," - ",'Cable Info'!M441))</f>
        <v>440 - AW</v>
      </c>
      <c r="AM737" s="121" t="str">
        <f t="shared" si="149"/>
        <v>440 - AW</v>
      </c>
      <c r="AO737" s="121" t="str">
        <f>IF('Cable Info'!N441="","",CONCATENATE('Cable Info'!N441," - ",'Cable Info'!O441))</f>
        <v>440 - AW</v>
      </c>
      <c r="AR737" s="121" t="str">
        <f t="shared" si="150"/>
        <v>440 - AW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str">
        <f>IF('Cable Info'!L442="","",CONCATENATE('Cable Info'!L442," - ",'Cable Info'!M442))</f>
        <v>441 - AW</v>
      </c>
      <c r="AM738" s="121" t="str">
        <f t="shared" si="149"/>
        <v>441 - AW</v>
      </c>
      <c r="AO738" s="121" t="str">
        <f>IF('Cable Info'!N442="","",CONCATENATE('Cable Info'!N442," - ",'Cable Info'!O442))</f>
        <v>441 - AW</v>
      </c>
      <c r="AR738" s="121" t="str">
        <f t="shared" si="150"/>
        <v>441 - AW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str">
        <f>IF('Cable Info'!L443="","",CONCATENATE('Cable Info'!L443," - ",'Cable Info'!M443))</f>
        <v>442 - AW</v>
      </c>
      <c r="AM739" s="121" t="str">
        <f t="shared" si="149"/>
        <v>442 - AW</v>
      </c>
      <c r="AO739" s="121" t="str">
        <f>IF('Cable Info'!N443="","",CONCATENATE('Cable Info'!N443," - ",'Cable Info'!O443))</f>
        <v>442 - AW</v>
      </c>
      <c r="AR739" s="121" t="str">
        <f t="shared" si="150"/>
        <v>442 - AW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str">
        <f>IF('Cable Info'!L444="","",CONCATENATE('Cable Info'!L444," - ",'Cable Info'!M444))</f>
        <v>443 - AW</v>
      </c>
      <c r="AM740" s="121" t="str">
        <f t="shared" si="149"/>
        <v>443 - AW</v>
      </c>
      <c r="AO740" s="121" t="str">
        <f>IF('Cable Info'!N444="","",CONCATENATE('Cable Info'!N444," - ",'Cable Info'!O444))</f>
        <v>443 - AW</v>
      </c>
      <c r="AR740" s="121" t="str">
        <f t="shared" si="150"/>
        <v>443 - AW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str">
        <f>IF('Cable Info'!L445="","",CONCATENATE('Cable Info'!L445," - ",'Cable Info'!M445))</f>
        <v>444 - AW</v>
      </c>
      <c r="AM741" s="121" t="str">
        <f t="shared" si="149"/>
        <v>444 - AW</v>
      </c>
      <c r="AO741" s="121" t="str">
        <f>IF('Cable Info'!N445="","",CONCATENATE('Cable Info'!N445," - ",'Cable Info'!O445))</f>
        <v>444 - AW</v>
      </c>
      <c r="AR741" s="121" t="str">
        <f t="shared" si="150"/>
        <v>444 - AW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str">
        <f>IF('Cable Info'!L446="","",CONCATENATE('Cable Info'!L446," - ",'Cable Info'!M446))</f>
        <v>445 - AW</v>
      </c>
      <c r="AM742" s="121" t="str">
        <f t="shared" si="149"/>
        <v>445 - AW</v>
      </c>
      <c r="AO742" s="121" t="str">
        <f>IF('Cable Info'!N446="","",CONCATENATE('Cable Info'!N446," - ",'Cable Info'!O446))</f>
        <v>445 - AW</v>
      </c>
      <c r="AR742" s="121" t="str">
        <f t="shared" si="150"/>
        <v>445 - AW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str">
        <f>IF('Cable Info'!L447="","",CONCATENATE('Cable Info'!L447," - ",'Cable Info'!M447))</f>
        <v>446 - AW</v>
      </c>
      <c r="AM743" s="121" t="str">
        <f t="shared" si="149"/>
        <v>446 - AW</v>
      </c>
      <c r="AO743" s="121" t="str">
        <f>IF('Cable Info'!N447="","",CONCATENATE('Cable Info'!N447," - ",'Cable Info'!O447))</f>
        <v>446 - AW</v>
      </c>
      <c r="AR743" s="121" t="str">
        <f t="shared" si="150"/>
        <v>446 - AW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str">
        <f>IF('Cable Info'!L448="","",CONCATENATE('Cable Info'!L448," - ",'Cable Info'!M448))</f>
        <v>447 - AW</v>
      </c>
      <c r="AM744" s="121" t="str">
        <f t="shared" si="149"/>
        <v>447 - AW</v>
      </c>
      <c r="AO744" s="121" t="str">
        <f>IF('Cable Info'!N448="","",CONCATENATE('Cable Info'!N448," - ",'Cable Info'!O448))</f>
        <v>447 - AW</v>
      </c>
      <c r="AR744" s="121" t="str">
        <f t="shared" si="150"/>
        <v>447 - AW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str">
        <f>IF('Cable Info'!L449="","",CONCATENATE('Cable Info'!L449," - ",'Cable Info'!M449))</f>
        <v>448 - AW</v>
      </c>
      <c r="AM745" s="121" t="str">
        <f t="shared" si="149"/>
        <v>448 - AW</v>
      </c>
      <c r="AO745" s="121" t="str">
        <f>IF('Cable Info'!N449="","",CONCATENATE('Cable Info'!N449," - ",'Cable Info'!O449))</f>
        <v>448 - AW</v>
      </c>
      <c r="AR745" s="121" t="str">
        <f t="shared" si="150"/>
        <v>448 - AW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str">
        <f>IF('Cable Info'!L450="","",CONCATENATE('Cable Info'!L450," - ",'Cable Info'!M450))</f>
        <v>449 - AW</v>
      </c>
      <c r="AM746" s="121" t="str">
        <f t="shared" si="149"/>
        <v>449 - AW</v>
      </c>
      <c r="AO746" s="121" t="str">
        <f>IF('Cable Info'!N450="","",CONCATENATE('Cable Info'!N450," - ",'Cable Info'!O450))</f>
        <v>449 - AW</v>
      </c>
      <c r="AR746" s="121" t="str">
        <f t="shared" si="150"/>
        <v>449 - AW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str">
        <f>IF('Cable Info'!L451="","",CONCATENATE('Cable Info'!L451," - ",'Cable Info'!M451))</f>
        <v>450 - AW</v>
      </c>
      <c r="AM747" s="121" t="str">
        <f t="shared" ref="AM747:AM810" si="155">IF(AK747="",AJ747,CONCATENATE(AJ747,"  &lt;=&gt; ",AK747," ",AL747))</f>
        <v>450 - AW</v>
      </c>
      <c r="AO747" s="121" t="str">
        <f>IF('Cable Info'!N451="","",CONCATENATE('Cable Info'!N451," - ",'Cable Info'!O451))</f>
        <v>450 - AW</v>
      </c>
      <c r="AR747" s="121" t="str">
        <f t="shared" ref="AR747:AR810" si="156">IF(AP747="",AO747,CONCATENATE(AO747,"  &lt;=&gt; ",AP747," ",AQ747))</f>
        <v>450 - AW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str">
        <f>IF('Cable Info'!L452="","",CONCATENATE('Cable Info'!L452," - ",'Cable Info'!M452))</f>
        <v>451 - AW</v>
      </c>
      <c r="AM748" s="121" t="str">
        <f t="shared" si="155"/>
        <v>451 - AW</v>
      </c>
      <c r="AO748" s="121" t="str">
        <f>IF('Cable Info'!N452="","",CONCATENATE('Cable Info'!N452," - ",'Cable Info'!O452))</f>
        <v>451 - AW</v>
      </c>
      <c r="AR748" s="121" t="str">
        <f t="shared" si="156"/>
        <v>451 - AW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str">
        <f>IF('Cable Info'!L453="","",CONCATENATE('Cable Info'!L453," - ",'Cable Info'!M453))</f>
        <v>452 - AW</v>
      </c>
      <c r="AM749" s="121" t="str">
        <f t="shared" si="155"/>
        <v>452 - AW</v>
      </c>
      <c r="AO749" s="121" t="str">
        <f>IF('Cable Info'!N453="","",CONCATENATE('Cable Info'!N453," - ",'Cable Info'!O453))</f>
        <v>452 - AW</v>
      </c>
      <c r="AR749" s="121" t="str">
        <f t="shared" si="156"/>
        <v>452 - AW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str">
        <f>IF('Cable Info'!L454="","",CONCATENATE('Cable Info'!L454," - ",'Cable Info'!M454))</f>
        <v>453 - AW</v>
      </c>
      <c r="AM750" s="121" t="str">
        <f t="shared" si="155"/>
        <v>453 - AW</v>
      </c>
      <c r="AO750" s="121" t="str">
        <f>IF('Cable Info'!N454="","",CONCATENATE('Cable Info'!N454," - ",'Cable Info'!O454))</f>
        <v>453 - AW</v>
      </c>
      <c r="AR750" s="121" t="str">
        <f t="shared" si="156"/>
        <v>453 - AW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str">
        <f>IF('Cable Info'!L455="","",CONCATENATE('Cable Info'!L455," - ",'Cable Info'!M455))</f>
        <v>454 - AW</v>
      </c>
      <c r="AM751" s="121" t="str">
        <f t="shared" si="155"/>
        <v>454 - AW</v>
      </c>
      <c r="AO751" s="121" t="str">
        <f>IF('Cable Info'!N455="","",CONCATENATE('Cable Info'!N455," - ",'Cable Info'!O455))</f>
        <v>454 - AW</v>
      </c>
      <c r="AR751" s="121" t="str">
        <f t="shared" si="156"/>
        <v>454 - AW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str">
        <f>IF('Cable Info'!L456="","",CONCATENATE('Cable Info'!L456," - ",'Cable Info'!M456))</f>
        <v>455 - AW</v>
      </c>
      <c r="AM752" s="121" t="str">
        <f t="shared" si="155"/>
        <v>455 - AW</v>
      </c>
      <c r="AO752" s="121" t="str">
        <f>IF('Cable Info'!N456="","",CONCATENATE('Cable Info'!N456," - ",'Cable Info'!O456))</f>
        <v>455 - AW</v>
      </c>
      <c r="AR752" s="121" t="str">
        <f t="shared" si="156"/>
        <v>455 - AW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str">
        <f>IF('Cable Info'!L457="","",CONCATENATE('Cable Info'!L457," - ",'Cable Info'!M457))</f>
        <v>456 - AW</v>
      </c>
      <c r="AM753" s="121" t="str">
        <f t="shared" si="155"/>
        <v>456 - AW</v>
      </c>
      <c r="AO753" s="121" t="str">
        <f>IF('Cable Info'!N457="","",CONCATENATE('Cable Info'!N457," - ",'Cable Info'!O457))</f>
        <v>456 - AW</v>
      </c>
      <c r="AR753" s="121" t="str">
        <f t="shared" si="156"/>
        <v>456 - AW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str">
        <f>IF('Cable Info'!L458="","",CONCATENATE('Cable Info'!L458," - ",'Cable Info'!M458))</f>
        <v>457 - AW</v>
      </c>
      <c r="AM754" s="121" t="str">
        <f t="shared" si="155"/>
        <v>457 - AW</v>
      </c>
      <c r="AO754" s="121" t="str">
        <f>IF('Cable Info'!N458="","",CONCATENATE('Cable Info'!N458," - ",'Cable Info'!O458))</f>
        <v>457 - AW</v>
      </c>
      <c r="AR754" s="121" t="str">
        <f t="shared" si="156"/>
        <v>457 - AW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str">
        <f>IF('Cable Info'!L459="","",CONCATENATE('Cable Info'!L459," - ",'Cable Info'!M459))</f>
        <v>458 - AW</v>
      </c>
      <c r="AM755" s="121" t="str">
        <f t="shared" si="155"/>
        <v>458 - AW</v>
      </c>
      <c r="AO755" s="121" t="str">
        <f>IF('Cable Info'!N459="","",CONCATENATE('Cable Info'!N459," - ",'Cable Info'!O459))</f>
        <v>458 - AW</v>
      </c>
      <c r="AR755" s="121" t="str">
        <f t="shared" si="156"/>
        <v>458 - AW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str">
        <f>IF('Cable Info'!L460="","",CONCATENATE('Cable Info'!L460," - ",'Cable Info'!M460))</f>
        <v>459 - AW</v>
      </c>
      <c r="AM756" s="121" t="str">
        <f t="shared" si="155"/>
        <v>459 - AW</v>
      </c>
      <c r="AO756" s="121" t="str">
        <f>IF('Cable Info'!N460="","",CONCATENATE('Cable Info'!N460," - ",'Cable Info'!O460))</f>
        <v>459 - AW</v>
      </c>
      <c r="AR756" s="121" t="str">
        <f t="shared" si="156"/>
        <v>459 - AW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str">
        <f>IF('Cable Info'!L461="","",CONCATENATE('Cable Info'!L461," - ",'Cable Info'!M461))</f>
        <v>460 - AW</v>
      </c>
      <c r="AM757" s="121" t="str">
        <f t="shared" si="155"/>
        <v>460 - AW</v>
      </c>
      <c r="AO757" s="121" t="str">
        <f>IF('Cable Info'!N461="","",CONCATENATE('Cable Info'!N461," - ",'Cable Info'!O461))</f>
        <v>460 - AW</v>
      </c>
      <c r="AR757" s="121" t="str">
        <f t="shared" si="156"/>
        <v>460 - AW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str">
        <f>IF('Cable Info'!L462="","",CONCATENATE('Cable Info'!L462," - ",'Cable Info'!M462))</f>
        <v>461 - AW</v>
      </c>
      <c r="AM758" s="121" t="str">
        <f t="shared" si="155"/>
        <v>461 - AW</v>
      </c>
      <c r="AO758" s="121" t="str">
        <f>IF('Cable Info'!N462="","",CONCATENATE('Cable Info'!N462," - ",'Cable Info'!O462))</f>
        <v>461 - AW</v>
      </c>
      <c r="AR758" s="121" t="str">
        <f t="shared" si="156"/>
        <v>461 - AW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str">
        <f>IF('Cable Info'!L463="","",CONCATENATE('Cable Info'!L463," - ",'Cable Info'!M463))</f>
        <v>462 - AW</v>
      </c>
      <c r="AM759" s="121" t="str">
        <f t="shared" si="155"/>
        <v>462 - AW</v>
      </c>
      <c r="AO759" s="121" t="str">
        <f>IF('Cable Info'!N463="","",CONCATENATE('Cable Info'!N463," - ",'Cable Info'!O463))</f>
        <v>462 - AW</v>
      </c>
      <c r="AR759" s="121" t="str">
        <f t="shared" si="156"/>
        <v>462 - AW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str">
        <f>IF('Cable Info'!L464="","",CONCATENATE('Cable Info'!L464," - ",'Cable Info'!M464))</f>
        <v>463 - AW</v>
      </c>
      <c r="AM760" s="121" t="str">
        <f t="shared" si="155"/>
        <v>463 - AW</v>
      </c>
      <c r="AO760" s="121" t="str">
        <f>IF('Cable Info'!N464="","",CONCATENATE('Cable Info'!N464," - ",'Cable Info'!O464))</f>
        <v>463 - AW</v>
      </c>
      <c r="AR760" s="121" t="str">
        <f t="shared" si="156"/>
        <v>463 - AW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str">
        <f>IF('Cable Info'!L465="","",CONCATENATE('Cable Info'!L465," - ",'Cable Info'!M465))</f>
        <v>464 - AW</v>
      </c>
      <c r="AM761" s="121" t="str">
        <f t="shared" si="155"/>
        <v>464 - AW</v>
      </c>
      <c r="AO761" s="121" t="str">
        <f>IF('Cable Info'!N465="","",CONCATENATE('Cable Info'!N465," - ",'Cable Info'!O465))</f>
        <v>464 - AW</v>
      </c>
      <c r="AR761" s="121" t="str">
        <f t="shared" si="156"/>
        <v>464 - AW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str">
        <f>IF('Cable Info'!L466="","",CONCATENATE('Cable Info'!L466," - ",'Cable Info'!M466))</f>
        <v>465 - AW</v>
      </c>
      <c r="AM762" s="121" t="str">
        <f t="shared" si="155"/>
        <v>465 - AW</v>
      </c>
      <c r="AO762" s="121" t="str">
        <f>IF('Cable Info'!N466="","",CONCATENATE('Cable Info'!N466," - ",'Cable Info'!O466))</f>
        <v>465 - AW</v>
      </c>
      <c r="AR762" s="121" t="str">
        <f t="shared" si="156"/>
        <v>465 - AW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str">
        <f>IF('Cable Info'!L467="","",CONCATENATE('Cable Info'!L467," - ",'Cable Info'!M467))</f>
        <v>466 - AW</v>
      </c>
      <c r="AM763" s="121" t="str">
        <f t="shared" si="155"/>
        <v>466 - AW</v>
      </c>
      <c r="AO763" s="121" t="str">
        <f>IF('Cable Info'!N467="","",CONCATENATE('Cable Info'!N467," - ",'Cable Info'!O467))</f>
        <v>466 - AW</v>
      </c>
      <c r="AR763" s="121" t="str">
        <f t="shared" si="156"/>
        <v>466 - AW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str">
        <f>IF('Cable Info'!L468="","",CONCATENATE('Cable Info'!L468," - ",'Cable Info'!M468))</f>
        <v>467 - AW</v>
      </c>
      <c r="AM764" s="121" t="str">
        <f t="shared" si="155"/>
        <v>467 - AW</v>
      </c>
      <c r="AO764" s="121" t="str">
        <f>IF('Cable Info'!N468="","",CONCATENATE('Cable Info'!N468," - ",'Cable Info'!O468))</f>
        <v>467 - AW</v>
      </c>
      <c r="AR764" s="121" t="str">
        <f t="shared" si="156"/>
        <v>467 - AW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str">
        <f>IF('Cable Info'!L469="","",CONCATENATE('Cable Info'!L469," - ",'Cable Info'!M469))</f>
        <v>468 - AW</v>
      </c>
      <c r="AM765" s="121" t="str">
        <f t="shared" si="155"/>
        <v>468 - AW</v>
      </c>
      <c r="AO765" s="121" t="str">
        <f>IF('Cable Info'!N469="","",CONCATENATE('Cable Info'!N469," - ",'Cable Info'!O469))</f>
        <v>468 - AW</v>
      </c>
      <c r="AR765" s="121" t="str">
        <f t="shared" si="156"/>
        <v>468 - AW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str">
        <f>IF('Cable Info'!L470="","",CONCATENATE('Cable Info'!L470," - ",'Cable Info'!M470))</f>
        <v>469 - AW</v>
      </c>
      <c r="AM766" s="121" t="str">
        <f t="shared" si="155"/>
        <v>469 - AW</v>
      </c>
      <c r="AO766" s="121" t="str">
        <f>IF('Cable Info'!N470="","",CONCATENATE('Cable Info'!N470," - ",'Cable Info'!O470))</f>
        <v>469 - AW</v>
      </c>
      <c r="AR766" s="121" t="str">
        <f t="shared" si="156"/>
        <v>469 - AW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str">
        <f>IF('Cable Info'!L471="","",CONCATENATE('Cable Info'!L471," - ",'Cable Info'!M471))</f>
        <v>470 - AW</v>
      </c>
      <c r="AM767" s="121" t="str">
        <f t="shared" si="155"/>
        <v>470 - AW</v>
      </c>
      <c r="AO767" s="121" t="str">
        <f>IF('Cable Info'!N471="","",CONCATENATE('Cable Info'!N471," - ",'Cable Info'!O471))</f>
        <v>470 - AW</v>
      </c>
      <c r="AR767" s="121" t="str">
        <f t="shared" si="156"/>
        <v>470 - AW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str">
        <f>IF('Cable Info'!L472="","",CONCATENATE('Cable Info'!L472," - ",'Cable Info'!M472))</f>
        <v>471 - AW</v>
      </c>
      <c r="AM768" s="121" t="str">
        <f t="shared" si="155"/>
        <v>471 - AW</v>
      </c>
      <c r="AO768" s="121" t="str">
        <f>IF('Cable Info'!N472="","",CONCATENATE('Cable Info'!N472," - ",'Cable Info'!O472))</f>
        <v>471 - AW</v>
      </c>
      <c r="AR768" s="121" t="str">
        <f t="shared" si="156"/>
        <v>471 - AW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str">
        <f>IF('Cable Info'!L473="","",CONCATENATE('Cable Info'!L473," - ",'Cable Info'!M473))</f>
        <v>472 - AW</v>
      </c>
      <c r="AM769" s="121" t="str">
        <f t="shared" si="155"/>
        <v>472 - AW</v>
      </c>
      <c r="AO769" s="121" t="str">
        <f>IF('Cable Info'!N473="","",CONCATENATE('Cable Info'!N473," - ",'Cable Info'!O473))</f>
        <v>472 - AW</v>
      </c>
      <c r="AR769" s="121" t="str">
        <f t="shared" si="156"/>
        <v>472 - AW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str">
        <f>IF('Cable Info'!L474="","",CONCATENATE('Cable Info'!L474," - ",'Cable Info'!M474))</f>
        <v>473 - AW</v>
      </c>
      <c r="AM770" s="121" t="str">
        <f t="shared" si="155"/>
        <v>473 - AW</v>
      </c>
      <c r="AO770" s="121" t="str">
        <f>IF('Cable Info'!N474="","",CONCATENATE('Cable Info'!N474," - ",'Cable Info'!O474))</f>
        <v>473 - AW</v>
      </c>
      <c r="AR770" s="121" t="str">
        <f t="shared" si="156"/>
        <v>473 - AW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str">
        <f>IF('Cable Info'!L475="","",CONCATENATE('Cable Info'!L475," - ",'Cable Info'!M475))</f>
        <v>474 - AW</v>
      </c>
      <c r="AM771" s="121" t="str">
        <f t="shared" si="155"/>
        <v>474 - AW</v>
      </c>
      <c r="AO771" s="121" t="str">
        <f>IF('Cable Info'!N475="","",CONCATENATE('Cable Info'!N475," - ",'Cable Info'!O475))</f>
        <v>474 - AW</v>
      </c>
      <c r="AR771" s="121" t="str">
        <f t="shared" si="156"/>
        <v>474 - AW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str">
        <f>IF('Cable Info'!L476="","",CONCATENATE('Cable Info'!L476," - ",'Cable Info'!M476))</f>
        <v>475 - AW</v>
      </c>
      <c r="AM772" s="121" t="str">
        <f t="shared" si="155"/>
        <v>475 - AW</v>
      </c>
      <c r="AO772" s="121" t="str">
        <f>IF('Cable Info'!N476="","",CONCATENATE('Cable Info'!N476," - ",'Cable Info'!O476))</f>
        <v>475 - AW</v>
      </c>
      <c r="AR772" s="121" t="str">
        <f t="shared" si="156"/>
        <v>475 - AW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str">
        <f>IF('Cable Info'!L477="","",CONCATENATE('Cable Info'!L477," - ",'Cable Info'!M477))</f>
        <v>476 - AW</v>
      </c>
      <c r="AM773" s="121" t="str">
        <f t="shared" si="155"/>
        <v>476 - AW</v>
      </c>
      <c r="AO773" s="121" t="str">
        <f>IF('Cable Info'!N477="","",CONCATENATE('Cable Info'!N477," - ",'Cable Info'!O477))</f>
        <v>476 - AW</v>
      </c>
      <c r="AR773" s="121" t="str">
        <f t="shared" si="156"/>
        <v>476 - AW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str">
        <f>IF('Cable Info'!L478="","",CONCATENATE('Cable Info'!L478," - ",'Cable Info'!M478))</f>
        <v>477 - AW</v>
      </c>
      <c r="AM774" s="121" t="str">
        <f t="shared" si="155"/>
        <v>477 - AW</v>
      </c>
      <c r="AO774" s="121" t="str">
        <f>IF('Cable Info'!N478="","",CONCATENATE('Cable Info'!N478," - ",'Cable Info'!O478))</f>
        <v>477 - AW</v>
      </c>
      <c r="AR774" s="121" t="str">
        <f t="shared" si="156"/>
        <v>477 - AW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str">
        <f>IF('Cable Info'!L479="","",CONCATENATE('Cable Info'!L479," - ",'Cable Info'!M479))</f>
        <v>478 - AW</v>
      </c>
      <c r="AM775" s="121" t="str">
        <f t="shared" si="155"/>
        <v>478 - AW</v>
      </c>
      <c r="AO775" s="121" t="str">
        <f>IF('Cable Info'!N479="","",CONCATENATE('Cable Info'!N479," - ",'Cable Info'!O479))</f>
        <v>478 - AW</v>
      </c>
      <c r="AR775" s="121" t="str">
        <f t="shared" si="156"/>
        <v>478 - AW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str">
        <f>IF('Cable Info'!L480="","",CONCATENATE('Cable Info'!L480," - ",'Cable Info'!M480))</f>
        <v>479 - AW</v>
      </c>
      <c r="AM776" s="121" t="str">
        <f t="shared" si="155"/>
        <v>479 - AW</v>
      </c>
      <c r="AO776" s="121" t="str">
        <f>IF('Cable Info'!N480="","",CONCATENATE('Cable Info'!N480," - ",'Cable Info'!O480))</f>
        <v>479 - AW</v>
      </c>
      <c r="AR776" s="121" t="str">
        <f t="shared" si="156"/>
        <v>479 - AW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str">
        <f>IF('Cable Info'!L481="","",CONCATENATE('Cable Info'!L481," - ",'Cable Info'!M481))</f>
        <v>480 - AW</v>
      </c>
      <c r="AM777" s="121" t="str">
        <f t="shared" si="155"/>
        <v>480 - AW</v>
      </c>
      <c r="AO777" s="121" t="str">
        <f>IF('Cable Info'!N481="","",CONCATENATE('Cable Info'!N481," - ",'Cable Info'!O481))</f>
        <v>480 - AW</v>
      </c>
      <c r="AR777" s="121" t="str">
        <f t="shared" si="156"/>
        <v>480 - AW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str">
        <f>IF('Cable Info'!L482="","",CONCATENATE('Cable Info'!L482," - ",'Cable Info'!M482))</f>
        <v>481 - AW</v>
      </c>
      <c r="AM778" s="121" t="str">
        <f t="shared" si="155"/>
        <v>481 - AW</v>
      </c>
      <c r="AO778" s="121" t="str">
        <f>IF('Cable Info'!N482="","",CONCATENATE('Cable Info'!N482," - ",'Cable Info'!O482))</f>
        <v>481 - AW</v>
      </c>
      <c r="AR778" s="121" t="str">
        <f t="shared" si="156"/>
        <v>481 - AW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str">
        <f>IF('Cable Info'!L483="","",CONCATENATE('Cable Info'!L483," - ",'Cable Info'!M483))</f>
        <v>482 - AW</v>
      </c>
      <c r="AM779" s="121" t="str">
        <f t="shared" si="155"/>
        <v>482 - AW</v>
      </c>
      <c r="AO779" s="121" t="str">
        <f>IF('Cable Info'!N483="","",CONCATENATE('Cable Info'!N483," - ",'Cable Info'!O483))</f>
        <v>482 - AW</v>
      </c>
      <c r="AR779" s="121" t="str">
        <f t="shared" si="156"/>
        <v>482 - AW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str">
        <f>IF('Cable Info'!L484="","",CONCATENATE('Cable Info'!L484," - ",'Cable Info'!M484))</f>
        <v>483 - AW</v>
      </c>
      <c r="AM780" s="121" t="str">
        <f t="shared" si="155"/>
        <v>483 - AW</v>
      </c>
      <c r="AO780" s="121" t="str">
        <f>IF('Cable Info'!N484="","",CONCATENATE('Cable Info'!N484," - ",'Cable Info'!O484))</f>
        <v>483 - AW</v>
      </c>
      <c r="AR780" s="121" t="str">
        <f t="shared" si="156"/>
        <v>483 - AW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str">
        <f>IF('Cable Info'!L485="","",CONCATENATE('Cable Info'!L485," - ",'Cable Info'!M485))</f>
        <v>484 - AW</v>
      </c>
      <c r="AM781" s="121" t="str">
        <f t="shared" si="155"/>
        <v>484 - AW</v>
      </c>
      <c r="AO781" s="121" t="str">
        <f>IF('Cable Info'!N485="","",CONCATENATE('Cable Info'!N485," - ",'Cable Info'!O485))</f>
        <v>484 - AW</v>
      </c>
      <c r="AR781" s="121" t="str">
        <f t="shared" si="156"/>
        <v>484 - AW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str">
        <f>IF('Cable Info'!L486="","",CONCATENATE('Cable Info'!L486," - ",'Cable Info'!M486))</f>
        <v>485 - AW</v>
      </c>
      <c r="AM782" s="121" t="str">
        <f t="shared" si="155"/>
        <v>485 - AW</v>
      </c>
      <c r="AO782" s="121" t="str">
        <f>IF('Cable Info'!N486="","",CONCATENATE('Cable Info'!N486," - ",'Cable Info'!O486))</f>
        <v>485 - AW</v>
      </c>
      <c r="AR782" s="121" t="str">
        <f t="shared" si="156"/>
        <v>485 - AW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str">
        <f>IF('Cable Info'!L487="","",CONCATENATE('Cable Info'!L487," - ",'Cable Info'!M487))</f>
        <v>486 - AW</v>
      </c>
      <c r="AM783" s="121" t="str">
        <f t="shared" si="155"/>
        <v>486 - AW</v>
      </c>
      <c r="AO783" s="121" t="str">
        <f>IF('Cable Info'!N487="","",CONCATENATE('Cable Info'!N487," - ",'Cable Info'!O487))</f>
        <v>486 - AW</v>
      </c>
      <c r="AR783" s="121" t="str">
        <f t="shared" si="156"/>
        <v>486 - AW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str">
        <f>IF('Cable Info'!L488="","",CONCATENATE('Cable Info'!L488," - ",'Cable Info'!M488))</f>
        <v>487 - AW</v>
      </c>
      <c r="AM784" s="121" t="str">
        <f t="shared" si="155"/>
        <v>487 - AW</v>
      </c>
      <c r="AO784" s="121" t="str">
        <f>IF('Cable Info'!N488="","",CONCATENATE('Cable Info'!N488," - ",'Cable Info'!O488))</f>
        <v>487 - AW</v>
      </c>
      <c r="AR784" s="121" t="str">
        <f t="shared" si="156"/>
        <v>487 - AW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str">
        <f>IF('Cable Info'!L489="","",CONCATENATE('Cable Info'!L489," - ",'Cable Info'!M489))</f>
        <v>488 - AW</v>
      </c>
      <c r="AM785" s="121" t="str">
        <f t="shared" si="155"/>
        <v>488 - AW</v>
      </c>
      <c r="AO785" s="121" t="str">
        <f>IF('Cable Info'!N489="","",CONCATENATE('Cable Info'!N489," - ",'Cable Info'!O489))</f>
        <v>488 - AW</v>
      </c>
      <c r="AR785" s="121" t="str">
        <f t="shared" si="156"/>
        <v>488 - AW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str">
        <f>IF('Cable Info'!L490="","",CONCATENATE('Cable Info'!L490," - ",'Cable Info'!M490))</f>
        <v>489 - AW</v>
      </c>
      <c r="AM786" s="121" t="str">
        <f t="shared" si="155"/>
        <v>489 - AW</v>
      </c>
      <c r="AO786" s="121" t="str">
        <f>IF('Cable Info'!N490="","",CONCATENATE('Cable Info'!N490," - ",'Cable Info'!O490))</f>
        <v>489 - AW</v>
      </c>
      <c r="AR786" s="121" t="str">
        <f t="shared" si="156"/>
        <v>489 - AW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str">
        <f>IF('Cable Info'!L491="","",CONCATENATE('Cable Info'!L491," - ",'Cable Info'!M491))</f>
        <v>490 - AW</v>
      </c>
      <c r="AM787" s="121" t="str">
        <f t="shared" si="155"/>
        <v>490 - AW</v>
      </c>
      <c r="AO787" s="121" t="str">
        <f>IF('Cable Info'!N491="","",CONCATENATE('Cable Info'!N491," - ",'Cable Info'!O491))</f>
        <v>490 - AW</v>
      </c>
      <c r="AR787" s="121" t="str">
        <f t="shared" si="156"/>
        <v>490 - AW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str">
        <f>IF('Cable Info'!L492="","",CONCATENATE('Cable Info'!L492," - ",'Cable Info'!M492))</f>
        <v>491 - AW</v>
      </c>
      <c r="AM788" s="121" t="str">
        <f t="shared" si="155"/>
        <v>491 - AW</v>
      </c>
      <c r="AO788" s="121" t="str">
        <f>IF('Cable Info'!N492="","",CONCATENATE('Cable Info'!N492," - ",'Cable Info'!O492))</f>
        <v>491 - AW</v>
      </c>
      <c r="AR788" s="121" t="str">
        <f t="shared" si="156"/>
        <v>491 - AW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str">
        <f>IF('Cable Info'!L493="","",CONCATENATE('Cable Info'!L493," - ",'Cable Info'!M493))</f>
        <v>492 - AW</v>
      </c>
      <c r="AM789" s="121" t="str">
        <f t="shared" si="155"/>
        <v>492 - AW</v>
      </c>
      <c r="AO789" s="121" t="str">
        <f>IF('Cable Info'!N493="","",CONCATENATE('Cable Info'!N493," - ",'Cable Info'!O493))</f>
        <v>492 - AW</v>
      </c>
      <c r="AR789" s="121" t="str">
        <f t="shared" si="156"/>
        <v>492 - AW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str">
        <f>IF('Cable Info'!L494="","",CONCATENATE('Cable Info'!L494," - ",'Cable Info'!M494))</f>
        <v>493 - AW</v>
      </c>
      <c r="AM790" s="121" t="str">
        <f t="shared" si="155"/>
        <v>493 - AW</v>
      </c>
      <c r="AO790" s="121" t="str">
        <f>IF('Cable Info'!N494="","",CONCATENATE('Cable Info'!N494," - ",'Cable Info'!O494))</f>
        <v>493 - AW</v>
      </c>
      <c r="AR790" s="121" t="str">
        <f t="shared" si="156"/>
        <v>493 - AW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str">
        <f>IF('Cable Info'!L495="","",CONCATENATE('Cable Info'!L495," - ",'Cable Info'!M495))</f>
        <v>494 - AW</v>
      </c>
      <c r="AM791" s="121" t="str">
        <f t="shared" si="155"/>
        <v>494 - AW</v>
      </c>
      <c r="AO791" s="121" t="str">
        <f>IF('Cable Info'!N495="","",CONCATENATE('Cable Info'!N495," - ",'Cable Info'!O495))</f>
        <v>494 - AW</v>
      </c>
      <c r="AR791" s="121" t="str">
        <f t="shared" si="156"/>
        <v>494 - AW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str">
        <f>IF('Cable Info'!L496="","",CONCATENATE('Cable Info'!L496," - ",'Cable Info'!M496))</f>
        <v>495 - AW</v>
      </c>
      <c r="AM792" s="121" t="str">
        <f t="shared" si="155"/>
        <v>495 - AW</v>
      </c>
      <c r="AO792" s="121" t="str">
        <f>IF('Cable Info'!N496="","",CONCATENATE('Cable Info'!N496," - ",'Cable Info'!O496))</f>
        <v>495 - AW</v>
      </c>
      <c r="AR792" s="121" t="str">
        <f t="shared" si="156"/>
        <v>495 - AW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str">
        <f>IF('Cable Info'!L497="","",CONCATENATE('Cable Info'!L497," - ",'Cable Info'!M497))</f>
        <v>496 - AW</v>
      </c>
      <c r="AM793" s="121" t="str">
        <f t="shared" si="155"/>
        <v>496 - AW</v>
      </c>
      <c r="AO793" s="121" t="str">
        <f>IF('Cable Info'!N497="","",CONCATENATE('Cable Info'!N497," - ",'Cable Info'!O497))</f>
        <v>496 - AW</v>
      </c>
      <c r="AR793" s="121" t="str">
        <f t="shared" si="156"/>
        <v>496 - AW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str">
        <f>IF('Cable Info'!L498="","",CONCATENATE('Cable Info'!L498," - ",'Cable Info'!M498))</f>
        <v>497 - AW</v>
      </c>
      <c r="AM794" s="121" t="str">
        <f t="shared" si="155"/>
        <v>497 - AW</v>
      </c>
      <c r="AO794" s="121" t="str">
        <f>IF('Cable Info'!N498="","",CONCATENATE('Cable Info'!N498," - ",'Cable Info'!O498))</f>
        <v>497 - AW</v>
      </c>
      <c r="AR794" s="121" t="str">
        <f t="shared" si="156"/>
        <v>497 - AW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str">
        <f>IF('Cable Info'!L499="","",CONCATENATE('Cable Info'!L499," - ",'Cable Info'!M499))</f>
        <v>498 - AW</v>
      </c>
      <c r="AM795" s="121" t="str">
        <f t="shared" si="155"/>
        <v>498 - AW</v>
      </c>
      <c r="AO795" s="121" t="str">
        <f>IF('Cable Info'!N499="","",CONCATENATE('Cable Info'!N499," - ",'Cable Info'!O499))</f>
        <v>498 - AW</v>
      </c>
      <c r="AR795" s="121" t="str">
        <f t="shared" si="156"/>
        <v>498 - AW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str">
        <f>IF('Cable Info'!L500="","",CONCATENATE('Cable Info'!L500," - ",'Cable Info'!M500))</f>
        <v>499 - AW</v>
      </c>
      <c r="AM796" s="121" t="str">
        <f t="shared" si="155"/>
        <v>499 - AW</v>
      </c>
      <c r="AO796" s="121" t="str">
        <f>IF('Cable Info'!N500="","",CONCATENATE('Cable Info'!N500," - ",'Cable Info'!O500))</f>
        <v>499 - AW</v>
      </c>
      <c r="AR796" s="121" t="str">
        <f t="shared" si="156"/>
        <v>499 - AW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str">
        <f>IF('Cable Info'!L501="","",CONCATENATE('Cable Info'!L501," - ",'Cable Info'!M501))</f>
        <v>500 - AW</v>
      </c>
      <c r="AM797" s="121" t="str">
        <f t="shared" si="155"/>
        <v>500 - AW</v>
      </c>
      <c r="AO797" s="121" t="str">
        <f>IF('Cable Info'!N501="","",CONCATENATE('Cable Info'!N501," - ",'Cable Info'!O501))</f>
        <v>500 - AW</v>
      </c>
      <c r="AR797" s="121" t="str">
        <f t="shared" si="156"/>
        <v>500 - AW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str">
        <f>IF('Cable Info'!L502="","",CONCATENATE('Cable Info'!L502," - ",'Cable Info'!M502))</f>
        <v>501 - AW</v>
      </c>
      <c r="AM798" s="121" t="str">
        <f t="shared" si="155"/>
        <v>501 - AW</v>
      </c>
      <c r="AO798" s="121" t="str">
        <f>IF('Cable Info'!N502="","",CONCATENATE('Cable Info'!N502," - ",'Cable Info'!O502))</f>
        <v>501 - AW</v>
      </c>
      <c r="AR798" s="121" t="str">
        <f t="shared" si="156"/>
        <v>501 - AW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str">
        <f>IF('Cable Info'!L503="","",CONCATENATE('Cable Info'!L503," - ",'Cable Info'!M503))</f>
        <v>502 - AW</v>
      </c>
      <c r="AM799" s="121" t="str">
        <f t="shared" si="155"/>
        <v>502 - AW</v>
      </c>
      <c r="AO799" s="121" t="str">
        <f>IF('Cable Info'!N503="","",CONCATENATE('Cable Info'!N503," - ",'Cable Info'!O503))</f>
        <v>502 - AW</v>
      </c>
      <c r="AR799" s="121" t="str">
        <f t="shared" si="156"/>
        <v>502 - AW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str">
        <f>IF('Cable Info'!L504="","",CONCATENATE('Cable Info'!L504," - ",'Cable Info'!M504))</f>
        <v>503 - AW</v>
      </c>
      <c r="AM800" s="121" t="str">
        <f t="shared" si="155"/>
        <v>503 - AW</v>
      </c>
      <c r="AO800" s="121" t="str">
        <f>IF('Cable Info'!N504="","",CONCATENATE('Cable Info'!N504," - ",'Cable Info'!O504))</f>
        <v>503 - AW</v>
      </c>
      <c r="AR800" s="121" t="str">
        <f t="shared" si="156"/>
        <v>503 - AW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str">
        <f>IF('Cable Info'!L505="","",CONCATENATE('Cable Info'!L505," - ",'Cable Info'!M505))</f>
        <v>504 - AW</v>
      </c>
      <c r="AM801" s="121" t="str">
        <f t="shared" si="155"/>
        <v>504 - AW</v>
      </c>
      <c r="AO801" s="121" t="str">
        <f>IF('Cable Info'!N505="","",CONCATENATE('Cable Info'!N505," - ",'Cable Info'!O505))</f>
        <v>504 - AW</v>
      </c>
      <c r="AR801" s="121" t="str">
        <f t="shared" si="156"/>
        <v>504 - AW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str">
        <f>IF('Cable Info'!L506="","",CONCATENATE('Cable Info'!L506," - ",'Cable Info'!M506))</f>
        <v>505 - AW</v>
      </c>
      <c r="AM802" s="121" t="str">
        <f t="shared" si="155"/>
        <v>505 - AW</v>
      </c>
      <c r="AO802" s="121" t="str">
        <f>IF('Cable Info'!N506="","",CONCATENATE('Cable Info'!N506," - ",'Cable Info'!O506))</f>
        <v>505 - AW</v>
      </c>
      <c r="AR802" s="121" t="str">
        <f t="shared" si="156"/>
        <v>505 - AW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str">
        <f>IF('Cable Info'!L507="","",CONCATENATE('Cable Info'!L507," - ",'Cable Info'!M507))</f>
        <v>506 - AW</v>
      </c>
      <c r="AM803" s="121" t="str">
        <f t="shared" si="155"/>
        <v>506 - AW</v>
      </c>
      <c r="AO803" s="121" t="str">
        <f>IF('Cable Info'!N507="","",CONCATENATE('Cable Info'!N507," - ",'Cable Info'!O507))</f>
        <v>506 - AW</v>
      </c>
      <c r="AR803" s="121" t="str">
        <f t="shared" si="156"/>
        <v>506 - AW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str">
        <f>IF('Cable Info'!L508="","",CONCATENATE('Cable Info'!L508," - ",'Cable Info'!M508))</f>
        <v>507 - AW</v>
      </c>
      <c r="AM804" s="121" t="str">
        <f t="shared" si="155"/>
        <v>507 - AW</v>
      </c>
      <c r="AO804" s="121" t="str">
        <f>IF('Cable Info'!N508="","",CONCATENATE('Cable Info'!N508," - ",'Cable Info'!O508))</f>
        <v>507 - AW</v>
      </c>
      <c r="AR804" s="121" t="str">
        <f t="shared" si="156"/>
        <v>507 - AW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str">
        <f>IF('Cable Info'!L509="","",CONCATENATE('Cable Info'!L509," - ",'Cable Info'!M509))</f>
        <v>508 - AW</v>
      </c>
      <c r="AM805" s="121" t="str">
        <f t="shared" si="155"/>
        <v>508 - AW</v>
      </c>
      <c r="AO805" s="121" t="str">
        <f>IF('Cable Info'!N509="","",CONCATENATE('Cable Info'!N509," - ",'Cable Info'!O509))</f>
        <v>508 - AW</v>
      </c>
      <c r="AR805" s="121" t="str">
        <f t="shared" si="156"/>
        <v>508 - AW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str">
        <f>IF('Cable Info'!L510="","",CONCATENATE('Cable Info'!L510," - ",'Cable Info'!M510))</f>
        <v>509 - AW</v>
      </c>
      <c r="AM806" s="121" t="str">
        <f t="shared" si="155"/>
        <v>509 - AW</v>
      </c>
      <c r="AO806" s="121" t="str">
        <f>IF('Cable Info'!N510="","",CONCATENATE('Cable Info'!N510," - ",'Cable Info'!O510))</f>
        <v>509 - AW</v>
      </c>
      <c r="AR806" s="121" t="str">
        <f t="shared" si="156"/>
        <v>509 - AW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str">
        <f>IF('Cable Info'!L511="","",CONCATENATE('Cable Info'!L511," - ",'Cable Info'!M511))</f>
        <v>510 - AW</v>
      </c>
      <c r="AM807" s="121" t="str">
        <f t="shared" si="155"/>
        <v>510 - AW</v>
      </c>
      <c r="AO807" s="121" t="str">
        <f>IF('Cable Info'!N511="","",CONCATENATE('Cable Info'!N511," - ",'Cable Info'!O511))</f>
        <v>510 - AW</v>
      </c>
      <c r="AR807" s="121" t="str">
        <f t="shared" si="156"/>
        <v>510 - AW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str">
        <f>IF('Cable Info'!L512="","",CONCATENATE('Cable Info'!L512," - ",'Cable Info'!M512))</f>
        <v>511 - AW</v>
      </c>
      <c r="AM808" s="121" t="str">
        <f t="shared" si="155"/>
        <v>511 - AW</v>
      </c>
      <c r="AO808" s="121" t="str">
        <f>IF('Cable Info'!N512="","",CONCATENATE('Cable Info'!N512," - ",'Cable Info'!O512))</f>
        <v>511 - AW</v>
      </c>
      <c r="AR808" s="121" t="str">
        <f t="shared" si="156"/>
        <v>511 - AW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str">
        <f>IF('Cable Info'!L513="","",CONCATENATE('Cable Info'!L513," - ",'Cable Info'!M513))</f>
        <v>512 - AW</v>
      </c>
      <c r="AM809" s="121" t="str">
        <f t="shared" si="155"/>
        <v>512 - AW</v>
      </c>
      <c r="AO809" s="121" t="str">
        <f>IF('Cable Info'!N513="","",CONCATENATE('Cable Info'!N513," - ",'Cable Info'!O513))</f>
        <v>512 - AW</v>
      </c>
      <c r="AR809" s="121" t="str">
        <f t="shared" si="156"/>
        <v>512 - AW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str">
        <f>IF('Cable Info'!L514="","",CONCATENATE('Cable Info'!L514," - ",'Cable Info'!M514))</f>
        <v>513 - AW</v>
      </c>
      <c r="AM810" s="121" t="str">
        <f t="shared" si="155"/>
        <v>513 - AW</v>
      </c>
      <c r="AO810" s="121" t="str">
        <f>IF('Cable Info'!N514="","",CONCATENATE('Cable Info'!N514," - ",'Cable Info'!O514))</f>
        <v>513 - AW</v>
      </c>
      <c r="AR810" s="121" t="str">
        <f t="shared" si="156"/>
        <v>513 - AW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str">
        <f>IF('Cable Info'!L515="","",CONCATENATE('Cable Info'!L515," - ",'Cable Info'!M515))</f>
        <v>514 - AW</v>
      </c>
      <c r="AM811" s="121" t="str">
        <f t="shared" ref="AM811:AM874" si="161">IF(AK811="",AJ811,CONCATENATE(AJ811,"  &lt;=&gt; ",AK811," ",AL811))</f>
        <v>514 - AW</v>
      </c>
      <c r="AO811" s="121" t="str">
        <f>IF('Cable Info'!N515="","",CONCATENATE('Cable Info'!N515," - ",'Cable Info'!O515))</f>
        <v>514 - AW</v>
      </c>
      <c r="AR811" s="121" t="str">
        <f t="shared" ref="AR811:AR874" si="162">IF(AP811="",AO811,CONCATENATE(AO811,"  &lt;=&gt; ",AP811," ",AQ811))</f>
        <v>514 - AW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str">
        <f>IF('Cable Info'!L516="","",CONCATENATE('Cable Info'!L516," - ",'Cable Info'!M516))</f>
        <v>515 - AW</v>
      </c>
      <c r="AM812" s="121" t="str">
        <f t="shared" si="161"/>
        <v>515 - AW</v>
      </c>
      <c r="AO812" s="121" t="str">
        <f>IF('Cable Info'!N516="","",CONCATENATE('Cable Info'!N516," - ",'Cable Info'!O516))</f>
        <v>515 - AW</v>
      </c>
      <c r="AR812" s="121" t="str">
        <f t="shared" si="162"/>
        <v>515 - AW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str">
        <f>IF('Cable Info'!L517="","",CONCATENATE('Cable Info'!L517," - ",'Cable Info'!M517))</f>
        <v>516 - AW</v>
      </c>
      <c r="AM813" s="121" t="str">
        <f t="shared" si="161"/>
        <v>516 - AW</v>
      </c>
      <c r="AO813" s="121" t="str">
        <f>IF('Cable Info'!N517="","",CONCATENATE('Cable Info'!N517," - ",'Cable Info'!O517))</f>
        <v>516 - AW</v>
      </c>
      <c r="AR813" s="121" t="str">
        <f t="shared" si="162"/>
        <v>516 - AW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str">
        <f>IF('Cable Info'!L518="","",CONCATENATE('Cable Info'!L518," - ",'Cable Info'!M518))</f>
        <v>517 - AW</v>
      </c>
      <c r="AM814" s="121" t="str">
        <f t="shared" si="161"/>
        <v>517 - AW</v>
      </c>
      <c r="AO814" s="121" t="str">
        <f>IF('Cable Info'!N518="","",CONCATENATE('Cable Info'!N518," - ",'Cable Info'!O518))</f>
        <v>517 - AW</v>
      </c>
      <c r="AR814" s="121" t="str">
        <f t="shared" si="162"/>
        <v>517 - AW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str">
        <f>IF('Cable Info'!L519="","",CONCATENATE('Cable Info'!L519," - ",'Cable Info'!M519))</f>
        <v>518 - AW</v>
      </c>
      <c r="AM815" s="121" t="str">
        <f t="shared" si="161"/>
        <v>518 - AW</v>
      </c>
      <c r="AO815" s="121" t="str">
        <f>IF('Cable Info'!N519="","",CONCATENATE('Cable Info'!N519," - ",'Cable Info'!O519))</f>
        <v>518 - AW</v>
      </c>
      <c r="AR815" s="121" t="str">
        <f t="shared" si="162"/>
        <v>518 - AW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str">
        <f>IF('Cable Info'!L520="","",CONCATENATE('Cable Info'!L520," - ",'Cable Info'!M520))</f>
        <v>519 - AW</v>
      </c>
      <c r="AM816" s="121" t="str">
        <f t="shared" si="161"/>
        <v>519 - AW</v>
      </c>
      <c r="AO816" s="121" t="str">
        <f>IF('Cable Info'!N520="","",CONCATENATE('Cable Info'!N520," - ",'Cable Info'!O520))</f>
        <v>519 - AW</v>
      </c>
      <c r="AR816" s="121" t="str">
        <f t="shared" si="162"/>
        <v>519 - AW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str">
        <f>IF('Cable Info'!L521="","",CONCATENATE('Cable Info'!L521," - ",'Cable Info'!M521))</f>
        <v>520 - AW</v>
      </c>
      <c r="AM817" s="121" t="str">
        <f t="shared" si="161"/>
        <v>520 - AW</v>
      </c>
      <c r="AO817" s="121" t="str">
        <f>IF('Cable Info'!N521="","",CONCATENATE('Cable Info'!N521," - ",'Cable Info'!O521))</f>
        <v>520 - AW</v>
      </c>
      <c r="AR817" s="121" t="str">
        <f t="shared" si="162"/>
        <v>520 - AW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str">
        <f>IF('Cable Info'!L522="","",CONCATENATE('Cable Info'!L522," - ",'Cable Info'!M522))</f>
        <v>521 - AW</v>
      </c>
      <c r="AM818" s="121" t="str">
        <f t="shared" si="161"/>
        <v>521 - AW</v>
      </c>
      <c r="AO818" s="121" t="str">
        <f>IF('Cable Info'!N522="","",CONCATENATE('Cable Info'!N522," - ",'Cable Info'!O522))</f>
        <v>521 - AW</v>
      </c>
      <c r="AR818" s="121" t="str">
        <f t="shared" si="162"/>
        <v>521 - AW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str">
        <f>IF('Cable Info'!L523="","",CONCATENATE('Cable Info'!L523," - ",'Cable Info'!M523))</f>
        <v>522 - AW</v>
      </c>
      <c r="AM819" s="121" t="str">
        <f t="shared" si="161"/>
        <v>522 - AW</v>
      </c>
      <c r="AO819" s="121" t="str">
        <f>IF('Cable Info'!N523="","",CONCATENATE('Cable Info'!N523," - ",'Cable Info'!O523))</f>
        <v>522 - AW</v>
      </c>
      <c r="AR819" s="121" t="str">
        <f t="shared" si="162"/>
        <v>522 - AW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str">
        <f>IF('Cable Info'!L524="","",CONCATENATE('Cable Info'!L524," - ",'Cable Info'!M524))</f>
        <v>523 - AW</v>
      </c>
      <c r="AM820" s="121" t="str">
        <f t="shared" si="161"/>
        <v>523 - AW</v>
      </c>
      <c r="AO820" s="121" t="str">
        <f>IF('Cable Info'!N524="","",CONCATENATE('Cable Info'!N524," - ",'Cable Info'!O524))</f>
        <v>523 - AW</v>
      </c>
      <c r="AR820" s="121" t="str">
        <f t="shared" si="162"/>
        <v>523 - AW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str">
        <f>IF('Cable Info'!L525="","",CONCATENATE('Cable Info'!L525," - ",'Cable Info'!M525))</f>
        <v>524 - AW</v>
      </c>
      <c r="AM821" s="121" t="str">
        <f t="shared" si="161"/>
        <v>524 - AW</v>
      </c>
      <c r="AO821" s="121" t="str">
        <f>IF('Cable Info'!N525="","",CONCATENATE('Cable Info'!N525," - ",'Cable Info'!O525))</f>
        <v>524 - AW</v>
      </c>
      <c r="AR821" s="121" t="str">
        <f t="shared" si="162"/>
        <v>524 - AW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str">
        <f>IF('Cable Info'!L526="","",CONCATENATE('Cable Info'!L526," - ",'Cable Info'!M526))</f>
        <v>525 - AW</v>
      </c>
      <c r="AM822" s="121" t="str">
        <f t="shared" si="161"/>
        <v>525 - AW</v>
      </c>
      <c r="AO822" s="121" t="str">
        <f>IF('Cable Info'!N526="","",CONCATENATE('Cable Info'!N526," - ",'Cable Info'!O526))</f>
        <v>525 - AW</v>
      </c>
      <c r="AR822" s="121" t="str">
        <f t="shared" si="162"/>
        <v>525 - AW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str">
        <f>IF('Cable Info'!L527="","",CONCATENATE('Cable Info'!L527," - ",'Cable Info'!M527))</f>
        <v>526 - AW</v>
      </c>
      <c r="AM823" s="121" t="str">
        <f t="shared" si="161"/>
        <v>526 - AW</v>
      </c>
      <c r="AO823" s="121" t="str">
        <f>IF('Cable Info'!N527="","",CONCATENATE('Cable Info'!N527," - ",'Cable Info'!O527))</f>
        <v>526 - AW</v>
      </c>
      <c r="AR823" s="121" t="str">
        <f t="shared" si="162"/>
        <v>526 - AW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str">
        <f>IF('Cable Info'!L528="","",CONCATENATE('Cable Info'!L528," - ",'Cable Info'!M528))</f>
        <v>527 - AW</v>
      </c>
      <c r="AM824" s="121" t="str">
        <f t="shared" si="161"/>
        <v>527 - AW</v>
      </c>
      <c r="AO824" s="121" t="str">
        <f>IF('Cable Info'!N528="","",CONCATENATE('Cable Info'!N528," - ",'Cable Info'!O528))</f>
        <v>527 - AW</v>
      </c>
      <c r="AR824" s="121" t="str">
        <f t="shared" si="162"/>
        <v>527 - AW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str">
        <f>IF('Cable Info'!L529="","",CONCATENATE('Cable Info'!L529," - ",'Cable Info'!M529))</f>
        <v>528 - AW</v>
      </c>
      <c r="AM825" s="121" t="str">
        <f t="shared" si="161"/>
        <v>528 - AW</v>
      </c>
      <c r="AO825" s="121" t="str">
        <f>IF('Cable Info'!N529="","",CONCATENATE('Cable Info'!N529," - ",'Cable Info'!O529))</f>
        <v>528 - AW</v>
      </c>
      <c r="AR825" s="121" t="str">
        <f t="shared" si="162"/>
        <v>528 - AW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str">
        <f>IF('Cable Info'!L530="","",CONCATENATE('Cable Info'!L530," - ",'Cable Info'!M530))</f>
        <v>529 - AW</v>
      </c>
      <c r="AM826" s="121" t="str">
        <f t="shared" si="161"/>
        <v>529 - AW</v>
      </c>
      <c r="AO826" s="121" t="str">
        <f>IF('Cable Info'!N530="","",CONCATENATE('Cable Info'!N530," - ",'Cable Info'!O530))</f>
        <v>529 - AW</v>
      </c>
      <c r="AR826" s="121" t="str">
        <f t="shared" si="162"/>
        <v>529 - AW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str">
        <f>IF('Cable Info'!L531="","",CONCATENATE('Cable Info'!L531," - ",'Cable Info'!M531))</f>
        <v>530 - AW</v>
      </c>
      <c r="AM827" s="121" t="str">
        <f t="shared" si="161"/>
        <v>530 - AW</v>
      </c>
      <c r="AO827" s="121" t="str">
        <f>IF('Cable Info'!N531="","",CONCATENATE('Cable Info'!N531," - ",'Cable Info'!O531))</f>
        <v>530 - AW</v>
      </c>
      <c r="AR827" s="121" t="str">
        <f t="shared" si="162"/>
        <v>530 - AW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str">
        <f>IF('Cable Info'!L532="","",CONCATENATE('Cable Info'!L532," - ",'Cable Info'!M532))</f>
        <v>531 - AW</v>
      </c>
      <c r="AM828" s="121" t="str">
        <f t="shared" si="161"/>
        <v>531 - AW</v>
      </c>
      <c r="AO828" s="121" t="str">
        <f>IF('Cable Info'!N532="","",CONCATENATE('Cable Info'!N532," - ",'Cable Info'!O532))</f>
        <v>531 - AW</v>
      </c>
      <c r="AR828" s="121" t="str">
        <f t="shared" si="162"/>
        <v>531 - AW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str">
        <f>IF('Cable Info'!L533="","",CONCATENATE('Cable Info'!L533," - ",'Cable Info'!M533))</f>
        <v>532 - AW</v>
      </c>
      <c r="AM829" s="121" t="str">
        <f t="shared" si="161"/>
        <v>532 - AW</v>
      </c>
      <c r="AO829" s="121" t="str">
        <f>IF('Cable Info'!N533="","",CONCATENATE('Cable Info'!N533," - ",'Cable Info'!O533))</f>
        <v>532 - AW</v>
      </c>
      <c r="AR829" s="121" t="str">
        <f t="shared" si="162"/>
        <v>532 - AW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str">
        <f>IF('Cable Info'!L534="","",CONCATENATE('Cable Info'!L534," - ",'Cable Info'!M534))</f>
        <v>533 - AW</v>
      </c>
      <c r="AM830" s="121" t="str">
        <f t="shared" si="161"/>
        <v>533 - AW</v>
      </c>
      <c r="AO830" s="121" t="str">
        <f>IF('Cable Info'!N534="","",CONCATENATE('Cable Info'!N534," - ",'Cable Info'!O534))</f>
        <v>533 - AW</v>
      </c>
      <c r="AR830" s="121" t="str">
        <f t="shared" si="162"/>
        <v>533 - AW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str">
        <f>IF('Cable Info'!L535="","",CONCATENATE('Cable Info'!L535," - ",'Cable Info'!M535))</f>
        <v>534 - AW</v>
      </c>
      <c r="AM831" s="121" t="str">
        <f t="shared" si="161"/>
        <v>534 - AW</v>
      </c>
      <c r="AO831" s="121" t="str">
        <f>IF('Cable Info'!N535="","",CONCATENATE('Cable Info'!N535," - ",'Cable Info'!O535))</f>
        <v>534 - AW</v>
      </c>
      <c r="AR831" s="121" t="str">
        <f t="shared" si="162"/>
        <v>534 - AW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str">
        <f>IF('Cable Info'!L536="","",CONCATENATE('Cable Info'!L536," - ",'Cable Info'!M536))</f>
        <v>535 - AW</v>
      </c>
      <c r="AM832" s="121" t="str">
        <f t="shared" si="161"/>
        <v>535 - AW</v>
      </c>
      <c r="AO832" s="121" t="str">
        <f>IF('Cable Info'!N536="","",CONCATENATE('Cable Info'!N536," - ",'Cable Info'!O536))</f>
        <v>535 - AW</v>
      </c>
      <c r="AR832" s="121" t="str">
        <f t="shared" si="162"/>
        <v>535 - AW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str">
        <f>IF('Cable Info'!L537="","",CONCATENATE('Cable Info'!L537," - ",'Cable Info'!M537))</f>
        <v>536 - AW</v>
      </c>
      <c r="AM833" s="121" t="str">
        <f t="shared" si="161"/>
        <v>536 - AW</v>
      </c>
      <c r="AO833" s="121" t="str">
        <f>IF('Cable Info'!N537="","",CONCATENATE('Cable Info'!N537," - ",'Cable Info'!O537))</f>
        <v>536 - AW</v>
      </c>
      <c r="AR833" s="121" t="str">
        <f t="shared" si="162"/>
        <v>536 - AW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str">
        <f>IF('Cable Info'!L538="","",CONCATENATE('Cable Info'!L538," - ",'Cable Info'!M538))</f>
        <v>537 - AW</v>
      </c>
      <c r="AM834" s="121" t="str">
        <f t="shared" si="161"/>
        <v>537 - AW</v>
      </c>
      <c r="AO834" s="121" t="str">
        <f>IF('Cable Info'!N538="","",CONCATENATE('Cable Info'!N538," - ",'Cable Info'!O538))</f>
        <v>537 - AW</v>
      </c>
      <c r="AR834" s="121" t="str">
        <f t="shared" si="162"/>
        <v>537 - AW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str">
        <f>IF('Cable Info'!L539="","",CONCATENATE('Cable Info'!L539," - ",'Cable Info'!M539))</f>
        <v>538 - AW</v>
      </c>
      <c r="AM835" s="121" t="str">
        <f t="shared" si="161"/>
        <v>538 - AW</v>
      </c>
      <c r="AO835" s="121" t="str">
        <f>IF('Cable Info'!N539="","",CONCATENATE('Cable Info'!N539," - ",'Cable Info'!O539))</f>
        <v>538 - AW</v>
      </c>
      <c r="AR835" s="121" t="str">
        <f t="shared" si="162"/>
        <v>538 - AW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str">
        <f>IF('Cable Info'!L540="","",CONCATENATE('Cable Info'!L540," - ",'Cable Info'!M540))</f>
        <v>539 - AW</v>
      </c>
      <c r="AM836" s="121" t="str">
        <f t="shared" si="161"/>
        <v>539 - AW</v>
      </c>
      <c r="AO836" s="121" t="str">
        <f>IF('Cable Info'!N540="","",CONCATENATE('Cable Info'!N540," - ",'Cable Info'!O540))</f>
        <v>539 - AW</v>
      </c>
      <c r="AR836" s="121" t="str">
        <f t="shared" si="162"/>
        <v>539 - AW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str">
        <f>IF('Cable Info'!L541="","",CONCATENATE('Cable Info'!L541," - ",'Cable Info'!M541))</f>
        <v>540 - AW</v>
      </c>
      <c r="AM837" s="121" t="str">
        <f t="shared" si="161"/>
        <v>540 - AW</v>
      </c>
      <c r="AO837" s="121" t="str">
        <f>IF('Cable Info'!N541="","",CONCATENATE('Cable Info'!N541," - ",'Cable Info'!O541))</f>
        <v>540 - AW</v>
      </c>
      <c r="AR837" s="121" t="str">
        <f t="shared" si="162"/>
        <v>540 - AW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str">
        <f>IF('Cable Info'!L542="","",CONCATENATE('Cable Info'!L542," - ",'Cable Info'!M542))</f>
        <v>541 - AW</v>
      </c>
      <c r="AM838" s="121" t="str">
        <f t="shared" si="161"/>
        <v>541 - AW</v>
      </c>
      <c r="AO838" s="121" t="str">
        <f>IF('Cable Info'!N542="","",CONCATENATE('Cable Info'!N542," - ",'Cable Info'!O542))</f>
        <v>541 - AW</v>
      </c>
      <c r="AR838" s="121" t="str">
        <f t="shared" si="162"/>
        <v>541 - AW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str">
        <f>IF('Cable Info'!L543="","",CONCATENATE('Cable Info'!L543," - ",'Cable Info'!M543))</f>
        <v>542 - AW</v>
      </c>
      <c r="AM839" s="121" t="str">
        <f t="shared" si="161"/>
        <v>542 - AW</v>
      </c>
      <c r="AO839" s="121" t="str">
        <f>IF('Cable Info'!N543="","",CONCATENATE('Cable Info'!N543," - ",'Cable Info'!O543))</f>
        <v>542 - AW</v>
      </c>
      <c r="AR839" s="121" t="str">
        <f t="shared" si="162"/>
        <v>542 - AW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str">
        <f>IF('Cable Info'!L544="","",CONCATENATE('Cable Info'!L544," - ",'Cable Info'!M544))</f>
        <v>543 - AW</v>
      </c>
      <c r="AM840" s="121" t="str">
        <f t="shared" si="161"/>
        <v>543 - AW</v>
      </c>
      <c r="AO840" s="121" t="str">
        <f>IF('Cable Info'!N544="","",CONCATENATE('Cable Info'!N544," - ",'Cable Info'!O544))</f>
        <v>543 - AW</v>
      </c>
      <c r="AR840" s="121" t="str">
        <f t="shared" si="162"/>
        <v>543 - AW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str">
        <f>IF('Cable Info'!L545="","",CONCATENATE('Cable Info'!L545," - ",'Cable Info'!M545))</f>
        <v>544 - AW</v>
      </c>
      <c r="AM841" s="121" t="str">
        <f t="shared" si="161"/>
        <v>544 - AW</v>
      </c>
      <c r="AO841" s="121" t="str">
        <f>IF('Cable Info'!N545="","",CONCATENATE('Cable Info'!N545," - ",'Cable Info'!O545))</f>
        <v>544 - AW</v>
      </c>
      <c r="AR841" s="121" t="str">
        <f t="shared" si="162"/>
        <v>544 - AW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str">
        <f>IF('Cable Info'!L546="","",CONCATENATE('Cable Info'!L546," - ",'Cable Info'!M546))</f>
        <v>545 - AW</v>
      </c>
      <c r="AM842" s="121" t="str">
        <f t="shared" si="161"/>
        <v>545 - AW</v>
      </c>
      <c r="AO842" s="121" t="str">
        <f>IF('Cable Info'!N546="","",CONCATENATE('Cable Info'!N546," - ",'Cable Info'!O546))</f>
        <v>545 - AW</v>
      </c>
      <c r="AR842" s="121" t="str">
        <f t="shared" si="162"/>
        <v>545 - AW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str">
        <f>IF('Cable Info'!L547="","",CONCATENATE('Cable Info'!L547," - ",'Cable Info'!M547))</f>
        <v>546 - AW</v>
      </c>
      <c r="AM843" s="121" t="str">
        <f t="shared" si="161"/>
        <v>546 - AW</v>
      </c>
      <c r="AO843" s="121" t="str">
        <f>IF('Cable Info'!N547="","",CONCATENATE('Cable Info'!N547," - ",'Cable Info'!O547))</f>
        <v>546 - AW</v>
      </c>
      <c r="AR843" s="121" t="str">
        <f t="shared" si="162"/>
        <v>546 - AW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str">
        <f>IF('Cable Info'!L548="","",CONCATENATE('Cable Info'!L548," - ",'Cable Info'!M548))</f>
        <v>547 - AW</v>
      </c>
      <c r="AM844" s="121" t="str">
        <f t="shared" si="161"/>
        <v>547 - AW</v>
      </c>
      <c r="AO844" s="121" t="str">
        <f>IF('Cable Info'!N548="","",CONCATENATE('Cable Info'!N548," - ",'Cable Info'!O548))</f>
        <v>547 - AW</v>
      </c>
      <c r="AR844" s="121" t="str">
        <f t="shared" si="162"/>
        <v>547 - AW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str">
        <f>IF('Cable Info'!L549="","",CONCATENATE('Cable Info'!L549," - ",'Cable Info'!M549))</f>
        <v>548 - AW</v>
      </c>
      <c r="AM845" s="121" t="str">
        <f t="shared" si="161"/>
        <v>548 - AW</v>
      </c>
      <c r="AO845" s="121" t="str">
        <f>IF('Cable Info'!N549="","",CONCATENATE('Cable Info'!N549," - ",'Cable Info'!O549))</f>
        <v>548 - AW</v>
      </c>
      <c r="AR845" s="121" t="str">
        <f t="shared" si="162"/>
        <v>548 - AW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str">
        <f>IF('Cable Info'!L550="","",CONCATENATE('Cable Info'!L550," - ",'Cable Info'!M550))</f>
        <v>549 - AW</v>
      </c>
      <c r="AM846" s="121" t="str">
        <f t="shared" si="161"/>
        <v>549 - AW</v>
      </c>
      <c r="AO846" s="121" t="str">
        <f>IF('Cable Info'!N550="","",CONCATENATE('Cable Info'!N550," - ",'Cable Info'!O550))</f>
        <v>549 - AW</v>
      </c>
      <c r="AR846" s="121" t="str">
        <f t="shared" si="162"/>
        <v>549 - AW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str">
        <f>IF('Cable Info'!L551="","",CONCATENATE('Cable Info'!L551," - ",'Cable Info'!M551))</f>
        <v>550 - AW</v>
      </c>
      <c r="AM847" s="121" t="str">
        <f t="shared" si="161"/>
        <v>550 - AW</v>
      </c>
      <c r="AO847" s="121" t="str">
        <f>IF('Cable Info'!N551="","",CONCATENATE('Cable Info'!N551," - ",'Cable Info'!O551))</f>
        <v>550 - AW</v>
      </c>
      <c r="AR847" s="121" t="str">
        <f t="shared" si="162"/>
        <v>550 - AW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str">
        <f>IF('Cable Info'!L552="","",CONCATENATE('Cable Info'!L552," - ",'Cable Info'!M552))</f>
        <v>551 - AW</v>
      </c>
      <c r="AM848" s="121" t="str">
        <f t="shared" si="161"/>
        <v>551 - AW</v>
      </c>
      <c r="AO848" s="121" t="str">
        <f>IF('Cable Info'!N552="","",CONCATENATE('Cable Info'!N552," - ",'Cable Info'!O552))</f>
        <v>551 - AW</v>
      </c>
      <c r="AR848" s="121" t="str">
        <f t="shared" si="162"/>
        <v>551 - AW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str">
        <f>IF('Cable Info'!L553="","",CONCATENATE('Cable Info'!L553," - ",'Cable Info'!M553))</f>
        <v>552 - AW</v>
      </c>
      <c r="AM849" s="121" t="str">
        <f t="shared" si="161"/>
        <v>552 - AW</v>
      </c>
      <c r="AO849" s="121" t="str">
        <f>IF('Cable Info'!N553="","",CONCATENATE('Cable Info'!N553," - ",'Cable Info'!O553))</f>
        <v>552 - AW</v>
      </c>
      <c r="AR849" s="121" t="str">
        <f t="shared" si="162"/>
        <v>552 - AW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str">
        <f>IF('Cable Info'!L554="","",CONCATENATE('Cable Info'!L554," - ",'Cable Info'!M554))</f>
        <v>553 - AW</v>
      </c>
      <c r="AM850" s="121" t="str">
        <f t="shared" si="161"/>
        <v>553 - AW</v>
      </c>
      <c r="AO850" s="121" t="str">
        <f>IF('Cable Info'!N554="","",CONCATENATE('Cable Info'!N554," - ",'Cable Info'!O554))</f>
        <v>553 - AW</v>
      </c>
      <c r="AR850" s="121" t="str">
        <f t="shared" si="162"/>
        <v>553 - AW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str">
        <f>IF('Cable Info'!L555="","",CONCATENATE('Cable Info'!L555," - ",'Cable Info'!M555))</f>
        <v>554 - AW</v>
      </c>
      <c r="AM851" s="121" t="str">
        <f t="shared" si="161"/>
        <v>554 - AW</v>
      </c>
      <c r="AO851" s="121" t="str">
        <f>IF('Cable Info'!N555="","",CONCATENATE('Cable Info'!N555," - ",'Cable Info'!O555))</f>
        <v>554 - AW</v>
      </c>
      <c r="AR851" s="121" t="str">
        <f t="shared" si="162"/>
        <v>554 - AW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str">
        <f>IF('Cable Info'!L556="","",CONCATENATE('Cable Info'!L556," - ",'Cable Info'!M556))</f>
        <v>555 - AW</v>
      </c>
      <c r="AM852" s="121" t="str">
        <f t="shared" si="161"/>
        <v>555 - AW</v>
      </c>
      <c r="AO852" s="121" t="str">
        <f>IF('Cable Info'!N556="","",CONCATENATE('Cable Info'!N556," - ",'Cable Info'!O556))</f>
        <v>555 - AW</v>
      </c>
      <c r="AR852" s="121" t="str">
        <f t="shared" si="162"/>
        <v>555 - AW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str">
        <f>IF('Cable Info'!L557="","",CONCATENATE('Cable Info'!L557," - ",'Cable Info'!M557))</f>
        <v>556 - AW</v>
      </c>
      <c r="AM853" s="121" t="str">
        <f t="shared" si="161"/>
        <v>556 - AW</v>
      </c>
      <c r="AO853" s="121" t="str">
        <f>IF('Cable Info'!N557="","",CONCATENATE('Cable Info'!N557," - ",'Cable Info'!O557))</f>
        <v>556 - AW</v>
      </c>
      <c r="AR853" s="121" t="str">
        <f t="shared" si="162"/>
        <v>556 - AW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str">
        <f>IF('Cable Info'!L558="","",CONCATENATE('Cable Info'!L558," - ",'Cable Info'!M558))</f>
        <v>557 - AW</v>
      </c>
      <c r="AM854" s="121" t="str">
        <f t="shared" si="161"/>
        <v>557 - AW</v>
      </c>
      <c r="AO854" s="121" t="str">
        <f>IF('Cable Info'!N558="","",CONCATENATE('Cable Info'!N558," - ",'Cable Info'!O558))</f>
        <v>557 - AW</v>
      </c>
      <c r="AR854" s="121" t="str">
        <f t="shared" si="162"/>
        <v>557 - AW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str">
        <f>IF('Cable Info'!L559="","",CONCATENATE('Cable Info'!L559," - ",'Cable Info'!M559))</f>
        <v>558 - AW</v>
      </c>
      <c r="AM855" s="121" t="str">
        <f t="shared" si="161"/>
        <v>558 - AW</v>
      </c>
      <c r="AO855" s="121" t="str">
        <f>IF('Cable Info'!N559="","",CONCATENATE('Cable Info'!N559," - ",'Cable Info'!O559))</f>
        <v>558 - AW</v>
      </c>
      <c r="AR855" s="121" t="str">
        <f t="shared" si="162"/>
        <v>558 - AW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str">
        <f>IF('Cable Info'!L560="","",CONCATENATE('Cable Info'!L560," - ",'Cable Info'!M560))</f>
        <v>559 - AW</v>
      </c>
      <c r="AM856" s="121" t="str">
        <f t="shared" si="161"/>
        <v>559 - AW</v>
      </c>
      <c r="AO856" s="121" t="str">
        <f>IF('Cable Info'!N560="","",CONCATENATE('Cable Info'!N560," - ",'Cable Info'!O560))</f>
        <v>559 - AW</v>
      </c>
      <c r="AR856" s="121" t="str">
        <f t="shared" si="162"/>
        <v>559 - AW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str">
        <f>IF('Cable Info'!L561="","",CONCATENATE('Cable Info'!L561," - ",'Cable Info'!M561))</f>
        <v>560 - AW</v>
      </c>
      <c r="AM857" s="121" t="str">
        <f t="shared" si="161"/>
        <v>560 - AW</v>
      </c>
      <c r="AO857" s="121" t="str">
        <f>IF('Cable Info'!N561="","",CONCATENATE('Cable Info'!N561," - ",'Cable Info'!O561))</f>
        <v>560 - AW</v>
      </c>
      <c r="AR857" s="121" t="str">
        <f t="shared" si="162"/>
        <v>560 - AW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str">
        <f>IF('Cable Info'!L562="","",CONCATENATE('Cable Info'!L562," - ",'Cable Info'!M562))</f>
        <v>561 - AW</v>
      </c>
      <c r="AM858" s="121" t="str">
        <f t="shared" si="161"/>
        <v>561 - AW</v>
      </c>
      <c r="AO858" s="121" t="str">
        <f>IF('Cable Info'!N562="","",CONCATENATE('Cable Info'!N562," - ",'Cable Info'!O562))</f>
        <v>561 - AW</v>
      </c>
      <c r="AR858" s="121" t="str">
        <f t="shared" si="162"/>
        <v>561 - AW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str">
        <f>IF('Cable Info'!L563="","",CONCATENATE('Cable Info'!L563," - ",'Cable Info'!M563))</f>
        <v>562 - AW</v>
      </c>
      <c r="AM859" s="121" t="str">
        <f t="shared" si="161"/>
        <v>562 - AW</v>
      </c>
      <c r="AO859" s="121" t="str">
        <f>IF('Cable Info'!N563="","",CONCATENATE('Cable Info'!N563," - ",'Cable Info'!O563))</f>
        <v>562 - AW</v>
      </c>
      <c r="AR859" s="121" t="str">
        <f t="shared" si="162"/>
        <v>562 - AW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str">
        <f>IF('Cable Info'!L564="","",CONCATENATE('Cable Info'!L564," - ",'Cable Info'!M564))</f>
        <v>563 - AW</v>
      </c>
      <c r="AM860" s="121" t="str">
        <f t="shared" si="161"/>
        <v>563 - AW</v>
      </c>
      <c r="AO860" s="121" t="str">
        <f>IF('Cable Info'!N564="","",CONCATENATE('Cable Info'!N564," - ",'Cable Info'!O564))</f>
        <v>563 - AW</v>
      </c>
      <c r="AR860" s="121" t="str">
        <f t="shared" si="162"/>
        <v>563 - AW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str">
        <f>IF('Cable Info'!L565="","",CONCATENATE('Cable Info'!L565," - ",'Cable Info'!M565))</f>
        <v>564 - AW</v>
      </c>
      <c r="AM861" s="121" t="str">
        <f t="shared" si="161"/>
        <v>564 - AW</v>
      </c>
      <c r="AO861" s="121" t="str">
        <f>IF('Cable Info'!N565="","",CONCATENATE('Cable Info'!N565," - ",'Cable Info'!O565))</f>
        <v>564 - AW</v>
      </c>
      <c r="AR861" s="121" t="str">
        <f t="shared" si="162"/>
        <v>564 - AW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str">
        <f>IF('Cable Info'!L566="","",CONCATENATE('Cable Info'!L566," - ",'Cable Info'!M566))</f>
        <v>565 - AW</v>
      </c>
      <c r="AM862" s="121" t="str">
        <f t="shared" si="161"/>
        <v>565 - AW</v>
      </c>
      <c r="AO862" s="121" t="str">
        <f>IF('Cable Info'!N566="","",CONCATENATE('Cable Info'!N566," - ",'Cable Info'!O566))</f>
        <v>565 - AW</v>
      </c>
      <c r="AR862" s="121" t="str">
        <f t="shared" si="162"/>
        <v>565 - AW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str">
        <f>IF('Cable Info'!L567="","",CONCATENATE('Cable Info'!L567," - ",'Cable Info'!M567))</f>
        <v>566 - AW</v>
      </c>
      <c r="AM863" s="121" t="str">
        <f t="shared" si="161"/>
        <v>566 - AW</v>
      </c>
      <c r="AO863" s="121" t="str">
        <f>IF('Cable Info'!N567="","",CONCATENATE('Cable Info'!N567," - ",'Cable Info'!O567))</f>
        <v>566 - AW</v>
      </c>
      <c r="AR863" s="121" t="str">
        <f t="shared" si="162"/>
        <v>566 - AW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str">
        <f>IF('Cable Info'!L568="","",CONCATENATE('Cable Info'!L568," - ",'Cable Info'!M568))</f>
        <v>567 - AW</v>
      </c>
      <c r="AM864" s="121" t="str">
        <f t="shared" si="161"/>
        <v>567 - AW</v>
      </c>
      <c r="AO864" s="121" t="str">
        <f>IF('Cable Info'!N568="","",CONCATENATE('Cable Info'!N568," - ",'Cable Info'!O568))</f>
        <v>567 - AW</v>
      </c>
      <c r="AR864" s="121" t="str">
        <f t="shared" si="162"/>
        <v>567 - AW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str">
        <f>IF('Cable Info'!L569="","",CONCATENATE('Cable Info'!L569," - ",'Cable Info'!M569))</f>
        <v>568 - AW</v>
      </c>
      <c r="AM865" s="121" t="str">
        <f t="shared" si="161"/>
        <v>568 - AW</v>
      </c>
      <c r="AO865" s="121" t="str">
        <f>IF('Cable Info'!N569="","",CONCATENATE('Cable Info'!N569," - ",'Cable Info'!O569))</f>
        <v>568 - AW</v>
      </c>
      <c r="AR865" s="121" t="str">
        <f t="shared" si="162"/>
        <v>568 - AW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str">
        <f>IF('Cable Info'!L570="","",CONCATENATE('Cable Info'!L570," - ",'Cable Info'!M570))</f>
        <v>569 - AW</v>
      </c>
      <c r="AM866" s="121" t="str">
        <f t="shared" si="161"/>
        <v>569 - AW</v>
      </c>
      <c r="AO866" s="121" t="str">
        <f>IF('Cable Info'!N570="","",CONCATENATE('Cable Info'!N570," - ",'Cable Info'!O570))</f>
        <v>569 - AW</v>
      </c>
      <c r="AR866" s="121" t="str">
        <f t="shared" si="162"/>
        <v>569 - AW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str">
        <f>IF('Cable Info'!L571="","",CONCATENATE('Cable Info'!L571," - ",'Cable Info'!M571))</f>
        <v>570 - AW</v>
      </c>
      <c r="AM867" s="121" t="str">
        <f t="shared" si="161"/>
        <v>570 - AW</v>
      </c>
      <c r="AO867" s="121" t="str">
        <f>IF('Cable Info'!N571="","",CONCATENATE('Cable Info'!N571," - ",'Cable Info'!O571))</f>
        <v>570 - AW</v>
      </c>
      <c r="AR867" s="121" t="str">
        <f t="shared" si="162"/>
        <v>570 - AW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str">
        <f>IF('Cable Info'!L572="","",CONCATENATE('Cable Info'!L572," - ",'Cable Info'!M572))</f>
        <v>571 - AW</v>
      </c>
      <c r="AM868" s="121" t="str">
        <f t="shared" si="161"/>
        <v>571 - AW</v>
      </c>
      <c r="AO868" s="121" t="str">
        <f>IF('Cable Info'!N572="","",CONCATENATE('Cable Info'!N572," - ",'Cable Info'!O572))</f>
        <v>571 - AW</v>
      </c>
      <c r="AR868" s="121" t="str">
        <f t="shared" si="162"/>
        <v>571 - AW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str">
        <f>IF('Cable Info'!L573="","",CONCATENATE('Cable Info'!L573," - ",'Cable Info'!M573))</f>
        <v>572 - AW</v>
      </c>
      <c r="AM869" s="121" t="str">
        <f t="shared" si="161"/>
        <v>572 - AW</v>
      </c>
      <c r="AO869" s="121" t="str">
        <f>IF('Cable Info'!N573="","",CONCATENATE('Cable Info'!N573," - ",'Cable Info'!O573))</f>
        <v>572 - AW</v>
      </c>
      <c r="AR869" s="121" t="str">
        <f t="shared" si="162"/>
        <v>572 - AW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str">
        <f>IF('Cable Info'!L574="","",CONCATENATE('Cable Info'!L574," - ",'Cable Info'!M574))</f>
        <v>573 - AW</v>
      </c>
      <c r="AM870" s="121" t="str">
        <f t="shared" si="161"/>
        <v>573 - AW</v>
      </c>
      <c r="AO870" s="121" t="str">
        <f>IF('Cable Info'!N574="","",CONCATENATE('Cable Info'!N574," - ",'Cable Info'!O574))</f>
        <v>573 - AW</v>
      </c>
      <c r="AR870" s="121" t="str">
        <f t="shared" si="162"/>
        <v>573 - AW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str">
        <f>IF('Cable Info'!L575="","",CONCATENATE('Cable Info'!L575," - ",'Cable Info'!M575))</f>
        <v>574 - AW</v>
      </c>
      <c r="AM871" s="121" t="str">
        <f t="shared" si="161"/>
        <v>574 - AW</v>
      </c>
      <c r="AO871" s="121" t="str">
        <f>IF('Cable Info'!N575="","",CONCATENATE('Cable Info'!N575," - ",'Cable Info'!O575))</f>
        <v>574 - AW</v>
      </c>
      <c r="AR871" s="121" t="str">
        <f t="shared" si="162"/>
        <v>574 - AW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str">
        <f>IF('Cable Info'!L576="","",CONCATENATE('Cable Info'!L576," - ",'Cable Info'!M576))</f>
        <v>575 - AW</v>
      </c>
      <c r="AM872" s="121" t="str">
        <f t="shared" si="161"/>
        <v>575 - AW</v>
      </c>
      <c r="AO872" s="121" t="str">
        <f>IF('Cable Info'!N576="","",CONCATENATE('Cable Info'!N576," - ",'Cable Info'!O576))</f>
        <v>575 - AW</v>
      </c>
      <c r="AR872" s="121" t="str">
        <f t="shared" si="162"/>
        <v>575 - AW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str">
        <f>IF('Cable Info'!L577="","",CONCATENATE('Cable Info'!L577," - ",'Cable Info'!M577))</f>
        <v>576 - AW</v>
      </c>
      <c r="AM873" s="121" t="str">
        <f t="shared" si="161"/>
        <v>576 - AW</v>
      </c>
      <c r="AO873" s="121" t="str">
        <f>IF('Cable Info'!N577="","",CONCATENATE('Cable Info'!N577," - ",'Cable Info'!O577))</f>
        <v>576 - AW</v>
      </c>
      <c r="AR873" s="121" t="str">
        <f t="shared" si="162"/>
        <v>576 - AW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str">
        <f>IF('Cable Info'!L578="","",CONCATENATE('Cable Info'!L578," - ",'Cable Info'!M578))</f>
        <v>577 - AW</v>
      </c>
      <c r="AM874" s="121" t="str">
        <f t="shared" si="161"/>
        <v>577 - AW</v>
      </c>
      <c r="AO874" s="121" t="str">
        <f>IF('Cable Info'!N578="","",CONCATENATE('Cable Info'!N578," - ",'Cable Info'!O578))</f>
        <v>577 - AW</v>
      </c>
      <c r="AR874" s="121" t="str">
        <f t="shared" si="162"/>
        <v>577 - AW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str">
        <f>IF('Cable Info'!L579="","",CONCATENATE('Cable Info'!L579," - ",'Cable Info'!M579))</f>
        <v>578 - AW</v>
      </c>
      <c r="AM875" s="121" t="str">
        <f t="shared" ref="AM875:AM938" si="167">IF(AK875="",AJ875,CONCATENATE(AJ875,"  &lt;=&gt; ",AK875," ",AL875))</f>
        <v>578 - AW</v>
      </c>
      <c r="AO875" s="121" t="str">
        <f>IF('Cable Info'!N579="","",CONCATENATE('Cable Info'!N579," - ",'Cable Info'!O579))</f>
        <v>578 - AW</v>
      </c>
      <c r="AR875" s="121" t="str">
        <f t="shared" ref="AR875:AR938" si="168">IF(AP875="",AO875,CONCATENATE(AO875,"  &lt;=&gt; ",AP875," ",AQ875))</f>
        <v>578 - AW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str">
        <f>IF('Cable Info'!L580="","",CONCATENATE('Cable Info'!L580," - ",'Cable Info'!M580))</f>
        <v>579 - AW</v>
      </c>
      <c r="AM876" s="121" t="str">
        <f t="shared" si="167"/>
        <v>579 - AW</v>
      </c>
      <c r="AO876" s="121" t="str">
        <f>IF('Cable Info'!N580="","",CONCATENATE('Cable Info'!N580," - ",'Cable Info'!O580))</f>
        <v>579 - AW</v>
      </c>
      <c r="AR876" s="121" t="str">
        <f t="shared" si="168"/>
        <v>579 - AW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str">
        <f>IF('Cable Info'!L581="","",CONCATENATE('Cable Info'!L581," - ",'Cable Info'!M581))</f>
        <v>580 - AW</v>
      </c>
      <c r="AM877" s="121" t="str">
        <f t="shared" si="167"/>
        <v>580 - AW</v>
      </c>
      <c r="AO877" s="121" t="str">
        <f>IF('Cable Info'!N581="","",CONCATENATE('Cable Info'!N581," - ",'Cable Info'!O581))</f>
        <v>580 - AW</v>
      </c>
      <c r="AR877" s="121" t="str">
        <f t="shared" si="168"/>
        <v>580 - AW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str">
        <f>IF('Cable Info'!L582="","",CONCATENATE('Cable Info'!L582," - ",'Cable Info'!M582))</f>
        <v>581 - AW</v>
      </c>
      <c r="AM878" s="121" t="str">
        <f t="shared" si="167"/>
        <v>581 - AW</v>
      </c>
      <c r="AO878" s="121" t="str">
        <f>IF('Cable Info'!N582="","",CONCATENATE('Cable Info'!N582," - ",'Cable Info'!O582))</f>
        <v>581 - AW</v>
      </c>
      <c r="AR878" s="121" t="str">
        <f t="shared" si="168"/>
        <v>581 - AW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str">
        <f>IF('Cable Info'!L583="","",CONCATENATE('Cable Info'!L583," - ",'Cable Info'!M583))</f>
        <v>582 - AW</v>
      </c>
      <c r="AM879" s="121" t="str">
        <f t="shared" si="167"/>
        <v>582 - AW</v>
      </c>
      <c r="AO879" s="121" t="str">
        <f>IF('Cable Info'!N583="","",CONCATENATE('Cable Info'!N583," - ",'Cable Info'!O583))</f>
        <v>582 - AW</v>
      </c>
      <c r="AR879" s="121" t="str">
        <f t="shared" si="168"/>
        <v>582 - AW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str">
        <f>IF('Cable Info'!L584="","",CONCATENATE('Cable Info'!L584," - ",'Cable Info'!M584))</f>
        <v>583 - AW</v>
      </c>
      <c r="AM880" s="121" t="str">
        <f t="shared" si="167"/>
        <v>583 - AW</v>
      </c>
      <c r="AO880" s="121" t="str">
        <f>IF('Cable Info'!N584="","",CONCATENATE('Cable Info'!N584," - ",'Cable Info'!O584))</f>
        <v>583 - AW</v>
      </c>
      <c r="AR880" s="121" t="str">
        <f t="shared" si="168"/>
        <v>583 - AW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str">
        <f>IF('Cable Info'!L585="","",CONCATENATE('Cable Info'!L585," - ",'Cable Info'!M585))</f>
        <v>584 - AW</v>
      </c>
      <c r="AM881" s="121" t="str">
        <f t="shared" si="167"/>
        <v>584 - AW</v>
      </c>
      <c r="AO881" s="121" t="str">
        <f>IF('Cable Info'!N585="","",CONCATENATE('Cable Info'!N585," - ",'Cable Info'!O585))</f>
        <v>584 - AW</v>
      </c>
      <c r="AR881" s="121" t="str">
        <f t="shared" si="168"/>
        <v>584 - AW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str">
        <f>IF('Cable Info'!L586="","",CONCATENATE('Cable Info'!L586," - ",'Cable Info'!M586))</f>
        <v>585 - AW</v>
      </c>
      <c r="AM882" s="121" t="str">
        <f t="shared" si="167"/>
        <v>585 - AW</v>
      </c>
      <c r="AO882" s="121" t="str">
        <f>IF('Cable Info'!N586="","",CONCATENATE('Cable Info'!N586," - ",'Cable Info'!O586))</f>
        <v>585 - AW</v>
      </c>
      <c r="AR882" s="121" t="str">
        <f t="shared" si="168"/>
        <v>585 - AW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str">
        <f>IF('Cable Info'!L587="","",CONCATENATE('Cable Info'!L587," - ",'Cable Info'!M587))</f>
        <v>586 - AW</v>
      </c>
      <c r="AM883" s="121" t="str">
        <f t="shared" si="167"/>
        <v>586 - AW</v>
      </c>
      <c r="AO883" s="121" t="str">
        <f>IF('Cable Info'!N587="","",CONCATENATE('Cable Info'!N587," - ",'Cable Info'!O587))</f>
        <v>586 - AW</v>
      </c>
      <c r="AR883" s="121" t="str">
        <f t="shared" si="168"/>
        <v>586 - AW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str">
        <f>IF('Cable Info'!L588="","",CONCATENATE('Cable Info'!L588," - ",'Cable Info'!M588))</f>
        <v>587 - AW</v>
      </c>
      <c r="AM884" s="121" t="str">
        <f t="shared" si="167"/>
        <v>587 - AW</v>
      </c>
      <c r="AO884" s="121" t="str">
        <f>IF('Cable Info'!N588="","",CONCATENATE('Cable Info'!N588," - ",'Cable Info'!O588))</f>
        <v>587 - AW</v>
      </c>
      <c r="AR884" s="121" t="str">
        <f t="shared" si="168"/>
        <v>587 - AW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str">
        <f>IF('Cable Info'!L589="","",CONCATENATE('Cable Info'!L589," - ",'Cable Info'!M589))</f>
        <v>588 - AW</v>
      </c>
      <c r="AM885" s="121" t="str">
        <f t="shared" si="167"/>
        <v>588 - AW</v>
      </c>
      <c r="AO885" s="121" t="str">
        <f>IF('Cable Info'!N589="","",CONCATENATE('Cable Info'!N589," - ",'Cable Info'!O589))</f>
        <v>588 - AW</v>
      </c>
      <c r="AR885" s="121" t="str">
        <f t="shared" si="168"/>
        <v>588 - AW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str">
        <f>IF('Cable Info'!L590="","",CONCATENATE('Cable Info'!L590," - ",'Cable Info'!M590))</f>
        <v>589 - AW</v>
      </c>
      <c r="AM886" s="121" t="str">
        <f t="shared" si="167"/>
        <v>589 - AW</v>
      </c>
      <c r="AO886" s="121" t="str">
        <f>IF('Cable Info'!N590="","",CONCATENATE('Cable Info'!N590," - ",'Cable Info'!O590))</f>
        <v>589 - AW</v>
      </c>
      <c r="AR886" s="121" t="str">
        <f t="shared" si="168"/>
        <v>589 - AW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str">
        <f>IF('Cable Info'!L591="","",CONCATENATE('Cable Info'!L591," - ",'Cable Info'!M591))</f>
        <v>590 - AW</v>
      </c>
      <c r="AM887" s="121" t="str">
        <f t="shared" si="167"/>
        <v>590 - AW</v>
      </c>
      <c r="AO887" s="121" t="str">
        <f>IF('Cable Info'!N591="","",CONCATENATE('Cable Info'!N591," - ",'Cable Info'!O591))</f>
        <v>590 - AW</v>
      </c>
      <c r="AR887" s="121" t="str">
        <f t="shared" si="168"/>
        <v>590 - AW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str">
        <f>IF('Cable Info'!L592="","",CONCATENATE('Cable Info'!L592," - ",'Cable Info'!M592))</f>
        <v>591 - AW</v>
      </c>
      <c r="AM888" s="121" t="str">
        <f t="shared" si="167"/>
        <v>591 - AW</v>
      </c>
      <c r="AO888" s="121" t="str">
        <f>IF('Cable Info'!N592="","",CONCATENATE('Cable Info'!N592," - ",'Cable Info'!O592))</f>
        <v>591 - AW</v>
      </c>
      <c r="AR888" s="121" t="str">
        <f t="shared" si="168"/>
        <v>591 - AW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str">
        <f>IF('Cable Info'!L593="","",CONCATENATE('Cable Info'!L593," - ",'Cable Info'!M593))</f>
        <v>592 - AW</v>
      </c>
      <c r="AM889" s="121" t="str">
        <f t="shared" si="167"/>
        <v>592 - AW</v>
      </c>
      <c r="AO889" s="121" t="str">
        <f>IF('Cable Info'!N593="","",CONCATENATE('Cable Info'!N593," - ",'Cable Info'!O593))</f>
        <v>592 - AW</v>
      </c>
      <c r="AR889" s="121" t="str">
        <f t="shared" si="168"/>
        <v>592 - AW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str">
        <f>IF('Cable Info'!L594="","",CONCATENATE('Cable Info'!L594," - ",'Cable Info'!M594))</f>
        <v>593 - AW</v>
      </c>
      <c r="AM890" s="121" t="str">
        <f t="shared" si="167"/>
        <v>593 - AW</v>
      </c>
      <c r="AO890" s="121" t="str">
        <f>IF('Cable Info'!N594="","",CONCATENATE('Cable Info'!N594," - ",'Cable Info'!O594))</f>
        <v>593 - AW</v>
      </c>
      <c r="AR890" s="121" t="str">
        <f t="shared" si="168"/>
        <v>593 - AW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str">
        <f>IF('Cable Info'!L595="","",CONCATENATE('Cable Info'!L595," - ",'Cable Info'!M595))</f>
        <v>594 - AW</v>
      </c>
      <c r="AM891" s="121" t="str">
        <f t="shared" si="167"/>
        <v>594 - AW</v>
      </c>
      <c r="AO891" s="121" t="str">
        <f>IF('Cable Info'!N595="","",CONCATENATE('Cable Info'!N595," - ",'Cable Info'!O595))</f>
        <v>594 - AW</v>
      </c>
      <c r="AR891" s="121" t="str">
        <f t="shared" si="168"/>
        <v>594 - AW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str">
        <f>IF('Cable Info'!L596="","",CONCATENATE('Cable Info'!L596," - ",'Cable Info'!M596))</f>
        <v>595 - AW</v>
      </c>
      <c r="AM892" s="121" t="str">
        <f t="shared" si="167"/>
        <v>595 - AW</v>
      </c>
      <c r="AO892" s="121" t="str">
        <f>IF('Cable Info'!N596="","",CONCATENATE('Cable Info'!N596," - ",'Cable Info'!O596))</f>
        <v>595 - AW</v>
      </c>
      <c r="AR892" s="121" t="str">
        <f t="shared" si="168"/>
        <v>595 - AW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str">
        <f>IF('Cable Info'!L597="","",CONCATENATE('Cable Info'!L597," - ",'Cable Info'!M597))</f>
        <v>596 - AW</v>
      </c>
      <c r="AM893" s="121" t="str">
        <f t="shared" si="167"/>
        <v>596 - AW</v>
      </c>
      <c r="AO893" s="121" t="str">
        <f>IF('Cable Info'!N597="","",CONCATENATE('Cable Info'!N597," - ",'Cable Info'!O597))</f>
        <v>596 - AW</v>
      </c>
      <c r="AR893" s="121" t="str">
        <f t="shared" si="168"/>
        <v>596 - AW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str">
        <f>IF('Cable Info'!L598="","",CONCATENATE('Cable Info'!L598," - ",'Cable Info'!M598))</f>
        <v>597 - AW</v>
      </c>
      <c r="AM894" s="121" t="str">
        <f t="shared" si="167"/>
        <v>597 - AW</v>
      </c>
      <c r="AO894" s="121" t="str">
        <f>IF('Cable Info'!N598="","",CONCATENATE('Cable Info'!N598," - ",'Cable Info'!O598))</f>
        <v>597 - AW</v>
      </c>
      <c r="AR894" s="121" t="str">
        <f t="shared" si="168"/>
        <v>597 - AW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str">
        <f>IF('Cable Info'!L599="","",CONCATENATE('Cable Info'!L599," - ",'Cable Info'!M599))</f>
        <v>598 - AW</v>
      </c>
      <c r="AM895" s="121" t="str">
        <f t="shared" si="167"/>
        <v>598 - AW</v>
      </c>
      <c r="AO895" s="121" t="str">
        <f>IF('Cable Info'!N599="","",CONCATENATE('Cable Info'!N599," - ",'Cable Info'!O599))</f>
        <v>598 - AW</v>
      </c>
      <c r="AR895" s="121" t="str">
        <f t="shared" si="168"/>
        <v>598 - AW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str">
        <f>IF('Cable Info'!L600="","",CONCATENATE('Cable Info'!L600," - ",'Cable Info'!M600))</f>
        <v>599 - AW</v>
      </c>
      <c r="AM896" s="121" t="str">
        <f t="shared" si="167"/>
        <v>599 - AW</v>
      </c>
      <c r="AO896" s="121" t="str">
        <f>IF('Cable Info'!N600="","",CONCATENATE('Cable Info'!N600," - ",'Cable Info'!O600))</f>
        <v>599 - AW</v>
      </c>
      <c r="AR896" s="121" t="str">
        <f t="shared" si="168"/>
        <v>599 - AW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str">
        <f>IF('Cable Info'!L601="","",CONCATENATE('Cable Info'!L601," - ",'Cable Info'!M601))</f>
        <v>600 - AW</v>
      </c>
      <c r="AM897" s="121" t="str">
        <f t="shared" si="167"/>
        <v>600 - AW</v>
      </c>
      <c r="AO897" s="121" t="str">
        <f>IF('Cable Info'!N601="","",CONCATENATE('Cable Info'!N601," - ",'Cable Info'!O601))</f>
        <v>600 - AW</v>
      </c>
      <c r="AR897" s="121" t="str">
        <f t="shared" si="168"/>
        <v>600 - AW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str">
        <f>IF('Cable Info'!L602="","",CONCATENATE('Cable Info'!L602," - ",'Cable Info'!M602))</f>
        <v>601 - AW</v>
      </c>
      <c r="AM898" s="121" t="str">
        <f t="shared" si="167"/>
        <v>601 - AW</v>
      </c>
      <c r="AO898" s="121" t="str">
        <f>IF('Cable Info'!N602="","",CONCATENATE('Cable Info'!N602," - ",'Cable Info'!O602))</f>
        <v>601 - AW</v>
      </c>
      <c r="AR898" s="121" t="str">
        <f t="shared" si="168"/>
        <v>601 - AW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str">
        <f>IF('Cable Info'!L603="","",CONCATENATE('Cable Info'!L603," - ",'Cable Info'!M603))</f>
        <v>602 - AW</v>
      </c>
      <c r="AM899" s="121" t="str">
        <f t="shared" si="167"/>
        <v>602 - AW</v>
      </c>
      <c r="AO899" s="121" t="str">
        <f>IF('Cable Info'!N603="","",CONCATENATE('Cable Info'!N603," - ",'Cable Info'!O603))</f>
        <v>602 - AW</v>
      </c>
      <c r="AR899" s="121" t="str">
        <f t="shared" si="168"/>
        <v>602 - AW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str">
        <f>IF('Cable Info'!L604="","",CONCATENATE('Cable Info'!L604," - ",'Cable Info'!M604))</f>
        <v>603 - AW</v>
      </c>
      <c r="AM900" s="121" t="str">
        <f t="shared" si="167"/>
        <v>603 - AW</v>
      </c>
      <c r="AO900" s="121" t="str">
        <f>IF('Cable Info'!N604="","",CONCATENATE('Cable Info'!N604," - ",'Cable Info'!O604))</f>
        <v>603 - AW</v>
      </c>
      <c r="AR900" s="121" t="str">
        <f t="shared" si="168"/>
        <v>603 - AW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str">
        <f>IF('Cable Info'!L605="","",CONCATENATE('Cable Info'!L605," - ",'Cable Info'!M605))</f>
        <v>604 - AW</v>
      </c>
      <c r="AM901" s="121" t="str">
        <f t="shared" si="167"/>
        <v>604 - AW</v>
      </c>
      <c r="AO901" s="121" t="str">
        <f>IF('Cable Info'!N605="","",CONCATENATE('Cable Info'!N605," - ",'Cable Info'!O605))</f>
        <v>604 - AW</v>
      </c>
      <c r="AR901" s="121" t="str">
        <f t="shared" si="168"/>
        <v>604 - AW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str">
        <f>IF('Cable Info'!L606="","",CONCATENATE('Cable Info'!L606," - ",'Cable Info'!M606))</f>
        <v>605 - AW</v>
      </c>
      <c r="AM902" s="121" t="str">
        <f t="shared" si="167"/>
        <v>605 - AW</v>
      </c>
      <c r="AO902" s="121" t="str">
        <f>IF('Cable Info'!N606="","",CONCATENATE('Cable Info'!N606," - ",'Cable Info'!O606))</f>
        <v>605 - AW</v>
      </c>
      <c r="AR902" s="121" t="str">
        <f t="shared" si="168"/>
        <v>605 - AW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str">
        <f>IF('Cable Info'!L607="","",CONCATENATE('Cable Info'!L607," - ",'Cable Info'!M607))</f>
        <v>606 - AW</v>
      </c>
      <c r="AM903" s="121" t="str">
        <f t="shared" si="167"/>
        <v>606 - AW</v>
      </c>
      <c r="AO903" s="121" t="str">
        <f>IF('Cable Info'!N607="","",CONCATENATE('Cable Info'!N607," - ",'Cable Info'!O607))</f>
        <v>606 - AW</v>
      </c>
      <c r="AR903" s="121" t="str">
        <f t="shared" si="168"/>
        <v>606 - AW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str">
        <f>IF('Cable Info'!L608="","",CONCATENATE('Cable Info'!L608," - ",'Cable Info'!M608))</f>
        <v>607 - AW</v>
      </c>
      <c r="AM904" s="121" t="str">
        <f t="shared" si="167"/>
        <v>607 - AW</v>
      </c>
      <c r="AO904" s="121" t="str">
        <f>IF('Cable Info'!N608="","",CONCATENATE('Cable Info'!N608," - ",'Cable Info'!O608))</f>
        <v>607 - AW</v>
      </c>
      <c r="AR904" s="121" t="str">
        <f t="shared" si="168"/>
        <v>607 - AW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str">
        <f>IF('Cable Info'!L609="","",CONCATENATE('Cable Info'!L609," - ",'Cable Info'!M609))</f>
        <v>608 - AW</v>
      </c>
      <c r="AM905" s="121" t="str">
        <f t="shared" si="167"/>
        <v>608 - AW</v>
      </c>
      <c r="AO905" s="121" t="str">
        <f>IF('Cable Info'!N609="","",CONCATENATE('Cable Info'!N609," - ",'Cable Info'!O609))</f>
        <v>608 - AW</v>
      </c>
      <c r="AR905" s="121" t="str">
        <f t="shared" si="168"/>
        <v>608 - AW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str">
        <f>IF('Cable Info'!L610="","",CONCATENATE('Cable Info'!L610," - ",'Cable Info'!M610))</f>
        <v>609 - AW</v>
      </c>
      <c r="AM906" s="121" t="str">
        <f t="shared" si="167"/>
        <v>609 - AW</v>
      </c>
      <c r="AO906" s="121" t="str">
        <f>IF('Cable Info'!N610="","",CONCATENATE('Cable Info'!N610," - ",'Cable Info'!O610))</f>
        <v>609 - AW</v>
      </c>
      <c r="AR906" s="121" t="str">
        <f t="shared" si="168"/>
        <v>609 - AW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str">
        <f>IF('Cable Info'!L611="","",CONCATENATE('Cable Info'!L611," - ",'Cable Info'!M611))</f>
        <v>610 - AW</v>
      </c>
      <c r="AM907" s="121" t="str">
        <f t="shared" si="167"/>
        <v>610 - AW</v>
      </c>
      <c r="AO907" s="121" t="str">
        <f>IF('Cable Info'!N611="","",CONCATENATE('Cable Info'!N611," - ",'Cable Info'!O611))</f>
        <v>610 - AW</v>
      </c>
      <c r="AR907" s="121" t="str">
        <f t="shared" si="168"/>
        <v>610 - AW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str">
        <f>IF('Cable Info'!L612="","",CONCATENATE('Cable Info'!L612," - ",'Cable Info'!M612))</f>
        <v>611 - AW</v>
      </c>
      <c r="AM908" s="121" t="str">
        <f t="shared" si="167"/>
        <v>611 - AW</v>
      </c>
      <c r="AO908" s="121" t="str">
        <f>IF('Cable Info'!N612="","",CONCATENATE('Cable Info'!N612," - ",'Cable Info'!O612))</f>
        <v>611 - AW</v>
      </c>
      <c r="AR908" s="121" t="str">
        <f t="shared" si="168"/>
        <v>611 - AW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str">
        <f>IF('Cable Info'!L613="","",CONCATENATE('Cable Info'!L613," - ",'Cable Info'!M613))</f>
        <v>612 - AW</v>
      </c>
      <c r="AM909" s="121" t="str">
        <f t="shared" si="167"/>
        <v>612 - AW</v>
      </c>
      <c r="AO909" s="121" t="str">
        <f>IF('Cable Info'!N613="","",CONCATENATE('Cable Info'!N613," - ",'Cable Info'!O613))</f>
        <v>612 - AW</v>
      </c>
      <c r="AR909" s="121" t="str">
        <f t="shared" si="168"/>
        <v>612 - AW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str">
        <f>IF('Cable Info'!L614="","",CONCATENATE('Cable Info'!L614," - ",'Cable Info'!M614))</f>
        <v>613 - AW</v>
      </c>
      <c r="AM910" s="121" t="str">
        <f t="shared" si="167"/>
        <v>613 - AW</v>
      </c>
      <c r="AO910" s="121" t="str">
        <f>IF('Cable Info'!N614="","",CONCATENATE('Cable Info'!N614," - ",'Cable Info'!O614))</f>
        <v>613 - AW</v>
      </c>
      <c r="AR910" s="121" t="str">
        <f t="shared" si="168"/>
        <v>613 - AW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str">
        <f>IF('Cable Info'!L615="","",CONCATENATE('Cable Info'!L615," - ",'Cable Info'!M615))</f>
        <v>614 - AW</v>
      </c>
      <c r="AM911" s="121" t="str">
        <f t="shared" si="167"/>
        <v>614 - AW</v>
      </c>
      <c r="AO911" s="121" t="str">
        <f>IF('Cable Info'!N615="","",CONCATENATE('Cable Info'!N615," - ",'Cable Info'!O615))</f>
        <v>614 - AW</v>
      </c>
      <c r="AR911" s="121" t="str">
        <f t="shared" si="168"/>
        <v>614 - AW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str">
        <f>IF('Cable Info'!L616="","",CONCATENATE('Cable Info'!L616," - ",'Cable Info'!M616))</f>
        <v>615 - AW</v>
      </c>
      <c r="AM912" s="121" t="str">
        <f t="shared" si="167"/>
        <v>615 - AW</v>
      </c>
      <c r="AO912" s="121" t="str">
        <f>IF('Cable Info'!N616="","",CONCATENATE('Cable Info'!N616," - ",'Cable Info'!O616))</f>
        <v>615 - AW</v>
      </c>
      <c r="AR912" s="121" t="str">
        <f t="shared" si="168"/>
        <v>615 - AW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str">
        <f>IF('Cable Info'!L617="","",CONCATENATE('Cable Info'!L617," - ",'Cable Info'!M617))</f>
        <v>616 - AW</v>
      </c>
      <c r="AM913" s="121" t="str">
        <f t="shared" si="167"/>
        <v>616 - AW</v>
      </c>
      <c r="AO913" s="121" t="str">
        <f>IF('Cable Info'!N617="","",CONCATENATE('Cable Info'!N617," - ",'Cable Info'!O617))</f>
        <v>616 - AW</v>
      </c>
      <c r="AR913" s="121" t="str">
        <f t="shared" si="168"/>
        <v>616 - AW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str">
        <f>IF('Cable Info'!L618="","",CONCATENATE('Cable Info'!L618," - ",'Cable Info'!M618))</f>
        <v>617 - AW</v>
      </c>
      <c r="AM914" s="121" t="str">
        <f t="shared" si="167"/>
        <v>617 - AW</v>
      </c>
      <c r="AO914" s="121" t="str">
        <f>IF('Cable Info'!N618="","",CONCATENATE('Cable Info'!N618," - ",'Cable Info'!O618))</f>
        <v>617 - AW</v>
      </c>
      <c r="AR914" s="121" t="str">
        <f t="shared" si="168"/>
        <v>617 - AW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str">
        <f>IF('Cable Info'!L619="","",CONCATENATE('Cable Info'!L619," - ",'Cable Info'!M619))</f>
        <v>618 - AW</v>
      </c>
      <c r="AM915" s="121" t="str">
        <f t="shared" si="167"/>
        <v>618 - AW</v>
      </c>
      <c r="AO915" s="121" t="str">
        <f>IF('Cable Info'!N619="","",CONCATENATE('Cable Info'!N619," - ",'Cable Info'!O619))</f>
        <v>618 - AW</v>
      </c>
      <c r="AR915" s="121" t="str">
        <f t="shared" si="168"/>
        <v>618 - AW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str">
        <f>IF('Cable Info'!L620="","",CONCATENATE('Cable Info'!L620," - ",'Cable Info'!M620))</f>
        <v>619 - AW</v>
      </c>
      <c r="AM916" s="121" t="str">
        <f t="shared" si="167"/>
        <v>619 - AW</v>
      </c>
      <c r="AO916" s="121" t="str">
        <f>IF('Cable Info'!N620="","",CONCATENATE('Cable Info'!N620," - ",'Cable Info'!O620))</f>
        <v>619 - AW</v>
      </c>
      <c r="AR916" s="121" t="str">
        <f t="shared" si="168"/>
        <v>619 - AW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str">
        <f>IF('Cable Info'!L621="","",CONCATENATE('Cable Info'!L621," - ",'Cable Info'!M621))</f>
        <v>620 - AW</v>
      </c>
      <c r="AM917" s="121" t="str">
        <f t="shared" si="167"/>
        <v>620 - AW</v>
      </c>
      <c r="AO917" s="121" t="str">
        <f>IF('Cable Info'!N621="","",CONCATENATE('Cable Info'!N621," - ",'Cable Info'!O621))</f>
        <v>620 - AW</v>
      </c>
      <c r="AR917" s="121" t="str">
        <f t="shared" si="168"/>
        <v>620 - AW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str">
        <f>IF('Cable Info'!L622="","",CONCATENATE('Cable Info'!L622," - ",'Cable Info'!M622))</f>
        <v>621 - AW</v>
      </c>
      <c r="AM918" s="121" t="str">
        <f t="shared" si="167"/>
        <v>621 - AW</v>
      </c>
      <c r="AO918" s="121" t="str">
        <f>IF('Cable Info'!N622="","",CONCATENATE('Cable Info'!N622," - ",'Cable Info'!O622))</f>
        <v>621 - AW</v>
      </c>
      <c r="AR918" s="121" t="str">
        <f t="shared" si="168"/>
        <v>621 - AW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str">
        <f>IF('Cable Info'!L623="","",CONCATENATE('Cable Info'!L623," - ",'Cable Info'!M623))</f>
        <v>622 - AW</v>
      </c>
      <c r="AM919" s="121" t="str">
        <f t="shared" si="167"/>
        <v>622 - AW</v>
      </c>
      <c r="AO919" s="121" t="str">
        <f>IF('Cable Info'!N623="","",CONCATENATE('Cable Info'!N623," - ",'Cable Info'!O623))</f>
        <v>622 - AW</v>
      </c>
      <c r="AR919" s="121" t="str">
        <f t="shared" si="168"/>
        <v>622 - AW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str">
        <f>IF('Cable Info'!L624="","",CONCATENATE('Cable Info'!L624," - ",'Cable Info'!M624))</f>
        <v>623 - AW</v>
      </c>
      <c r="AM920" s="121" t="str">
        <f t="shared" si="167"/>
        <v>623 - AW</v>
      </c>
      <c r="AO920" s="121" t="str">
        <f>IF('Cable Info'!N624="","",CONCATENATE('Cable Info'!N624," - ",'Cable Info'!O624))</f>
        <v>623 - AW</v>
      </c>
      <c r="AR920" s="121" t="str">
        <f t="shared" si="168"/>
        <v>623 - AW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str">
        <f>IF('Cable Info'!L625="","",CONCATENATE('Cable Info'!L625," - ",'Cable Info'!M625))</f>
        <v>624 - AW</v>
      </c>
      <c r="AM921" s="121" t="str">
        <f t="shared" si="167"/>
        <v>624 - AW</v>
      </c>
      <c r="AO921" s="121" t="str">
        <f>IF('Cable Info'!N625="","",CONCATENATE('Cable Info'!N625," - ",'Cable Info'!O625))</f>
        <v>624 - AW</v>
      </c>
      <c r="AR921" s="121" t="str">
        <f t="shared" si="168"/>
        <v>624 - AW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str">
        <f>IF('Cable Info'!L626="","",CONCATENATE('Cable Info'!L626," - ",'Cable Info'!M626))</f>
        <v>625 - AW</v>
      </c>
      <c r="AM922" s="121" t="str">
        <f t="shared" si="167"/>
        <v>625 - AW</v>
      </c>
      <c r="AO922" s="121" t="str">
        <f>IF('Cable Info'!N626="","",CONCATENATE('Cable Info'!N626," - ",'Cable Info'!O626))</f>
        <v>625 - AW</v>
      </c>
      <c r="AR922" s="121" t="str">
        <f t="shared" si="168"/>
        <v>625 - AW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str">
        <f>IF('Cable Info'!L627="","",CONCATENATE('Cable Info'!L627," - ",'Cable Info'!M627))</f>
        <v>626 - AW</v>
      </c>
      <c r="AM923" s="121" t="str">
        <f t="shared" si="167"/>
        <v>626 - AW</v>
      </c>
      <c r="AO923" s="121" t="str">
        <f>IF('Cable Info'!N627="","",CONCATENATE('Cable Info'!N627," - ",'Cable Info'!O627))</f>
        <v>626 - AW</v>
      </c>
      <c r="AR923" s="121" t="str">
        <f t="shared" si="168"/>
        <v>626 - AW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str">
        <f>IF('Cable Info'!L628="","",CONCATENATE('Cable Info'!L628," - ",'Cable Info'!M628))</f>
        <v>627 - AW</v>
      </c>
      <c r="AM924" s="121" t="str">
        <f t="shared" si="167"/>
        <v>627 - AW</v>
      </c>
      <c r="AO924" s="121" t="str">
        <f>IF('Cable Info'!N628="","",CONCATENATE('Cable Info'!N628," - ",'Cable Info'!O628))</f>
        <v>627 - AW</v>
      </c>
      <c r="AR924" s="121" t="str">
        <f t="shared" si="168"/>
        <v>627 - AW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str">
        <f>IF('Cable Info'!L629="","",CONCATENATE('Cable Info'!L629," - ",'Cable Info'!M629))</f>
        <v>628 - AW</v>
      </c>
      <c r="AM925" s="121" t="str">
        <f t="shared" si="167"/>
        <v>628 - AW</v>
      </c>
      <c r="AO925" s="121" t="str">
        <f>IF('Cable Info'!N629="","",CONCATENATE('Cable Info'!N629," - ",'Cable Info'!O629))</f>
        <v>628 - AW</v>
      </c>
      <c r="AR925" s="121" t="str">
        <f t="shared" si="168"/>
        <v>628 - AW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str">
        <f>IF('Cable Info'!L630="","",CONCATENATE('Cable Info'!L630," - ",'Cable Info'!M630))</f>
        <v>629 - AW</v>
      </c>
      <c r="AM926" s="121" t="str">
        <f t="shared" si="167"/>
        <v>629 - AW</v>
      </c>
      <c r="AO926" s="121" t="str">
        <f>IF('Cable Info'!N630="","",CONCATENATE('Cable Info'!N630," - ",'Cable Info'!O630))</f>
        <v>629 - AW</v>
      </c>
      <c r="AR926" s="121" t="str">
        <f t="shared" si="168"/>
        <v>629 - AW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str">
        <f>IF('Cable Info'!L631="","",CONCATENATE('Cable Info'!L631," - ",'Cable Info'!M631))</f>
        <v>630 - AW</v>
      </c>
      <c r="AM927" s="121" t="str">
        <f t="shared" si="167"/>
        <v>630 - AW</v>
      </c>
      <c r="AO927" s="121" t="str">
        <f>IF('Cable Info'!N631="","",CONCATENATE('Cable Info'!N631," - ",'Cable Info'!O631))</f>
        <v>630 - AW</v>
      </c>
      <c r="AR927" s="121" t="str">
        <f t="shared" si="168"/>
        <v>630 - AW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str">
        <f>IF('Cable Info'!L632="","",CONCATENATE('Cable Info'!L632," - ",'Cable Info'!M632))</f>
        <v>631 - AW</v>
      </c>
      <c r="AM928" s="121" t="str">
        <f t="shared" si="167"/>
        <v>631 - AW</v>
      </c>
      <c r="AO928" s="121" t="str">
        <f>IF('Cable Info'!N632="","",CONCATENATE('Cable Info'!N632," - ",'Cable Info'!O632))</f>
        <v>631 - AW</v>
      </c>
      <c r="AR928" s="121" t="str">
        <f t="shared" si="168"/>
        <v>631 - AW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str">
        <f>IF('Cable Info'!L633="","",CONCATENATE('Cable Info'!L633," - ",'Cable Info'!M633))</f>
        <v>632 - AW</v>
      </c>
      <c r="AM929" s="121" t="str">
        <f t="shared" si="167"/>
        <v>632 - AW</v>
      </c>
      <c r="AO929" s="121" t="str">
        <f>IF('Cable Info'!N633="","",CONCATENATE('Cable Info'!N633," - ",'Cable Info'!O633))</f>
        <v>632 - AW</v>
      </c>
      <c r="AR929" s="121" t="str">
        <f t="shared" si="168"/>
        <v>632 - AW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str">
        <f>IF('Cable Info'!L634="","",CONCATENATE('Cable Info'!L634," - ",'Cable Info'!M634))</f>
        <v>633 - AW</v>
      </c>
      <c r="AM930" s="121" t="str">
        <f t="shared" si="167"/>
        <v>633 - AW</v>
      </c>
      <c r="AO930" s="121" t="str">
        <f>IF('Cable Info'!N634="","",CONCATENATE('Cable Info'!N634," - ",'Cable Info'!O634))</f>
        <v>633 - AW</v>
      </c>
      <c r="AR930" s="121" t="str">
        <f t="shared" si="168"/>
        <v>633 - AW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str">
        <f>IF('Cable Info'!L635="","",CONCATENATE('Cable Info'!L635," - ",'Cable Info'!M635))</f>
        <v>634 - AW</v>
      </c>
      <c r="AM931" s="121" t="str">
        <f t="shared" si="167"/>
        <v>634 - AW</v>
      </c>
      <c r="AO931" s="121" t="str">
        <f>IF('Cable Info'!N635="","",CONCATENATE('Cable Info'!N635," - ",'Cable Info'!O635))</f>
        <v>634 - AW</v>
      </c>
      <c r="AR931" s="121" t="str">
        <f t="shared" si="168"/>
        <v>634 - AW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str">
        <f>IF('Cable Info'!L636="","",CONCATENATE('Cable Info'!L636," - ",'Cable Info'!M636))</f>
        <v>635 - AW</v>
      </c>
      <c r="AM932" s="121" t="str">
        <f t="shared" si="167"/>
        <v>635 - AW</v>
      </c>
      <c r="AO932" s="121" t="str">
        <f>IF('Cable Info'!N636="","",CONCATENATE('Cable Info'!N636," - ",'Cable Info'!O636))</f>
        <v>635 - AW</v>
      </c>
      <c r="AR932" s="121" t="str">
        <f t="shared" si="168"/>
        <v>635 - AW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str">
        <f>IF('Cable Info'!L637="","",CONCATENATE('Cable Info'!L637," - ",'Cable Info'!M637))</f>
        <v>636 - AW</v>
      </c>
      <c r="AM933" s="121" t="str">
        <f t="shared" si="167"/>
        <v>636 - AW</v>
      </c>
      <c r="AO933" s="121" t="str">
        <f>IF('Cable Info'!N637="","",CONCATENATE('Cable Info'!N637," - ",'Cable Info'!O637))</f>
        <v>636 - AW</v>
      </c>
      <c r="AR933" s="121" t="str">
        <f t="shared" si="168"/>
        <v>636 - AW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str">
        <f>IF('Cable Info'!L638="","",CONCATENATE('Cable Info'!L638," - ",'Cable Info'!M638))</f>
        <v>637 - AW</v>
      </c>
      <c r="AM934" s="121" t="str">
        <f t="shared" si="167"/>
        <v>637 - AW</v>
      </c>
      <c r="AO934" s="121" t="str">
        <f>IF('Cable Info'!N638="","",CONCATENATE('Cable Info'!N638," - ",'Cable Info'!O638))</f>
        <v>637 - AW</v>
      </c>
      <c r="AR934" s="121" t="str">
        <f t="shared" si="168"/>
        <v>637 - AW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str">
        <f>IF('Cable Info'!L639="","",CONCATENATE('Cable Info'!L639," - ",'Cable Info'!M639))</f>
        <v>638 - AW</v>
      </c>
      <c r="AM935" s="121" t="str">
        <f t="shared" si="167"/>
        <v>638 - AW</v>
      </c>
      <c r="AO935" s="121" t="str">
        <f>IF('Cable Info'!N639="","",CONCATENATE('Cable Info'!N639," - ",'Cable Info'!O639))</f>
        <v>638 - AW</v>
      </c>
      <c r="AR935" s="121" t="str">
        <f t="shared" si="168"/>
        <v>638 - AW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str">
        <f>IF('Cable Info'!L640="","",CONCATENATE('Cable Info'!L640," - ",'Cable Info'!M640))</f>
        <v>639 - AW</v>
      </c>
      <c r="AM936" s="121" t="str">
        <f t="shared" si="167"/>
        <v>639 - AW</v>
      </c>
      <c r="AO936" s="121" t="str">
        <f>IF('Cable Info'!N640="","",CONCATENATE('Cable Info'!N640," - ",'Cable Info'!O640))</f>
        <v>639 - AW</v>
      </c>
      <c r="AR936" s="121" t="str">
        <f t="shared" si="168"/>
        <v>639 - AW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str">
        <f>IF('Cable Info'!L641="","",CONCATENATE('Cable Info'!L641," - ",'Cable Info'!M641))</f>
        <v>640 - AW</v>
      </c>
      <c r="AM937" s="121" t="str">
        <f t="shared" si="167"/>
        <v>640 - AW</v>
      </c>
      <c r="AO937" s="121" t="str">
        <f>IF('Cable Info'!N641="","",CONCATENATE('Cable Info'!N641," - ",'Cable Info'!O641))</f>
        <v>640 - AW</v>
      </c>
      <c r="AR937" s="121" t="str">
        <f t="shared" si="168"/>
        <v>640 - AW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str">
        <f>IF('Cable Info'!L642="","",CONCATENATE('Cable Info'!L642," - ",'Cable Info'!M642))</f>
        <v>641 - AW</v>
      </c>
      <c r="AM938" s="121" t="str">
        <f t="shared" si="167"/>
        <v>641 - AW</v>
      </c>
      <c r="AO938" s="121" t="str">
        <f>IF('Cable Info'!N642="","",CONCATENATE('Cable Info'!N642," - ",'Cable Info'!O642))</f>
        <v>641 - AW</v>
      </c>
      <c r="AR938" s="121" t="str">
        <f t="shared" si="168"/>
        <v>641 - AW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str">
        <f>IF('Cable Info'!L643="","",CONCATENATE('Cable Info'!L643," - ",'Cable Info'!M643))</f>
        <v>642 - AW</v>
      </c>
      <c r="AM939" s="121" t="str">
        <f t="shared" ref="AM939:AM1002" si="173">IF(AK939="",AJ939,CONCATENATE(AJ939,"  &lt;=&gt; ",AK939," ",AL939))</f>
        <v>642 - AW</v>
      </c>
      <c r="AO939" s="121" t="str">
        <f>IF('Cable Info'!N643="","",CONCATENATE('Cable Info'!N643," - ",'Cable Info'!O643))</f>
        <v>642 - AW</v>
      </c>
      <c r="AR939" s="121" t="str">
        <f t="shared" ref="AR939:AR1002" si="174">IF(AP939="",AO939,CONCATENATE(AO939,"  &lt;=&gt; ",AP939," ",AQ939))</f>
        <v>642 - AW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str">
        <f>IF('Cable Info'!L644="","",CONCATENATE('Cable Info'!L644," - ",'Cable Info'!M644))</f>
        <v>643 - AW</v>
      </c>
      <c r="AM940" s="121" t="str">
        <f t="shared" si="173"/>
        <v>643 - AW</v>
      </c>
      <c r="AO940" s="121" t="str">
        <f>IF('Cable Info'!N644="","",CONCATENATE('Cable Info'!N644," - ",'Cable Info'!O644))</f>
        <v>643 - AW</v>
      </c>
      <c r="AR940" s="121" t="str">
        <f t="shared" si="174"/>
        <v>643 - AW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str">
        <f>IF('Cable Info'!L645="","",CONCATENATE('Cable Info'!L645," - ",'Cable Info'!M645))</f>
        <v>644 - AW</v>
      </c>
      <c r="AM941" s="121" t="str">
        <f t="shared" si="173"/>
        <v>644 - AW</v>
      </c>
      <c r="AO941" s="121" t="str">
        <f>IF('Cable Info'!N645="","",CONCATENATE('Cable Info'!N645," - ",'Cable Info'!O645))</f>
        <v>644 - AW</v>
      </c>
      <c r="AR941" s="121" t="str">
        <f t="shared" si="174"/>
        <v>644 - AW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str">
        <f>IF('Cable Info'!L646="","",CONCATENATE('Cable Info'!L646," - ",'Cable Info'!M646))</f>
        <v>645 - AW</v>
      </c>
      <c r="AM942" s="121" t="str">
        <f t="shared" si="173"/>
        <v>645 - AW</v>
      </c>
      <c r="AO942" s="121" t="str">
        <f>IF('Cable Info'!N646="","",CONCATENATE('Cable Info'!N646," - ",'Cable Info'!O646))</f>
        <v>645 - AW</v>
      </c>
      <c r="AR942" s="121" t="str">
        <f t="shared" si="174"/>
        <v>645 - AW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str">
        <f>IF('Cable Info'!L647="","",CONCATENATE('Cable Info'!L647," - ",'Cable Info'!M647))</f>
        <v>646 - AW</v>
      </c>
      <c r="AM943" s="121" t="str">
        <f t="shared" si="173"/>
        <v>646 - AW</v>
      </c>
      <c r="AO943" s="121" t="str">
        <f>IF('Cable Info'!N647="","",CONCATENATE('Cable Info'!N647," - ",'Cable Info'!O647))</f>
        <v>646 - AW</v>
      </c>
      <c r="AR943" s="121" t="str">
        <f t="shared" si="174"/>
        <v>646 - AW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str">
        <f>IF('Cable Info'!L648="","",CONCATENATE('Cable Info'!L648," - ",'Cable Info'!M648))</f>
        <v>647 - AW</v>
      </c>
      <c r="AM944" s="121" t="str">
        <f t="shared" si="173"/>
        <v>647 - AW</v>
      </c>
      <c r="AO944" s="121" t="str">
        <f>IF('Cable Info'!N648="","",CONCATENATE('Cable Info'!N648," - ",'Cable Info'!O648))</f>
        <v>647 - AW</v>
      </c>
      <c r="AR944" s="121" t="str">
        <f t="shared" si="174"/>
        <v>647 - AW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str">
        <f>IF('Cable Info'!L649="","",CONCATENATE('Cable Info'!L649," - ",'Cable Info'!M649))</f>
        <v>648 - AW</v>
      </c>
      <c r="AM945" s="121" t="str">
        <f t="shared" si="173"/>
        <v>648 - AW</v>
      </c>
      <c r="AO945" s="121" t="str">
        <f>IF('Cable Info'!N649="","",CONCATENATE('Cable Info'!N649," - ",'Cable Info'!O649))</f>
        <v>648 - AW</v>
      </c>
      <c r="AR945" s="121" t="str">
        <f t="shared" si="174"/>
        <v>648 - AW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str">
        <f>IF('Cable Info'!L650="","",CONCATENATE('Cable Info'!L650," - ",'Cable Info'!M650))</f>
        <v>649 - AW</v>
      </c>
      <c r="AM946" s="121" t="str">
        <f t="shared" si="173"/>
        <v>649 - AW</v>
      </c>
      <c r="AO946" s="121" t="str">
        <f>IF('Cable Info'!N650="","",CONCATENATE('Cable Info'!N650," - ",'Cable Info'!O650))</f>
        <v>649 - AW</v>
      </c>
      <c r="AR946" s="121" t="str">
        <f t="shared" si="174"/>
        <v>649 - AW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str">
        <f>IF('Cable Info'!L651="","",CONCATENATE('Cable Info'!L651," - ",'Cable Info'!M651))</f>
        <v>650 - AW</v>
      </c>
      <c r="AM947" s="121" t="str">
        <f t="shared" si="173"/>
        <v>650 - AW</v>
      </c>
      <c r="AO947" s="121" t="str">
        <f>IF('Cable Info'!N651="","",CONCATENATE('Cable Info'!N651," - ",'Cable Info'!O651))</f>
        <v>650 - AW</v>
      </c>
      <c r="AR947" s="121" t="str">
        <f t="shared" si="174"/>
        <v>650 - AW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str">
        <f>IF('Cable Info'!L652="","",CONCATENATE('Cable Info'!L652," - ",'Cable Info'!M652))</f>
        <v>651 - AW</v>
      </c>
      <c r="AM948" s="121" t="str">
        <f t="shared" si="173"/>
        <v>651 - AW</v>
      </c>
      <c r="AO948" s="121" t="str">
        <f>IF('Cable Info'!N652="","",CONCATENATE('Cable Info'!N652," - ",'Cable Info'!O652))</f>
        <v>651 - AW</v>
      </c>
      <c r="AR948" s="121" t="str">
        <f t="shared" si="174"/>
        <v>651 - AW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str">
        <f>IF('Cable Info'!L653="","",CONCATENATE('Cable Info'!L653," - ",'Cable Info'!M653))</f>
        <v>652 - AW</v>
      </c>
      <c r="AM949" s="121" t="str">
        <f t="shared" si="173"/>
        <v>652 - AW</v>
      </c>
      <c r="AO949" s="121" t="str">
        <f>IF('Cable Info'!N653="","",CONCATENATE('Cable Info'!N653," - ",'Cable Info'!O653))</f>
        <v>652 - AW</v>
      </c>
      <c r="AR949" s="121" t="str">
        <f t="shared" si="174"/>
        <v>652 - AW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str">
        <f>IF('Cable Info'!L654="","",CONCATENATE('Cable Info'!L654," - ",'Cable Info'!M654))</f>
        <v>653 - AW</v>
      </c>
      <c r="AM950" s="121" t="str">
        <f t="shared" si="173"/>
        <v>653 - AW</v>
      </c>
      <c r="AO950" s="121" t="str">
        <f>IF('Cable Info'!N654="","",CONCATENATE('Cable Info'!N654," - ",'Cable Info'!O654))</f>
        <v>653 - AW</v>
      </c>
      <c r="AR950" s="121" t="str">
        <f t="shared" si="174"/>
        <v>653 - AW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str">
        <f>IF('Cable Info'!L655="","",CONCATENATE('Cable Info'!L655," - ",'Cable Info'!M655))</f>
        <v>654 - AW</v>
      </c>
      <c r="AM951" s="121" t="str">
        <f t="shared" si="173"/>
        <v>654 - AW</v>
      </c>
      <c r="AO951" s="121" t="str">
        <f>IF('Cable Info'!N655="","",CONCATENATE('Cable Info'!N655," - ",'Cable Info'!O655))</f>
        <v>654 - AW</v>
      </c>
      <c r="AR951" s="121" t="str">
        <f t="shared" si="174"/>
        <v>654 - AW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str">
        <f>IF('Cable Info'!L656="","",CONCATENATE('Cable Info'!L656," - ",'Cable Info'!M656))</f>
        <v>655 - AW</v>
      </c>
      <c r="AM952" s="121" t="str">
        <f t="shared" si="173"/>
        <v>655 - AW</v>
      </c>
      <c r="AO952" s="121" t="str">
        <f>IF('Cable Info'!N656="","",CONCATENATE('Cable Info'!N656," - ",'Cable Info'!O656))</f>
        <v>655 - AW</v>
      </c>
      <c r="AR952" s="121" t="str">
        <f t="shared" si="174"/>
        <v>655 - AW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str">
        <f>IF('Cable Info'!L657="","",CONCATENATE('Cable Info'!L657," - ",'Cable Info'!M657))</f>
        <v>656 - AW</v>
      </c>
      <c r="AM953" s="121" t="str">
        <f t="shared" si="173"/>
        <v>656 - AW</v>
      </c>
      <c r="AO953" s="121" t="str">
        <f>IF('Cable Info'!N657="","",CONCATENATE('Cable Info'!N657," - ",'Cable Info'!O657))</f>
        <v>656 - AW</v>
      </c>
      <c r="AR953" s="121" t="str">
        <f t="shared" si="174"/>
        <v>656 - AW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str">
        <f>IF('Cable Info'!L658="","",CONCATENATE('Cable Info'!L658," - ",'Cable Info'!M658))</f>
        <v>657 - AW</v>
      </c>
      <c r="AM954" s="121" t="str">
        <f t="shared" si="173"/>
        <v>657 - AW</v>
      </c>
      <c r="AO954" s="121" t="str">
        <f>IF('Cable Info'!N658="","",CONCATENATE('Cable Info'!N658," - ",'Cable Info'!O658))</f>
        <v>657 - AW</v>
      </c>
      <c r="AR954" s="121" t="str">
        <f t="shared" si="174"/>
        <v>657 - AW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str">
        <f>IF('Cable Info'!L659="","",CONCATENATE('Cable Info'!L659," - ",'Cable Info'!M659))</f>
        <v>658 - AW</v>
      </c>
      <c r="AM955" s="121" t="str">
        <f t="shared" si="173"/>
        <v>658 - AW</v>
      </c>
      <c r="AO955" s="121" t="str">
        <f>IF('Cable Info'!N659="","",CONCATENATE('Cable Info'!N659," - ",'Cable Info'!O659))</f>
        <v>658 - AW</v>
      </c>
      <c r="AR955" s="121" t="str">
        <f t="shared" si="174"/>
        <v>658 - AW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str">
        <f>IF('Cable Info'!L660="","",CONCATENATE('Cable Info'!L660," - ",'Cable Info'!M660))</f>
        <v>659 - AW</v>
      </c>
      <c r="AM956" s="121" t="str">
        <f t="shared" si="173"/>
        <v>659 - AW</v>
      </c>
      <c r="AO956" s="121" t="str">
        <f>IF('Cable Info'!N660="","",CONCATENATE('Cable Info'!N660," - ",'Cable Info'!O660))</f>
        <v>659 - AW</v>
      </c>
      <c r="AR956" s="121" t="str">
        <f t="shared" si="174"/>
        <v>659 - AW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str">
        <f>IF('Cable Info'!L661="","",CONCATENATE('Cable Info'!L661," - ",'Cable Info'!M661))</f>
        <v>660 - AW</v>
      </c>
      <c r="AM957" s="121" t="str">
        <f t="shared" si="173"/>
        <v>660 - AW</v>
      </c>
      <c r="AO957" s="121" t="str">
        <f>IF('Cable Info'!N661="","",CONCATENATE('Cable Info'!N661," - ",'Cable Info'!O661))</f>
        <v>660 - AW</v>
      </c>
      <c r="AR957" s="121" t="str">
        <f t="shared" si="174"/>
        <v>660 - AW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str">
        <f>IF('Cable Info'!L662="","",CONCATENATE('Cable Info'!L662," - ",'Cable Info'!M662))</f>
        <v>661 - AW</v>
      </c>
      <c r="AM958" s="121" t="str">
        <f t="shared" si="173"/>
        <v>661 - AW</v>
      </c>
      <c r="AO958" s="121" t="str">
        <f>IF('Cable Info'!N662="","",CONCATENATE('Cable Info'!N662," - ",'Cable Info'!O662))</f>
        <v>661 - AW</v>
      </c>
      <c r="AR958" s="121" t="str">
        <f t="shared" si="174"/>
        <v>661 - AW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str">
        <f>IF('Cable Info'!L663="","",CONCATENATE('Cable Info'!L663," - ",'Cable Info'!M663))</f>
        <v>662 - AW</v>
      </c>
      <c r="AM959" s="121" t="str">
        <f t="shared" si="173"/>
        <v>662 - AW</v>
      </c>
      <c r="AO959" s="121" t="str">
        <f>IF('Cable Info'!N663="","",CONCATENATE('Cable Info'!N663," - ",'Cable Info'!O663))</f>
        <v>662 - AW</v>
      </c>
      <c r="AR959" s="121" t="str">
        <f t="shared" si="174"/>
        <v>662 - AW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str">
        <f>IF('Cable Info'!L664="","",CONCATENATE('Cable Info'!L664," - ",'Cable Info'!M664))</f>
        <v>663 - AW</v>
      </c>
      <c r="AM960" s="121" t="str">
        <f t="shared" si="173"/>
        <v>663 - AW</v>
      </c>
      <c r="AO960" s="121" t="str">
        <f>IF('Cable Info'!N664="","",CONCATENATE('Cable Info'!N664," - ",'Cable Info'!O664))</f>
        <v>663 - AW</v>
      </c>
      <c r="AR960" s="121" t="str">
        <f t="shared" si="174"/>
        <v>663 - AW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str">
        <f>IF('Cable Info'!L665="","",CONCATENATE('Cable Info'!L665," - ",'Cable Info'!M665))</f>
        <v>664 - AW</v>
      </c>
      <c r="AM961" s="121" t="str">
        <f t="shared" si="173"/>
        <v>664 - AW</v>
      </c>
      <c r="AO961" s="121" t="str">
        <f>IF('Cable Info'!N665="","",CONCATENATE('Cable Info'!N665," - ",'Cable Info'!O665))</f>
        <v>664 - AW</v>
      </c>
      <c r="AR961" s="121" t="str">
        <f t="shared" si="174"/>
        <v>664 - AW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str">
        <f>IF('Cable Info'!L666="","",CONCATENATE('Cable Info'!L666," - ",'Cable Info'!M666))</f>
        <v>665 - AW</v>
      </c>
      <c r="AM962" s="121" t="str">
        <f t="shared" si="173"/>
        <v>665 - AW</v>
      </c>
      <c r="AO962" s="121" t="str">
        <f>IF('Cable Info'!N666="","",CONCATENATE('Cable Info'!N666," - ",'Cable Info'!O666))</f>
        <v>665 - AW</v>
      </c>
      <c r="AR962" s="121" t="str">
        <f t="shared" si="174"/>
        <v>665 - AW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str">
        <f>IF('Cable Info'!L667="","",CONCATENATE('Cable Info'!L667," - ",'Cable Info'!M667))</f>
        <v>666 - AW</v>
      </c>
      <c r="AM963" s="121" t="str">
        <f t="shared" si="173"/>
        <v>666 - AW</v>
      </c>
      <c r="AO963" s="121" t="str">
        <f>IF('Cable Info'!N667="","",CONCATENATE('Cable Info'!N667," - ",'Cable Info'!O667))</f>
        <v>666 - AW</v>
      </c>
      <c r="AR963" s="121" t="str">
        <f t="shared" si="174"/>
        <v>666 - AW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str">
        <f>IF('Cable Info'!L668="","",CONCATENATE('Cable Info'!L668," - ",'Cable Info'!M668))</f>
        <v>667 - AW</v>
      </c>
      <c r="AM964" s="121" t="str">
        <f t="shared" si="173"/>
        <v>667 - AW</v>
      </c>
      <c r="AO964" s="121" t="str">
        <f>IF('Cable Info'!N668="","",CONCATENATE('Cable Info'!N668," - ",'Cable Info'!O668))</f>
        <v>667 - AW</v>
      </c>
      <c r="AR964" s="121" t="str">
        <f t="shared" si="174"/>
        <v>667 - AW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str">
        <f>IF('Cable Info'!L669="","",CONCATENATE('Cable Info'!L669," - ",'Cable Info'!M669))</f>
        <v>668 - AW</v>
      </c>
      <c r="AM965" s="121" t="str">
        <f t="shared" si="173"/>
        <v>668 - AW</v>
      </c>
      <c r="AO965" s="121" t="str">
        <f>IF('Cable Info'!N669="","",CONCATENATE('Cable Info'!N669," - ",'Cable Info'!O669))</f>
        <v>668 - AW</v>
      </c>
      <c r="AR965" s="121" t="str">
        <f t="shared" si="174"/>
        <v>668 - AW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str">
        <f>IF('Cable Info'!L670="","",CONCATENATE('Cable Info'!L670," - ",'Cable Info'!M670))</f>
        <v>669 - AW</v>
      </c>
      <c r="AM966" s="121" t="str">
        <f t="shared" si="173"/>
        <v>669 - AW</v>
      </c>
      <c r="AO966" s="121" t="str">
        <f>IF('Cable Info'!N670="","",CONCATENATE('Cable Info'!N670," - ",'Cable Info'!O670))</f>
        <v>669 - AW</v>
      </c>
      <c r="AR966" s="121" t="str">
        <f t="shared" si="174"/>
        <v>669 - AW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str">
        <f>IF('Cable Info'!L671="","",CONCATENATE('Cable Info'!L671," - ",'Cable Info'!M671))</f>
        <v>670 - AW</v>
      </c>
      <c r="AM967" s="121" t="str">
        <f t="shared" si="173"/>
        <v>670 - AW</v>
      </c>
      <c r="AO967" s="121" t="str">
        <f>IF('Cable Info'!N671="","",CONCATENATE('Cable Info'!N671," - ",'Cable Info'!O671))</f>
        <v>670 - AW</v>
      </c>
      <c r="AR967" s="121" t="str">
        <f t="shared" si="174"/>
        <v>670 - AW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str">
        <f>IF('Cable Info'!L672="","",CONCATENATE('Cable Info'!L672," - ",'Cable Info'!M672))</f>
        <v>671 - AW</v>
      </c>
      <c r="AM968" s="121" t="str">
        <f t="shared" si="173"/>
        <v>671 - AW</v>
      </c>
      <c r="AO968" s="121" t="str">
        <f>IF('Cable Info'!N672="","",CONCATENATE('Cable Info'!N672," - ",'Cable Info'!O672))</f>
        <v>671 - AW</v>
      </c>
      <c r="AR968" s="121" t="str">
        <f t="shared" si="174"/>
        <v>671 - AW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str">
        <f>IF('Cable Info'!L673="","",CONCATENATE('Cable Info'!L673," - ",'Cable Info'!M673))</f>
        <v>672 - AW</v>
      </c>
      <c r="AM969" s="121" t="str">
        <f t="shared" si="173"/>
        <v>672 - AW</v>
      </c>
      <c r="AO969" s="121" t="str">
        <f>IF('Cable Info'!N673="","",CONCATENATE('Cable Info'!N673," - ",'Cable Info'!O673))</f>
        <v>672 - AW</v>
      </c>
      <c r="AR969" s="121" t="str">
        <f t="shared" si="174"/>
        <v>672 - AW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str">
        <f>IF('Cable Info'!L674="","",CONCATENATE('Cable Info'!L674," - ",'Cable Info'!M674))</f>
        <v>673 - AW</v>
      </c>
      <c r="AM970" s="121" t="str">
        <f t="shared" si="173"/>
        <v>673 - AW</v>
      </c>
      <c r="AO970" s="121" t="str">
        <f>IF('Cable Info'!N674="","",CONCATENATE('Cable Info'!N674," - ",'Cable Info'!O674))</f>
        <v>673 - AW</v>
      </c>
      <c r="AR970" s="121" t="str">
        <f t="shared" si="174"/>
        <v>673 - AW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str">
        <f>IF('Cable Info'!L675="","",CONCATENATE('Cable Info'!L675," - ",'Cable Info'!M675))</f>
        <v>674 - AW</v>
      </c>
      <c r="AM971" s="121" t="str">
        <f t="shared" si="173"/>
        <v>674 - AW</v>
      </c>
      <c r="AO971" s="121" t="str">
        <f>IF('Cable Info'!N675="","",CONCATENATE('Cable Info'!N675," - ",'Cable Info'!O675))</f>
        <v>674 - AW</v>
      </c>
      <c r="AR971" s="121" t="str">
        <f t="shared" si="174"/>
        <v>674 - AW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str">
        <f>IF('Cable Info'!L676="","",CONCATENATE('Cable Info'!L676," - ",'Cable Info'!M676))</f>
        <v>675 - AW</v>
      </c>
      <c r="AM972" s="121" t="str">
        <f t="shared" si="173"/>
        <v>675 - AW</v>
      </c>
      <c r="AO972" s="121" t="str">
        <f>IF('Cable Info'!N676="","",CONCATENATE('Cable Info'!N676," - ",'Cable Info'!O676))</f>
        <v>675 - AW</v>
      </c>
      <c r="AR972" s="121" t="str">
        <f t="shared" si="174"/>
        <v>675 - AW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str">
        <f>IF('Cable Info'!L677="","",CONCATENATE('Cable Info'!L677," - ",'Cable Info'!M677))</f>
        <v>676 - AW</v>
      </c>
      <c r="AM973" s="121" t="str">
        <f t="shared" si="173"/>
        <v>676 - AW</v>
      </c>
      <c r="AO973" s="121" t="str">
        <f>IF('Cable Info'!N677="","",CONCATENATE('Cable Info'!N677," - ",'Cable Info'!O677))</f>
        <v>676 - AW</v>
      </c>
      <c r="AR973" s="121" t="str">
        <f t="shared" si="174"/>
        <v>676 - AW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str">
        <f>IF('Cable Info'!L678="","",CONCATENATE('Cable Info'!L678," - ",'Cable Info'!M678))</f>
        <v>677 - AW</v>
      </c>
      <c r="AM974" s="121" t="str">
        <f t="shared" si="173"/>
        <v>677 - AW</v>
      </c>
      <c r="AO974" s="121" t="str">
        <f>IF('Cable Info'!N678="","",CONCATENATE('Cable Info'!N678," - ",'Cable Info'!O678))</f>
        <v>677 - AW</v>
      </c>
      <c r="AR974" s="121" t="str">
        <f t="shared" si="174"/>
        <v>677 - AW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str">
        <f>IF('Cable Info'!L679="","",CONCATENATE('Cable Info'!L679," - ",'Cable Info'!M679))</f>
        <v>678 - AW</v>
      </c>
      <c r="AM975" s="121" t="str">
        <f t="shared" si="173"/>
        <v>678 - AW</v>
      </c>
      <c r="AO975" s="121" t="str">
        <f>IF('Cable Info'!N679="","",CONCATENATE('Cable Info'!N679," - ",'Cable Info'!O679))</f>
        <v>678 - AW</v>
      </c>
      <c r="AR975" s="121" t="str">
        <f t="shared" si="174"/>
        <v>678 - AW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str">
        <f>IF('Cable Info'!L680="","",CONCATENATE('Cable Info'!L680," - ",'Cable Info'!M680))</f>
        <v>679 - AW</v>
      </c>
      <c r="AM976" s="121" t="str">
        <f t="shared" si="173"/>
        <v>679 - AW</v>
      </c>
      <c r="AO976" s="121" t="str">
        <f>IF('Cable Info'!N680="","",CONCATENATE('Cable Info'!N680," - ",'Cable Info'!O680))</f>
        <v>679 - AW</v>
      </c>
      <c r="AR976" s="121" t="str">
        <f t="shared" si="174"/>
        <v>679 - AW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str">
        <f>IF('Cable Info'!L681="","",CONCATENATE('Cable Info'!L681," - ",'Cable Info'!M681))</f>
        <v>680 - AW</v>
      </c>
      <c r="AM977" s="121" t="str">
        <f t="shared" si="173"/>
        <v>680 - AW</v>
      </c>
      <c r="AO977" s="121" t="str">
        <f>IF('Cable Info'!N681="","",CONCATENATE('Cable Info'!N681," - ",'Cable Info'!O681))</f>
        <v>680 - AW</v>
      </c>
      <c r="AR977" s="121" t="str">
        <f t="shared" si="174"/>
        <v>680 - AW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str">
        <f>IF('Cable Info'!L682="","",CONCATENATE('Cable Info'!L682," - ",'Cable Info'!M682))</f>
        <v>681 - AW</v>
      </c>
      <c r="AM978" s="121" t="str">
        <f t="shared" si="173"/>
        <v>681 - AW</v>
      </c>
      <c r="AO978" s="121" t="str">
        <f>IF('Cable Info'!N682="","",CONCATENATE('Cable Info'!N682," - ",'Cable Info'!O682))</f>
        <v>681 - AW</v>
      </c>
      <c r="AR978" s="121" t="str">
        <f t="shared" si="174"/>
        <v>681 - AW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str">
        <f>IF('Cable Info'!L683="","",CONCATENATE('Cable Info'!L683," - ",'Cable Info'!M683))</f>
        <v>682 - AW</v>
      </c>
      <c r="AM979" s="121" t="str">
        <f t="shared" si="173"/>
        <v>682 - AW</v>
      </c>
      <c r="AO979" s="121" t="str">
        <f>IF('Cable Info'!N683="","",CONCATENATE('Cable Info'!N683," - ",'Cable Info'!O683))</f>
        <v>682 - AW</v>
      </c>
      <c r="AR979" s="121" t="str">
        <f t="shared" si="174"/>
        <v>682 - AW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str">
        <f>IF('Cable Info'!L684="","",CONCATENATE('Cable Info'!L684," - ",'Cable Info'!M684))</f>
        <v>683 - AW</v>
      </c>
      <c r="AM980" s="121" t="str">
        <f t="shared" si="173"/>
        <v>683 - AW</v>
      </c>
      <c r="AO980" s="121" t="str">
        <f>IF('Cable Info'!N684="","",CONCATENATE('Cable Info'!N684," - ",'Cable Info'!O684))</f>
        <v>683 - AW</v>
      </c>
      <c r="AR980" s="121" t="str">
        <f t="shared" si="174"/>
        <v>683 - AW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str">
        <f>IF('Cable Info'!L685="","",CONCATENATE('Cable Info'!L685," - ",'Cable Info'!M685))</f>
        <v>684 - AW</v>
      </c>
      <c r="AM981" s="121" t="str">
        <f t="shared" si="173"/>
        <v>684 - AW</v>
      </c>
      <c r="AO981" s="121" t="str">
        <f>IF('Cable Info'!N685="","",CONCATENATE('Cable Info'!N685," - ",'Cable Info'!O685))</f>
        <v>684 - AW</v>
      </c>
      <c r="AR981" s="121" t="str">
        <f t="shared" si="174"/>
        <v>684 - AW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str">
        <f>IF('Cable Info'!L686="","",CONCATENATE('Cable Info'!L686," - ",'Cable Info'!M686))</f>
        <v>685 - AW</v>
      </c>
      <c r="AM982" s="121" t="str">
        <f t="shared" si="173"/>
        <v>685 - AW</v>
      </c>
      <c r="AO982" s="121" t="str">
        <f>IF('Cable Info'!N686="","",CONCATENATE('Cable Info'!N686," - ",'Cable Info'!O686))</f>
        <v>685 - AW</v>
      </c>
      <c r="AR982" s="121" t="str">
        <f t="shared" si="174"/>
        <v>685 - AW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str">
        <f>IF('Cable Info'!L687="","",CONCATENATE('Cable Info'!L687," - ",'Cable Info'!M687))</f>
        <v>686 - AW</v>
      </c>
      <c r="AM983" s="121" t="str">
        <f t="shared" si="173"/>
        <v>686 - AW</v>
      </c>
      <c r="AO983" s="121" t="str">
        <f>IF('Cable Info'!N687="","",CONCATENATE('Cable Info'!N687," - ",'Cable Info'!O687))</f>
        <v>686 - AW</v>
      </c>
      <c r="AR983" s="121" t="str">
        <f t="shared" si="174"/>
        <v>686 - AW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str">
        <f>IF('Cable Info'!L688="","",CONCATENATE('Cable Info'!L688," - ",'Cable Info'!M688))</f>
        <v>687 - AW</v>
      </c>
      <c r="AM984" s="121" t="str">
        <f t="shared" si="173"/>
        <v>687 - AW</v>
      </c>
      <c r="AO984" s="121" t="str">
        <f>IF('Cable Info'!N688="","",CONCATENATE('Cable Info'!N688," - ",'Cable Info'!O688))</f>
        <v>687 - AW</v>
      </c>
      <c r="AR984" s="121" t="str">
        <f t="shared" si="174"/>
        <v>687 - AW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str">
        <f>IF('Cable Info'!L689="","",CONCATENATE('Cable Info'!L689," - ",'Cable Info'!M689))</f>
        <v>688 - AW</v>
      </c>
      <c r="AM985" s="121" t="str">
        <f t="shared" si="173"/>
        <v>688 - AW</v>
      </c>
      <c r="AO985" s="121" t="str">
        <f>IF('Cable Info'!N689="","",CONCATENATE('Cable Info'!N689," - ",'Cable Info'!O689))</f>
        <v>688 - AW</v>
      </c>
      <c r="AR985" s="121" t="str">
        <f t="shared" si="174"/>
        <v>688 - AW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str">
        <f>IF('Cable Info'!L690="","",CONCATENATE('Cable Info'!L690," - ",'Cable Info'!M690))</f>
        <v>689 - AW</v>
      </c>
      <c r="AM986" s="121" t="str">
        <f t="shared" si="173"/>
        <v>689 - AW</v>
      </c>
      <c r="AO986" s="121" t="str">
        <f>IF('Cable Info'!N690="","",CONCATENATE('Cable Info'!N690," - ",'Cable Info'!O690))</f>
        <v>689 - AW</v>
      </c>
      <c r="AR986" s="121" t="str">
        <f t="shared" si="174"/>
        <v>689 - AW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str">
        <f>IF('Cable Info'!L691="","",CONCATENATE('Cable Info'!L691," - ",'Cable Info'!M691))</f>
        <v>690 - AW</v>
      </c>
      <c r="AM987" s="121" t="str">
        <f t="shared" si="173"/>
        <v>690 - AW</v>
      </c>
      <c r="AO987" s="121" t="str">
        <f>IF('Cable Info'!N691="","",CONCATENATE('Cable Info'!N691," - ",'Cable Info'!O691))</f>
        <v>690 - AW</v>
      </c>
      <c r="AR987" s="121" t="str">
        <f t="shared" si="174"/>
        <v>690 - AW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str">
        <f>IF('Cable Info'!L692="","",CONCATENATE('Cable Info'!L692," - ",'Cable Info'!M692))</f>
        <v>691 - AW</v>
      </c>
      <c r="AM988" s="121" t="str">
        <f t="shared" si="173"/>
        <v>691 - AW</v>
      </c>
      <c r="AO988" s="121" t="str">
        <f>IF('Cable Info'!N692="","",CONCATENATE('Cable Info'!N692," - ",'Cable Info'!O692))</f>
        <v>691 - AW</v>
      </c>
      <c r="AR988" s="121" t="str">
        <f t="shared" si="174"/>
        <v>691 - AW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str">
        <f>IF('Cable Info'!L693="","",CONCATENATE('Cable Info'!L693," - ",'Cable Info'!M693))</f>
        <v>692 - AW</v>
      </c>
      <c r="AM989" s="121" t="str">
        <f t="shared" si="173"/>
        <v>692 - AW</v>
      </c>
      <c r="AO989" s="121" t="str">
        <f>IF('Cable Info'!N693="","",CONCATENATE('Cable Info'!N693," - ",'Cable Info'!O693))</f>
        <v>692 - AW</v>
      </c>
      <c r="AR989" s="121" t="str">
        <f t="shared" si="174"/>
        <v>692 - AW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str">
        <f>IF('Cable Info'!L694="","",CONCATENATE('Cable Info'!L694," - ",'Cable Info'!M694))</f>
        <v>693 - AW</v>
      </c>
      <c r="AM990" s="121" t="str">
        <f t="shared" si="173"/>
        <v>693 - AW</v>
      </c>
      <c r="AO990" s="121" t="str">
        <f>IF('Cable Info'!N694="","",CONCATENATE('Cable Info'!N694," - ",'Cable Info'!O694))</f>
        <v>693 - AW</v>
      </c>
      <c r="AR990" s="121" t="str">
        <f t="shared" si="174"/>
        <v>693 - AW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str">
        <f>IF('Cable Info'!L695="","",CONCATENATE('Cable Info'!L695," - ",'Cable Info'!M695))</f>
        <v>694 - AW</v>
      </c>
      <c r="AM991" s="121" t="str">
        <f t="shared" si="173"/>
        <v>694 - AW</v>
      </c>
      <c r="AO991" s="121" t="str">
        <f>IF('Cable Info'!N695="","",CONCATENATE('Cable Info'!N695," - ",'Cable Info'!O695))</f>
        <v>694 - AW</v>
      </c>
      <c r="AR991" s="121" t="str">
        <f t="shared" si="174"/>
        <v>694 - AW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str">
        <f>IF('Cable Info'!L696="","",CONCATENATE('Cable Info'!L696," - ",'Cable Info'!M696))</f>
        <v>695 - AW</v>
      </c>
      <c r="AM992" s="121" t="str">
        <f t="shared" si="173"/>
        <v>695 - AW</v>
      </c>
      <c r="AO992" s="121" t="str">
        <f>IF('Cable Info'!N696="","",CONCATENATE('Cable Info'!N696," - ",'Cable Info'!O696))</f>
        <v>695 - AW</v>
      </c>
      <c r="AR992" s="121" t="str">
        <f t="shared" si="174"/>
        <v>695 - AW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str">
        <f>IF('Cable Info'!L697="","",CONCATENATE('Cable Info'!L697," - ",'Cable Info'!M697))</f>
        <v>696 - AW</v>
      </c>
      <c r="AM993" s="121" t="str">
        <f t="shared" si="173"/>
        <v>696 - AW</v>
      </c>
      <c r="AO993" s="121" t="str">
        <f>IF('Cable Info'!N697="","",CONCATENATE('Cable Info'!N697," - ",'Cable Info'!O697))</f>
        <v>696 - AW</v>
      </c>
      <c r="AR993" s="121" t="str">
        <f t="shared" si="174"/>
        <v>696 - AW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str">
        <f>IF('Cable Info'!L698="","",CONCATENATE('Cable Info'!L698," - ",'Cable Info'!M698))</f>
        <v>697 - AW</v>
      </c>
      <c r="AM994" s="121" t="str">
        <f t="shared" si="173"/>
        <v>697 - AW</v>
      </c>
      <c r="AO994" s="121" t="str">
        <f>IF('Cable Info'!N698="","",CONCATENATE('Cable Info'!N698," - ",'Cable Info'!O698))</f>
        <v>697 - AW</v>
      </c>
      <c r="AR994" s="121" t="str">
        <f t="shared" si="174"/>
        <v>697 - AW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str">
        <f>IF('Cable Info'!L699="","",CONCATENATE('Cable Info'!L699," - ",'Cable Info'!M699))</f>
        <v>698 - AW</v>
      </c>
      <c r="AM995" s="121" t="str">
        <f t="shared" si="173"/>
        <v>698 - AW</v>
      </c>
      <c r="AO995" s="121" t="str">
        <f>IF('Cable Info'!N699="","",CONCATENATE('Cable Info'!N699," - ",'Cable Info'!O699))</f>
        <v>698 - AW</v>
      </c>
      <c r="AR995" s="121" t="str">
        <f t="shared" si="174"/>
        <v>698 - AW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str">
        <f>IF('Cable Info'!L700="","",CONCATENATE('Cable Info'!L700," - ",'Cable Info'!M700))</f>
        <v>699 - AW</v>
      </c>
      <c r="AM996" s="121" t="str">
        <f t="shared" si="173"/>
        <v>699 - AW</v>
      </c>
      <c r="AO996" s="121" t="str">
        <f>IF('Cable Info'!N700="","",CONCATENATE('Cable Info'!N700," - ",'Cable Info'!O700))</f>
        <v>699 - AW</v>
      </c>
      <c r="AR996" s="121" t="str">
        <f t="shared" si="174"/>
        <v>699 - AW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str">
        <f>IF('Cable Info'!L701="","",CONCATENATE('Cable Info'!L701," - ",'Cable Info'!M701))</f>
        <v>700 - AW</v>
      </c>
      <c r="AM997" s="121" t="str">
        <f t="shared" si="173"/>
        <v>700 - AW</v>
      </c>
      <c r="AO997" s="121" t="str">
        <f>IF('Cable Info'!N701="","",CONCATENATE('Cable Info'!N701," - ",'Cable Info'!O701))</f>
        <v>700 - AW</v>
      </c>
      <c r="AR997" s="121" t="str">
        <f t="shared" si="174"/>
        <v>700 - AW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str">
        <f>IF('Cable Info'!L702="","",CONCATENATE('Cable Info'!L702," - ",'Cable Info'!M702))</f>
        <v>701 - AW</v>
      </c>
      <c r="AM998" s="121" t="str">
        <f t="shared" si="173"/>
        <v>701 - AW</v>
      </c>
      <c r="AO998" s="121" t="str">
        <f>IF('Cable Info'!N702="","",CONCATENATE('Cable Info'!N702," - ",'Cable Info'!O702))</f>
        <v>701 - AW</v>
      </c>
      <c r="AR998" s="121" t="str">
        <f t="shared" si="174"/>
        <v>701 - AW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str">
        <f>IF('Cable Info'!L703="","",CONCATENATE('Cable Info'!L703," - ",'Cable Info'!M703))</f>
        <v>702 - AW</v>
      </c>
      <c r="AM999" s="121" t="str">
        <f t="shared" si="173"/>
        <v>702 - AW</v>
      </c>
      <c r="AO999" s="121" t="str">
        <f>IF('Cable Info'!N703="","",CONCATENATE('Cable Info'!N703," - ",'Cable Info'!O703))</f>
        <v>702 - AW</v>
      </c>
      <c r="AR999" s="121" t="str">
        <f t="shared" si="174"/>
        <v>702 - AW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str">
        <f>IF('Cable Info'!L704="","",CONCATENATE('Cable Info'!L704," - ",'Cable Info'!M704))</f>
        <v>703 - AW</v>
      </c>
      <c r="AM1000" s="121" t="str">
        <f t="shared" si="173"/>
        <v>703 - AW</v>
      </c>
      <c r="AO1000" s="121" t="str">
        <f>IF('Cable Info'!N704="","",CONCATENATE('Cable Info'!N704," - ",'Cable Info'!O704))</f>
        <v>703 - AW</v>
      </c>
      <c r="AR1000" s="121" t="str">
        <f t="shared" si="174"/>
        <v>703 - AW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str">
        <f>IF('Cable Info'!L705="","",CONCATENATE('Cable Info'!L705," - ",'Cable Info'!M705))</f>
        <v>704 - AW</v>
      </c>
      <c r="AM1001" s="121" t="str">
        <f t="shared" si="173"/>
        <v>704 - AW</v>
      </c>
      <c r="AO1001" s="121" t="str">
        <f>IF('Cable Info'!N705="","",CONCATENATE('Cable Info'!N705," - ",'Cable Info'!O705))</f>
        <v>704 - AW</v>
      </c>
      <c r="AR1001" s="121" t="str">
        <f t="shared" si="174"/>
        <v>704 - AW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str">
        <f>IF('Cable Info'!L706="","",CONCATENATE('Cable Info'!L706," - ",'Cable Info'!M706))</f>
        <v>705 - AW</v>
      </c>
      <c r="AM1002" s="121" t="str">
        <f t="shared" si="173"/>
        <v>705 - AW</v>
      </c>
      <c r="AO1002" s="121" t="str">
        <f>IF('Cable Info'!N706="","",CONCATENATE('Cable Info'!N706," - ",'Cable Info'!O706))</f>
        <v>705 - AW</v>
      </c>
      <c r="AR1002" s="121" t="str">
        <f t="shared" si="174"/>
        <v>705 - AW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str">
        <f>IF('Cable Info'!L707="","",CONCATENATE('Cable Info'!L707," - ",'Cable Info'!M707))</f>
        <v>706 - AW</v>
      </c>
      <c r="AM1003" s="121" t="str">
        <f t="shared" ref="AM1003:AM1066" si="179">IF(AK1003="",AJ1003,CONCATENATE(AJ1003,"  &lt;=&gt; ",AK1003," ",AL1003))</f>
        <v>706 - AW</v>
      </c>
      <c r="AO1003" s="121" t="str">
        <f>IF('Cable Info'!N707="","",CONCATENATE('Cable Info'!N707," - ",'Cable Info'!O707))</f>
        <v>706 - AW</v>
      </c>
      <c r="AR1003" s="121" t="str">
        <f t="shared" ref="AR1003:AR1066" si="180">IF(AP1003="",AO1003,CONCATENATE(AO1003,"  &lt;=&gt; ",AP1003," ",AQ1003))</f>
        <v>706 - AW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str">
        <f>IF('Cable Info'!L708="","",CONCATENATE('Cable Info'!L708," - ",'Cable Info'!M708))</f>
        <v>707 - AW</v>
      </c>
      <c r="AM1004" s="121" t="str">
        <f t="shared" si="179"/>
        <v>707 - AW</v>
      </c>
      <c r="AO1004" s="121" t="str">
        <f>IF('Cable Info'!N708="","",CONCATENATE('Cable Info'!N708," - ",'Cable Info'!O708))</f>
        <v>707 - AW</v>
      </c>
      <c r="AR1004" s="121" t="str">
        <f t="shared" si="180"/>
        <v>707 - AW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str">
        <f>IF('Cable Info'!L709="","",CONCATENATE('Cable Info'!L709," - ",'Cable Info'!M709))</f>
        <v>708 - AW</v>
      </c>
      <c r="AM1005" s="121" t="str">
        <f t="shared" si="179"/>
        <v>708 - AW</v>
      </c>
      <c r="AO1005" s="121" t="str">
        <f>IF('Cable Info'!N709="","",CONCATENATE('Cable Info'!N709," - ",'Cable Info'!O709))</f>
        <v>708 - AW</v>
      </c>
      <c r="AR1005" s="121" t="str">
        <f t="shared" si="180"/>
        <v>708 - AW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str">
        <f>IF('Cable Info'!L710="","",CONCATENATE('Cable Info'!L710," - ",'Cable Info'!M710))</f>
        <v>709 - AW</v>
      </c>
      <c r="AM1006" s="121" t="str">
        <f t="shared" si="179"/>
        <v>709 - AW</v>
      </c>
      <c r="AO1006" s="121" t="str">
        <f>IF('Cable Info'!N710="","",CONCATENATE('Cable Info'!N710," - ",'Cable Info'!O710))</f>
        <v>709 - AW</v>
      </c>
      <c r="AR1006" s="121" t="str">
        <f t="shared" si="180"/>
        <v>709 - AW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str">
        <f>IF('Cable Info'!L711="","",CONCATENATE('Cable Info'!L711," - ",'Cable Info'!M711))</f>
        <v>710 - AW</v>
      </c>
      <c r="AM1007" s="121" t="str">
        <f t="shared" si="179"/>
        <v>710 - AW</v>
      </c>
      <c r="AO1007" s="121" t="str">
        <f>IF('Cable Info'!N711="","",CONCATENATE('Cable Info'!N711," - ",'Cable Info'!O711))</f>
        <v>710 - AW</v>
      </c>
      <c r="AR1007" s="121" t="str">
        <f t="shared" si="180"/>
        <v>710 - AW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str">
        <f>IF('Cable Info'!L712="","",CONCATENATE('Cable Info'!L712," - ",'Cable Info'!M712))</f>
        <v>711 - AW</v>
      </c>
      <c r="AM1008" s="121" t="str">
        <f t="shared" si="179"/>
        <v>711 - AW</v>
      </c>
      <c r="AO1008" s="121" t="str">
        <f>IF('Cable Info'!N712="","",CONCATENATE('Cable Info'!N712," - ",'Cable Info'!O712))</f>
        <v>711 - AW</v>
      </c>
      <c r="AR1008" s="121" t="str">
        <f t="shared" si="180"/>
        <v>711 - AW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str">
        <f>IF('Cable Info'!L713="","",CONCATENATE('Cable Info'!L713," - ",'Cable Info'!M713))</f>
        <v>712 - AW</v>
      </c>
      <c r="AM1009" s="121" t="str">
        <f t="shared" si="179"/>
        <v>712 - AW</v>
      </c>
      <c r="AO1009" s="121" t="str">
        <f>IF('Cable Info'!N713="","",CONCATENATE('Cable Info'!N713," - ",'Cable Info'!O713))</f>
        <v>712 - AW</v>
      </c>
      <c r="AR1009" s="121" t="str">
        <f t="shared" si="180"/>
        <v>712 - AW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str">
        <f>IF('Cable Info'!L714="","",CONCATENATE('Cable Info'!L714," - ",'Cable Info'!M714))</f>
        <v>713 - AW</v>
      </c>
      <c r="AM1010" s="121" t="str">
        <f t="shared" si="179"/>
        <v>713 - AW</v>
      </c>
      <c r="AO1010" s="121" t="str">
        <f>IF('Cable Info'!N714="","",CONCATENATE('Cable Info'!N714," - ",'Cable Info'!O714))</f>
        <v>713 - AW</v>
      </c>
      <c r="AR1010" s="121" t="str">
        <f t="shared" si="180"/>
        <v>713 - AW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str">
        <f>IF('Cable Info'!L715="","",CONCATENATE('Cable Info'!L715," - ",'Cable Info'!M715))</f>
        <v>714 - AW</v>
      </c>
      <c r="AM1011" s="121" t="str">
        <f t="shared" si="179"/>
        <v>714 - AW</v>
      </c>
      <c r="AO1011" s="121" t="str">
        <f>IF('Cable Info'!N715="","",CONCATENATE('Cable Info'!N715," - ",'Cable Info'!O715))</f>
        <v>714 - AW</v>
      </c>
      <c r="AR1011" s="121" t="str">
        <f t="shared" si="180"/>
        <v>714 - AW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str">
        <f>IF('Cable Info'!L716="","",CONCATENATE('Cable Info'!L716," - ",'Cable Info'!M716))</f>
        <v>715 - AW</v>
      </c>
      <c r="AM1012" s="121" t="str">
        <f t="shared" si="179"/>
        <v>715 - AW</v>
      </c>
      <c r="AO1012" s="121" t="str">
        <f>IF('Cable Info'!N716="","",CONCATENATE('Cable Info'!N716," - ",'Cable Info'!O716))</f>
        <v>715 - AW</v>
      </c>
      <c r="AR1012" s="121" t="str">
        <f t="shared" si="180"/>
        <v>715 - AW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str">
        <f>IF('Cable Info'!L717="","",CONCATENATE('Cable Info'!L717," - ",'Cable Info'!M717))</f>
        <v>716 - AW</v>
      </c>
      <c r="AM1013" s="121" t="str">
        <f t="shared" si="179"/>
        <v>716 - AW</v>
      </c>
      <c r="AO1013" s="121" t="str">
        <f>IF('Cable Info'!N717="","",CONCATENATE('Cable Info'!N717," - ",'Cable Info'!O717))</f>
        <v>716 - AW</v>
      </c>
      <c r="AR1013" s="121" t="str">
        <f t="shared" si="180"/>
        <v>716 - AW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str">
        <f>IF('Cable Info'!L718="","",CONCATENATE('Cable Info'!L718," - ",'Cable Info'!M718))</f>
        <v>717 - AW</v>
      </c>
      <c r="AM1014" s="121" t="str">
        <f t="shared" si="179"/>
        <v>717 - AW</v>
      </c>
      <c r="AO1014" s="121" t="str">
        <f>IF('Cable Info'!N718="","",CONCATENATE('Cable Info'!N718," - ",'Cable Info'!O718))</f>
        <v>717 - AW</v>
      </c>
      <c r="AR1014" s="121" t="str">
        <f t="shared" si="180"/>
        <v>717 - AW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str">
        <f>IF('Cable Info'!L719="","",CONCATENATE('Cable Info'!L719," - ",'Cable Info'!M719))</f>
        <v>718 - AW</v>
      </c>
      <c r="AM1015" s="121" t="str">
        <f t="shared" si="179"/>
        <v>718 - AW</v>
      </c>
      <c r="AO1015" s="121" t="str">
        <f>IF('Cable Info'!N719="","",CONCATENATE('Cable Info'!N719," - ",'Cable Info'!O719))</f>
        <v>718 - AW</v>
      </c>
      <c r="AR1015" s="121" t="str">
        <f t="shared" si="180"/>
        <v>718 - AW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str">
        <f>IF('Cable Info'!L720="","",CONCATENATE('Cable Info'!L720," - ",'Cable Info'!M720))</f>
        <v>719 - AW</v>
      </c>
      <c r="AM1016" s="121" t="str">
        <f t="shared" si="179"/>
        <v>719 - AW</v>
      </c>
      <c r="AO1016" s="121" t="str">
        <f>IF('Cable Info'!N720="","",CONCATENATE('Cable Info'!N720," - ",'Cable Info'!O720))</f>
        <v>719 - AW</v>
      </c>
      <c r="AR1016" s="121" t="str">
        <f t="shared" si="180"/>
        <v>719 - AW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str">
        <f>IF('Cable Info'!L721="","",CONCATENATE('Cable Info'!L721," - ",'Cable Info'!M721))</f>
        <v>720 - AW</v>
      </c>
      <c r="AM1017" s="121" t="str">
        <f t="shared" si="179"/>
        <v>720 - AW</v>
      </c>
      <c r="AO1017" s="121" t="str">
        <f>IF('Cable Info'!N721="","",CONCATENATE('Cable Info'!N721," - ",'Cable Info'!O721))</f>
        <v>720 - AW</v>
      </c>
      <c r="AR1017" s="121" t="str">
        <f t="shared" si="180"/>
        <v>720 - AW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str">
        <f>IF('Cable Info'!L722="","",CONCATENATE('Cable Info'!L722," - ",'Cable Info'!M722))</f>
        <v>721 - AW</v>
      </c>
      <c r="AM1018" s="121" t="str">
        <f t="shared" si="179"/>
        <v>721 - AW</v>
      </c>
      <c r="AO1018" s="121" t="str">
        <f>IF('Cable Info'!N722="","",CONCATENATE('Cable Info'!N722," - ",'Cable Info'!O722))</f>
        <v>721 - AW</v>
      </c>
      <c r="AR1018" s="121" t="str">
        <f t="shared" si="180"/>
        <v>721 - AW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str">
        <f>IF('Cable Info'!L723="","",CONCATENATE('Cable Info'!L723," - ",'Cable Info'!M723))</f>
        <v>722 - AW</v>
      </c>
      <c r="AM1019" s="121" t="str">
        <f t="shared" si="179"/>
        <v>722 - AW</v>
      </c>
      <c r="AO1019" s="121" t="str">
        <f>IF('Cable Info'!N723="","",CONCATENATE('Cable Info'!N723," - ",'Cable Info'!O723))</f>
        <v>722 - AW</v>
      </c>
      <c r="AR1019" s="121" t="str">
        <f t="shared" si="180"/>
        <v>722 - AW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str">
        <f>IF('Cable Info'!L724="","",CONCATENATE('Cable Info'!L724," - ",'Cable Info'!M724))</f>
        <v>723 - AW</v>
      </c>
      <c r="AM1020" s="121" t="str">
        <f t="shared" si="179"/>
        <v>723 - AW</v>
      </c>
      <c r="AO1020" s="121" t="str">
        <f>IF('Cable Info'!N724="","",CONCATENATE('Cable Info'!N724," - ",'Cable Info'!O724))</f>
        <v>723 - AW</v>
      </c>
      <c r="AR1020" s="121" t="str">
        <f t="shared" si="180"/>
        <v>723 - AW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str">
        <f>IF('Cable Info'!L725="","",CONCATENATE('Cable Info'!L725," - ",'Cable Info'!M725))</f>
        <v>724 - AW</v>
      </c>
      <c r="AM1021" s="121" t="str">
        <f t="shared" si="179"/>
        <v>724 - AW</v>
      </c>
      <c r="AO1021" s="121" t="str">
        <f>IF('Cable Info'!N725="","",CONCATENATE('Cable Info'!N725," - ",'Cable Info'!O725))</f>
        <v>724 - AW</v>
      </c>
      <c r="AR1021" s="121" t="str">
        <f t="shared" si="180"/>
        <v>724 - AW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str">
        <f>IF('Cable Info'!L726="","",CONCATENATE('Cable Info'!L726," - ",'Cable Info'!M726))</f>
        <v>725 - AW</v>
      </c>
      <c r="AM1022" s="121" t="str">
        <f t="shared" si="179"/>
        <v>725 - AW</v>
      </c>
      <c r="AO1022" s="121" t="str">
        <f>IF('Cable Info'!N726="","",CONCATENATE('Cable Info'!N726," - ",'Cable Info'!O726))</f>
        <v>725 - AW</v>
      </c>
      <c r="AR1022" s="121" t="str">
        <f t="shared" si="180"/>
        <v>725 - AW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str">
        <f>IF('Cable Info'!L727="","",CONCATENATE('Cable Info'!L727," - ",'Cable Info'!M727))</f>
        <v>726 - AW</v>
      </c>
      <c r="AM1023" s="121" t="str">
        <f t="shared" si="179"/>
        <v>726 - AW</v>
      </c>
      <c r="AO1023" s="121" t="str">
        <f>IF('Cable Info'!N727="","",CONCATENATE('Cable Info'!N727," - ",'Cable Info'!O727))</f>
        <v>726 - AW</v>
      </c>
      <c r="AR1023" s="121" t="str">
        <f t="shared" si="180"/>
        <v>726 - AW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str">
        <f>IF('Cable Info'!L728="","",CONCATENATE('Cable Info'!L728," - ",'Cable Info'!M728))</f>
        <v>727 - AW</v>
      </c>
      <c r="AM1024" s="121" t="str">
        <f t="shared" si="179"/>
        <v>727 - AW</v>
      </c>
      <c r="AO1024" s="121" t="str">
        <f>IF('Cable Info'!N728="","",CONCATENATE('Cable Info'!N728," - ",'Cable Info'!O728))</f>
        <v>727 - AW</v>
      </c>
      <c r="AR1024" s="121" t="str">
        <f t="shared" si="180"/>
        <v>727 - AW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str">
        <f>IF('Cable Info'!L729="","",CONCATENATE('Cable Info'!L729," - ",'Cable Info'!M729))</f>
        <v>728 - AW</v>
      </c>
      <c r="AM1025" s="121" t="str">
        <f t="shared" si="179"/>
        <v>728 - AW</v>
      </c>
      <c r="AO1025" s="121" t="str">
        <f>IF('Cable Info'!N729="","",CONCATENATE('Cable Info'!N729," - ",'Cable Info'!O729))</f>
        <v>728 - AW</v>
      </c>
      <c r="AR1025" s="121" t="str">
        <f t="shared" si="180"/>
        <v>728 - AW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str">
        <f>IF('Cable Info'!L730="","",CONCATENATE('Cable Info'!L730," - ",'Cable Info'!M730))</f>
        <v>729 - AW</v>
      </c>
      <c r="AM1026" s="121" t="str">
        <f t="shared" si="179"/>
        <v>729 - AW</v>
      </c>
      <c r="AO1026" s="121" t="str">
        <f>IF('Cable Info'!N730="","",CONCATENATE('Cable Info'!N730," - ",'Cable Info'!O730))</f>
        <v>729 - AW</v>
      </c>
      <c r="AR1026" s="121" t="str">
        <f t="shared" si="180"/>
        <v>729 - AW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str">
        <f>IF('Cable Info'!L731="","",CONCATENATE('Cable Info'!L731," - ",'Cable Info'!M731))</f>
        <v>730 - AW</v>
      </c>
      <c r="AM1027" s="121" t="str">
        <f t="shared" si="179"/>
        <v>730 - AW</v>
      </c>
      <c r="AO1027" s="121" t="str">
        <f>IF('Cable Info'!N731="","",CONCATENATE('Cable Info'!N731," - ",'Cable Info'!O731))</f>
        <v>730 - AW</v>
      </c>
      <c r="AR1027" s="121" t="str">
        <f t="shared" si="180"/>
        <v>730 - AW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str">
        <f>IF('Cable Info'!L732="","",CONCATENATE('Cable Info'!L732," - ",'Cable Info'!M732))</f>
        <v>731 - AW</v>
      </c>
      <c r="AM1028" s="121" t="str">
        <f t="shared" si="179"/>
        <v>731 - AW</v>
      </c>
      <c r="AO1028" s="121" t="str">
        <f>IF('Cable Info'!N732="","",CONCATENATE('Cable Info'!N732," - ",'Cable Info'!O732))</f>
        <v>731 - AW</v>
      </c>
      <c r="AR1028" s="121" t="str">
        <f t="shared" si="180"/>
        <v>731 - AW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str">
        <f>IF('Cable Info'!L733="","",CONCATENATE('Cable Info'!L733," - ",'Cable Info'!M733))</f>
        <v>732 - AW</v>
      </c>
      <c r="AM1029" s="121" t="str">
        <f t="shared" si="179"/>
        <v>732 - AW</v>
      </c>
      <c r="AO1029" s="121" t="str">
        <f>IF('Cable Info'!N733="","",CONCATENATE('Cable Info'!N733," - ",'Cable Info'!O733))</f>
        <v>732 - AW</v>
      </c>
      <c r="AR1029" s="121" t="str">
        <f t="shared" si="180"/>
        <v>732 - AW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str">
        <f>IF('Cable Info'!L734="","",CONCATENATE('Cable Info'!L734," - ",'Cable Info'!M734))</f>
        <v>733 - AW</v>
      </c>
      <c r="AM1030" s="121" t="str">
        <f t="shared" si="179"/>
        <v>733 - AW</v>
      </c>
      <c r="AO1030" s="121" t="str">
        <f>IF('Cable Info'!N734="","",CONCATENATE('Cable Info'!N734," - ",'Cable Info'!O734))</f>
        <v>733 - AW</v>
      </c>
      <c r="AR1030" s="121" t="str">
        <f t="shared" si="180"/>
        <v>733 - AW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str">
        <f>IF('Cable Info'!L735="","",CONCATENATE('Cable Info'!L735," - ",'Cable Info'!M735))</f>
        <v>734 - AW</v>
      </c>
      <c r="AM1031" s="121" t="str">
        <f t="shared" si="179"/>
        <v>734 - AW</v>
      </c>
      <c r="AO1031" s="121" t="str">
        <f>IF('Cable Info'!N735="","",CONCATENATE('Cable Info'!N735," - ",'Cable Info'!O735))</f>
        <v>734 - AW</v>
      </c>
      <c r="AR1031" s="121" t="str">
        <f t="shared" si="180"/>
        <v>734 - AW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str">
        <f>IF('Cable Info'!L736="","",CONCATENATE('Cable Info'!L736," - ",'Cable Info'!M736))</f>
        <v>735 - AW</v>
      </c>
      <c r="AM1032" s="121" t="str">
        <f t="shared" si="179"/>
        <v>735 - AW</v>
      </c>
      <c r="AO1032" s="121" t="str">
        <f>IF('Cable Info'!N736="","",CONCATENATE('Cable Info'!N736," - ",'Cable Info'!O736))</f>
        <v>735 - AW</v>
      </c>
      <c r="AR1032" s="121" t="str">
        <f t="shared" si="180"/>
        <v>735 - AW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str">
        <f>IF('Cable Info'!L737="","",CONCATENATE('Cable Info'!L737," - ",'Cable Info'!M737))</f>
        <v>736 - AW</v>
      </c>
      <c r="AM1033" s="121" t="str">
        <f t="shared" si="179"/>
        <v>736 - AW</v>
      </c>
      <c r="AO1033" s="121" t="str">
        <f>IF('Cable Info'!N737="","",CONCATENATE('Cable Info'!N737," - ",'Cable Info'!O737))</f>
        <v>736 - AW</v>
      </c>
      <c r="AR1033" s="121" t="str">
        <f t="shared" si="180"/>
        <v>736 - AW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str">
        <f>IF('Cable Info'!L738="","",CONCATENATE('Cable Info'!L738," - ",'Cable Info'!M738))</f>
        <v>737 - AW</v>
      </c>
      <c r="AM1034" s="121" t="str">
        <f t="shared" si="179"/>
        <v>737 - AW</v>
      </c>
      <c r="AO1034" s="121" t="str">
        <f>IF('Cable Info'!N738="","",CONCATENATE('Cable Info'!N738," - ",'Cable Info'!O738))</f>
        <v>737 - AW</v>
      </c>
      <c r="AR1034" s="121" t="str">
        <f t="shared" si="180"/>
        <v>737 - AW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str">
        <f>IF('Cable Info'!L739="","",CONCATENATE('Cable Info'!L739," - ",'Cable Info'!M739))</f>
        <v>738 - AW</v>
      </c>
      <c r="AM1035" s="121" t="str">
        <f t="shared" si="179"/>
        <v>738 - AW</v>
      </c>
      <c r="AO1035" s="121" t="str">
        <f>IF('Cable Info'!N739="","",CONCATENATE('Cable Info'!N739," - ",'Cable Info'!O739))</f>
        <v>738 - AW</v>
      </c>
      <c r="AR1035" s="121" t="str">
        <f t="shared" si="180"/>
        <v>738 - AW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str">
        <f>IF('Cable Info'!L740="","",CONCATENATE('Cable Info'!L740," - ",'Cable Info'!M740))</f>
        <v>739 - AW</v>
      </c>
      <c r="AM1036" s="121" t="str">
        <f t="shared" si="179"/>
        <v>739 - AW</v>
      </c>
      <c r="AO1036" s="121" t="str">
        <f>IF('Cable Info'!N740="","",CONCATENATE('Cable Info'!N740," - ",'Cable Info'!O740))</f>
        <v>739 - AW</v>
      </c>
      <c r="AR1036" s="121" t="str">
        <f t="shared" si="180"/>
        <v>739 - AW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str">
        <f>IF('Cable Info'!L741="","",CONCATENATE('Cable Info'!L741," - ",'Cable Info'!M741))</f>
        <v>740 - AW</v>
      </c>
      <c r="AM1037" s="121" t="str">
        <f t="shared" si="179"/>
        <v>740 - AW</v>
      </c>
      <c r="AO1037" s="121" t="str">
        <f>IF('Cable Info'!N741="","",CONCATENATE('Cable Info'!N741," - ",'Cable Info'!O741))</f>
        <v>740 - AW</v>
      </c>
      <c r="AR1037" s="121" t="str">
        <f t="shared" si="180"/>
        <v>740 - AW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str">
        <f>IF('Cable Info'!L742="","",CONCATENATE('Cable Info'!L742," - ",'Cable Info'!M742))</f>
        <v>741 - AW</v>
      </c>
      <c r="AM1038" s="121" t="str">
        <f t="shared" si="179"/>
        <v>741 - AW</v>
      </c>
      <c r="AO1038" s="121" t="str">
        <f>IF('Cable Info'!N742="","",CONCATENATE('Cable Info'!N742," - ",'Cable Info'!O742))</f>
        <v>741 - AW</v>
      </c>
      <c r="AR1038" s="121" t="str">
        <f t="shared" si="180"/>
        <v>741 - AW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str">
        <f>IF('Cable Info'!L743="","",CONCATENATE('Cable Info'!L743," - ",'Cable Info'!M743))</f>
        <v>742 - AW</v>
      </c>
      <c r="AM1039" s="121" t="str">
        <f t="shared" si="179"/>
        <v>742 - AW</v>
      </c>
      <c r="AO1039" s="121" t="str">
        <f>IF('Cable Info'!N743="","",CONCATENATE('Cable Info'!N743," - ",'Cable Info'!O743))</f>
        <v>742 - AW</v>
      </c>
      <c r="AR1039" s="121" t="str">
        <f t="shared" si="180"/>
        <v>742 - AW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str">
        <f>IF('Cable Info'!L744="","",CONCATENATE('Cable Info'!L744," - ",'Cable Info'!M744))</f>
        <v>743 - AW</v>
      </c>
      <c r="AM1040" s="121" t="str">
        <f t="shared" si="179"/>
        <v>743 - AW</v>
      </c>
      <c r="AO1040" s="121" t="str">
        <f>IF('Cable Info'!N744="","",CONCATENATE('Cable Info'!N744," - ",'Cable Info'!O744))</f>
        <v>743 - AW</v>
      </c>
      <c r="AR1040" s="121" t="str">
        <f t="shared" si="180"/>
        <v>743 - AW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str">
        <f>IF('Cable Info'!L745="","",CONCATENATE('Cable Info'!L745," - ",'Cable Info'!M745))</f>
        <v>744 - AW</v>
      </c>
      <c r="AM1041" s="121" t="str">
        <f t="shared" si="179"/>
        <v>744 - AW</v>
      </c>
      <c r="AO1041" s="121" t="str">
        <f>IF('Cable Info'!N745="","",CONCATENATE('Cable Info'!N745," - ",'Cable Info'!O745))</f>
        <v>744 - AW</v>
      </c>
      <c r="AR1041" s="121" t="str">
        <f t="shared" si="180"/>
        <v>744 - AW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str">
        <f>IF('Cable Info'!L746="","",CONCATENATE('Cable Info'!L746," - ",'Cable Info'!M746))</f>
        <v>745 - AW</v>
      </c>
      <c r="AM1042" s="121" t="str">
        <f t="shared" si="179"/>
        <v>745 - AW</v>
      </c>
      <c r="AO1042" s="121" t="str">
        <f>IF('Cable Info'!N746="","",CONCATENATE('Cable Info'!N746," - ",'Cable Info'!O746))</f>
        <v>745 - AW</v>
      </c>
      <c r="AR1042" s="121" t="str">
        <f t="shared" si="180"/>
        <v>745 - AW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str">
        <f>IF('Cable Info'!L747="","",CONCATENATE('Cable Info'!L747," - ",'Cable Info'!M747))</f>
        <v>746 - AW</v>
      </c>
      <c r="AM1043" s="121" t="str">
        <f t="shared" si="179"/>
        <v>746 - AW</v>
      </c>
      <c r="AO1043" s="121" t="str">
        <f>IF('Cable Info'!N747="","",CONCATENATE('Cable Info'!N747," - ",'Cable Info'!O747))</f>
        <v>746 - AW</v>
      </c>
      <c r="AR1043" s="121" t="str">
        <f t="shared" si="180"/>
        <v>746 - AW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str">
        <f>IF('Cable Info'!L748="","",CONCATENATE('Cable Info'!L748," - ",'Cable Info'!M748))</f>
        <v>747 - AW</v>
      </c>
      <c r="AM1044" s="121" t="str">
        <f t="shared" si="179"/>
        <v>747 - AW</v>
      </c>
      <c r="AO1044" s="121" t="str">
        <f>IF('Cable Info'!N748="","",CONCATENATE('Cable Info'!N748," - ",'Cable Info'!O748))</f>
        <v>747 - AW</v>
      </c>
      <c r="AR1044" s="121" t="str">
        <f t="shared" si="180"/>
        <v>747 - AW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str">
        <f>IF('Cable Info'!L749="","",CONCATENATE('Cable Info'!L749," - ",'Cable Info'!M749))</f>
        <v>748 - AW</v>
      </c>
      <c r="AM1045" s="121" t="str">
        <f t="shared" si="179"/>
        <v>748 - AW</v>
      </c>
      <c r="AO1045" s="121" t="str">
        <f>IF('Cable Info'!N749="","",CONCATENATE('Cable Info'!N749," - ",'Cable Info'!O749))</f>
        <v>748 - AW</v>
      </c>
      <c r="AR1045" s="121" t="str">
        <f t="shared" si="180"/>
        <v>748 - AW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str">
        <f>IF('Cable Info'!L750="","",CONCATENATE('Cable Info'!L750," - ",'Cable Info'!M750))</f>
        <v>749 - AW</v>
      </c>
      <c r="AM1046" s="121" t="str">
        <f t="shared" si="179"/>
        <v>749 - AW</v>
      </c>
      <c r="AO1046" s="121" t="str">
        <f>IF('Cable Info'!N750="","",CONCATENATE('Cable Info'!N750," - ",'Cable Info'!O750))</f>
        <v>749 - AW</v>
      </c>
      <c r="AR1046" s="121" t="str">
        <f t="shared" si="180"/>
        <v>749 - AW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str">
        <f>IF('Cable Info'!L751="","",CONCATENATE('Cable Info'!L751," - ",'Cable Info'!M751))</f>
        <v>750 - AW</v>
      </c>
      <c r="AM1047" s="121" t="str">
        <f t="shared" si="179"/>
        <v>750 - AW</v>
      </c>
      <c r="AO1047" s="121" t="str">
        <f>IF('Cable Info'!N751="","",CONCATENATE('Cable Info'!N751," - ",'Cable Info'!O751))</f>
        <v>750 - AW</v>
      </c>
      <c r="AR1047" s="121" t="str">
        <f t="shared" si="180"/>
        <v>750 - AW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str">
        <f>IF('Cable Info'!L752="","",CONCATENATE('Cable Info'!L752," - ",'Cable Info'!M752))</f>
        <v>751 - AW</v>
      </c>
      <c r="AM1048" s="121" t="str">
        <f t="shared" si="179"/>
        <v>751 - AW</v>
      </c>
      <c r="AO1048" s="121" t="str">
        <f>IF('Cable Info'!N752="","",CONCATENATE('Cable Info'!N752," - ",'Cable Info'!O752))</f>
        <v>751 - AW</v>
      </c>
      <c r="AR1048" s="121" t="str">
        <f t="shared" si="180"/>
        <v>751 - AW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str">
        <f>IF('Cable Info'!L753="","",CONCATENATE('Cable Info'!L753," - ",'Cable Info'!M753))</f>
        <v>752 - AW</v>
      </c>
      <c r="AM1049" s="121" t="str">
        <f t="shared" si="179"/>
        <v>752 - AW</v>
      </c>
      <c r="AO1049" s="121" t="str">
        <f>IF('Cable Info'!N753="","",CONCATENATE('Cable Info'!N753," - ",'Cable Info'!O753))</f>
        <v>752 - AW</v>
      </c>
      <c r="AR1049" s="121" t="str">
        <f t="shared" si="180"/>
        <v>752 - AW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str">
        <f>IF('Cable Info'!L754="","",CONCATENATE('Cable Info'!L754," - ",'Cable Info'!M754))</f>
        <v>753 - AW</v>
      </c>
      <c r="AM1050" s="121" t="str">
        <f t="shared" si="179"/>
        <v>753 - AW</v>
      </c>
      <c r="AO1050" s="121" t="str">
        <f>IF('Cable Info'!N754="","",CONCATENATE('Cable Info'!N754," - ",'Cable Info'!O754))</f>
        <v>753 - AW</v>
      </c>
      <c r="AR1050" s="121" t="str">
        <f t="shared" si="180"/>
        <v>753 - AW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str">
        <f>IF('Cable Info'!L755="","",CONCATENATE('Cable Info'!L755," - ",'Cable Info'!M755))</f>
        <v>754 - AW</v>
      </c>
      <c r="AM1051" s="121" t="str">
        <f t="shared" si="179"/>
        <v>754 - AW</v>
      </c>
      <c r="AO1051" s="121" t="str">
        <f>IF('Cable Info'!N755="","",CONCATENATE('Cable Info'!N755," - ",'Cable Info'!O755))</f>
        <v>754 - AW</v>
      </c>
      <c r="AR1051" s="121" t="str">
        <f t="shared" si="180"/>
        <v>754 - AW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str">
        <f>IF('Cable Info'!L756="","",CONCATENATE('Cable Info'!L756," - ",'Cable Info'!M756))</f>
        <v>755 - AW</v>
      </c>
      <c r="AM1052" s="121" t="str">
        <f t="shared" si="179"/>
        <v>755 - AW</v>
      </c>
      <c r="AO1052" s="121" t="str">
        <f>IF('Cable Info'!N756="","",CONCATENATE('Cable Info'!N756," - ",'Cable Info'!O756))</f>
        <v>755 - AW</v>
      </c>
      <c r="AR1052" s="121" t="str">
        <f t="shared" si="180"/>
        <v>755 - AW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str">
        <f>IF('Cable Info'!L757="","",CONCATENATE('Cable Info'!L757," - ",'Cable Info'!M757))</f>
        <v>756 - AW</v>
      </c>
      <c r="AM1053" s="121" t="str">
        <f t="shared" si="179"/>
        <v>756 - AW</v>
      </c>
      <c r="AO1053" s="121" t="str">
        <f>IF('Cable Info'!N757="","",CONCATENATE('Cable Info'!N757," - ",'Cable Info'!O757))</f>
        <v>756 - AW</v>
      </c>
      <c r="AR1053" s="121" t="str">
        <f t="shared" si="180"/>
        <v>756 - AW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str">
        <f>IF('Cable Info'!L758="","",CONCATENATE('Cable Info'!L758," - ",'Cable Info'!M758))</f>
        <v>757 - AW</v>
      </c>
      <c r="AM1054" s="121" t="str">
        <f t="shared" si="179"/>
        <v>757 - AW</v>
      </c>
      <c r="AO1054" s="121" t="str">
        <f>IF('Cable Info'!N758="","",CONCATENATE('Cable Info'!N758," - ",'Cable Info'!O758))</f>
        <v>757 - AW</v>
      </c>
      <c r="AR1054" s="121" t="str">
        <f t="shared" si="180"/>
        <v>757 - AW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str">
        <f>IF('Cable Info'!L759="","",CONCATENATE('Cable Info'!L759," - ",'Cable Info'!M759))</f>
        <v>758 - AW</v>
      </c>
      <c r="AM1055" s="121" t="str">
        <f t="shared" si="179"/>
        <v>758 - AW</v>
      </c>
      <c r="AO1055" s="121" t="str">
        <f>IF('Cable Info'!N759="","",CONCATENATE('Cable Info'!N759," - ",'Cable Info'!O759))</f>
        <v>758 - AW</v>
      </c>
      <c r="AR1055" s="121" t="str">
        <f t="shared" si="180"/>
        <v>758 - AW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str">
        <f>IF('Cable Info'!L760="","",CONCATENATE('Cable Info'!L760," - ",'Cable Info'!M760))</f>
        <v>759 - AW</v>
      </c>
      <c r="AM1056" s="121" t="str">
        <f t="shared" si="179"/>
        <v>759 - AW</v>
      </c>
      <c r="AO1056" s="121" t="str">
        <f>IF('Cable Info'!N760="","",CONCATENATE('Cable Info'!N760," - ",'Cable Info'!O760))</f>
        <v>759 - AW</v>
      </c>
      <c r="AR1056" s="121" t="str">
        <f t="shared" si="180"/>
        <v>759 - AW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str">
        <f>IF('Cable Info'!L761="","",CONCATENATE('Cable Info'!L761," - ",'Cable Info'!M761))</f>
        <v>760 - AW</v>
      </c>
      <c r="AM1057" s="121" t="str">
        <f t="shared" si="179"/>
        <v>760 - AW</v>
      </c>
      <c r="AO1057" s="121" t="str">
        <f>IF('Cable Info'!N761="","",CONCATENATE('Cable Info'!N761," - ",'Cable Info'!O761))</f>
        <v>760 - AW</v>
      </c>
      <c r="AR1057" s="121" t="str">
        <f t="shared" si="180"/>
        <v>760 - AW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str">
        <f>IF('Cable Info'!L762="","",CONCATENATE('Cable Info'!L762," - ",'Cable Info'!M762))</f>
        <v>761 - AW</v>
      </c>
      <c r="AM1058" s="121" t="str">
        <f t="shared" si="179"/>
        <v>761 - AW</v>
      </c>
      <c r="AO1058" s="121" t="str">
        <f>IF('Cable Info'!N762="","",CONCATENATE('Cable Info'!N762," - ",'Cable Info'!O762))</f>
        <v>761 - AW</v>
      </c>
      <c r="AR1058" s="121" t="str">
        <f t="shared" si="180"/>
        <v>761 - AW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str">
        <f>IF('Cable Info'!L763="","",CONCATENATE('Cable Info'!L763," - ",'Cable Info'!M763))</f>
        <v>762 - AW</v>
      </c>
      <c r="AM1059" s="121" t="str">
        <f t="shared" si="179"/>
        <v>762 - AW</v>
      </c>
      <c r="AO1059" s="121" t="str">
        <f>IF('Cable Info'!N763="","",CONCATENATE('Cable Info'!N763," - ",'Cable Info'!O763))</f>
        <v>762 - AW</v>
      </c>
      <c r="AR1059" s="121" t="str">
        <f t="shared" si="180"/>
        <v>762 - AW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str">
        <f>IF('Cable Info'!L764="","",CONCATENATE('Cable Info'!L764," - ",'Cable Info'!M764))</f>
        <v>763 - AW</v>
      </c>
      <c r="AM1060" s="121" t="str">
        <f t="shared" si="179"/>
        <v>763 - AW</v>
      </c>
      <c r="AO1060" s="121" t="str">
        <f>IF('Cable Info'!N764="","",CONCATENATE('Cable Info'!N764," - ",'Cable Info'!O764))</f>
        <v>763 - AW</v>
      </c>
      <c r="AR1060" s="121" t="str">
        <f t="shared" si="180"/>
        <v>763 - AW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str">
        <f>IF('Cable Info'!L765="","",CONCATENATE('Cable Info'!L765," - ",'Cable Info'!M765))</f>
        <v>764 - AW</v>
      </c>
      <c r="AM1061" s="121" t="str">
        <f t="shared" si="179"/>
        <v>764 - AW</v>
      </c>
      <c r="AO1061" s="121" t="str">
        <f>IF('Cable Info'!N765="","",CONCATENATE('Cable Info'!N765," - ",'Cable Info'!O765))</f>
        <v>764 - AW</v>
      </c>
      <c r="AR1061" s="121" t="str">
        <f t="shared" si="180"/>
        <v>764 - AW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str">
        <f>IF('Cable Info'!L766="","",CONCATENATE('Cable Info'!L766," - ",'Cable Info'!M766))</f>
        <v>765 - AW</v>
      </c>
      <c r="AM1062" s="121" t="str">
        <f t="shared" si="179"/>
        <v>765 - AW</v>
      </c>
      <c r="AO1062" s="121" t="str">
        <f>IF('Cable Info'!N766="","",CONCATENATE('Cable Info'!N766," - ",'Cable Info'!O766))</f>
        <v>765 - AW</v>
      </c>
      <c r="AR1062" s="121" t="str">
        <f t="shared" si="180"/>
        <v>765 - AW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str">
        <f>IF('Cable Info'!L767="","",CONCATENATE('Cable Info'!L767," - ",'Cable Info'!M767))</f>
        <v>766 - AW</v>
      </c>
      <c r="AM1063" s="121" t="str">
        <f t="shared" si="179"/>
        <v>766 - AW</v>
      </c>
      <c r="AO1063" s="121" t="str">
        <f>IF('Cable Info'!N767="","",CONCATENATE('Cable Info'!N767," - ",'Cable Info'!O767))</f>
        <v>766 - AW</v>
      </c>
      <c r="AR1063" s="121" t="str">
        <f t="shared" si="180"/>
        <v>766 - AW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str">
        <f>IF('Cable Info'!L768="","",CONCATENATE('Cable Info'!L768," - ",'Cable Info'!M768))</f>
        <v>767 - AW</v>
      </c>
      <c r="AM1064" s="121" t="str">
        <f t="shared" si="179"/>
        <v>767 - AW</v>
      </c>
      <c r="AO1064" s="121" t="str">
        <f>IF('Cable Info'!N768="","",CONCATENATE('Cable Info'!N768," - ",'Cable Info'!O768))</f>
        <v>767 - AW</v>
      </c>
      <c r="AR1064" s="121" t="str">
        <f t="shared" si="180"/>
        <v>767 - AW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str">
        <f>IF('Cable Info'!L769="","",CONCATENATE('Cable Info'!L769," - ",'Cable Info'!M769))</f>
        <v>768 - AW</v>
      </c>
      <c r="AM1065" s="121" t="str">
        <f t="shared" si="179"/>
        <v>768 - AW</v>
      </c>
      <c r="AO1065" s="121" t="str">
        <f>IF('Cable Info'!N769="","",CONCATENATE('Cable Info'!N769," - ",'Cable Info'!O769))</f>
        <v>768 - AW</v>
      </c>
      <c r="AR1065" s="121" t="str">
        <f t="shared" si="180"/>
        <v>768 - AW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str">
        <f>IF('Cable Info'!L770="","",CONCATENATE('Cable Info'!L770," - ",'Cable Info'!M770))</f>
        <v>769 - AW</v>
      </c>
      <c r="AM1066" s="121" t="str">
        <f t="shared" si="179"/>
        <v>769 - AW</v>
      </c>
      <c r="AO1066" s="121" t="str">
        <f>IF('Cable Info'!N770="","",CONCATENATE('Cable Info'!N770," - ",'Cable Info'!O770))</f>
        <v>769 - AW</v>
      </c>
      <c r="AR1066" s="121" t="str">
        <f t="shared" si="180"/>
        <v>769 - AW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str">
        <f>IF('Cable Info'!L771="","",CONCATENATE('Cable Info'!L771," - ",'Cable Info'!M771))</f>
        <v>770 - AW</v>
      </c>
      <c r="AM1067" s="121" t="str">
        <f t="shared" ref="AM1067:AM1130" si="185">IF(AK1067="",AJ1067,CONCATENATE(AJ1067,"  &lt;=&gt; ",AK1067," ",AL1067))</f>
        <v>770 - AW</v>
      </c>
      <c r="AO1067" s="121" t="str">
        <f>IF('Cable Info'!N771="","",CONCATENATE('Cable Info'!N771," - ",'Cable Info'!O771))</f>
        <v>770 - AW</v>
      </c>
      <c r="AR1067" s="121" t="str">
        <f t="shared" ref="AR1067:AR1130" si="186">IF(AP1067="",AO1067,CONCATENATE(AO1067,"  &lt;=&gt; ",AP1067," ",AQ1067))</f>
        <v>770 - AW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str">
        <f>IF('Cable Info'!L772="","",CONCATENATE('Cable Info'!L772," - ",'Cable Info'!M772))</f>
        <v>771 - AW</v>
      </c>
      <c r="AM1068" s="121" t="str">
        <f t="shared" si="185"/>
        <v>771 - AW</v>
      </c>
      <c r="AO1068" s="121" t="str">
        <f>IF('Cable Info'!N772="","",CONCATENATE('Cable Info'!N772," - ",'Cable Info'!O772))</f>
        <v>771 - AW</v>
      </c>
      <c r="AR1068" s="121" t="str">
        <f t="shared" si="186"/>
        <v>771 - AW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str">
        <f>IF('Cable Info'!L773="","",CONCATENATE('Cable Info'!L773," - ",'Cable Info'!M773))</f>
        <v>772 - AW</v>
      </c>
      <c r="AM1069" s="121" t="str">
        <f t="shared" si="185"/>
        <v>772 - AW</v>
      </c>
      <c r="AO1069" s="121" t="str">
        <f>IF('Cable Info'!N773="","",CONCATENATE('Cable Info'!N773," - ",'Cable Info'!O773))</f>
        <v>772 - AW</v>
      </c>
      <c r="AR1069" s="121" t="str">
        <f t="shared" si="186"/>
        <v>772 - AW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str">
        <f>IF('Cable Info'!L774="","",CONCATENATE('Cable Info'!L774," - ",'Cable Info'!M774))</f>
        <v>773 - AW</v>
      </c>
      <c r="AM1070" s="121" t="str">
        <f t="shared" si="185"/>
        <v>773 - AW</v>
      </c>
      <c r="AO1070" s="121" t="str">
        <f>IF('Cable Info'!N774="","",CONCATENATE('Cable Info'!N774," - ",'Cable Info'!O774))</f>
        <v>773 - AW</v>
      </c>
      <c r="AR1070" s="121" t="str">
        <f t="shared" si="186"/>
        <v>773 - AW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str">
        <f>IF('Cable Info'!L775="","",CONCATENATE('Cable Info'!L775," - ",'Cable Info'!M775))</f>
        <v>774 - AW</v>
      </c>
      <c r="AM1071" s="121" t="str">
        <f t="shared" si="185"/>
        <v>774 - AW</v>
      </c>
      <c r="AO1071" s="121" t="str">
        <f>IF('Cable Info'!N775="","",CONCATENATE('Cable Info'!N775," - ",'Cable Info'!O775))</f>
        <v>774 - AW</v>
      </c>
      <c r="AR1071" s="121" t="str">
        <f t="shared" si="186"/>
        <v>774 - AW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str">
        <f>IF('Cable Info'!L776="","",CONCATENATE('Cable Info'!L776," - ",'Cable Info'!M776))</f>
        <v>775 - AW</v>
      </c>
      <c r="AM1072" s="121" t="str">
        <f t="shared" si="185"/>
        <v>775 - AW</v>
      </c>
      <c r="AO1072" s="121" t="str">
        <f>IF('Cable Info'!N776="","",CONCATENATE('Cable Info'!N776," - ",'Cable Info'!O776))</f>
        <v>775 - AW</v>
      </c>
      <c r="AR1072" s="121" t="str">
        <f t="shared" si="186"/>
        <v>775 - AW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str">
        <f>IF('Cable Info'!L777="","",CONCATENATE('Cable Info'!L777," - ",'Cable Info'!M777))</f>
        <v>776 - AW</v>
      </c>
      <c r="AM1073" s="121" t="str">
        <f t="shared" si="185"/>
        <v>776 - AW</v>
      </c>
      <c r="AO1073" s="121" t="str">
        <f>IF('Cable Info'!N777="","",CONCATENATE('Cable Info'!N777," - ",'Cable Info'!O777))</f>
        <v>776 - AW</v>
      </c>
      <c r="AR1073" s="121" t="str">
        <f t="shared" si="186"/>
        <v>776 - AW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str">
        <f>IF('Cable Info'!L778="","",CONCATENATE('Cable Info'!L778," - ",'Cable Info'!M778))</f>
        <v>777 - AW</v>
      </c>
      <c r="AM1074" s="121" t="str">
        <f t="shared" si="185"/>
        <v>777 - AW</v>
      </c>
      <c r="AO1074" s="121" t="str">
        <f>IF('Cable Info'!N778="","",CONCATENATE('Cable Info'!N778," - ",'Cable Info'!O778))</f>
        <v>777 - AW</v>
      </c>
      <c r="AR1074" s="121" t="str">
        <f t="shared" si="186"/>
        <v>777 - AW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str">
        <f>IF('Cable Info'!L779="","",CONCATENATE('Cable Info'!L779," - ",'Cable Info'!M779))</f>
        <v>778 - AW</v>
      </c>
      <c r="AM1075" s="121" t="str">
        <f t="shared" si="185"/>
        <v>778 - AW</v>
      </c>
      <c r="AO1075" s="121" t="str">
        <f>IF('Cable Info'!N779="","",CONCATENATE('Cable Info'!N779," - ",'Cable Info'!O779))</f>
        <v>778 - AW</v>
      </c>
      <c r="AR1075" s="121" t="str">
        <f t="shared" si="186"/>
        <v>778 - AW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str">
        <f>IF('Cable Info'!L780="","",CONCATENATE('Cable Info'!L780," - ",'Cable Info'!M780))</f>
        <v>779 - AW</v>
      </c>
      <c r="AM1076" s="121" t="str">
        <f t="shared" si="185"/>
        <v>779 - AW</v>
      </c>
      <c r="AO1076" s="121" t="str">
        <f>IF('Cable Info'!N780="","",CONCATENATE('Cable Info'!N780," - ",'Cable Info'!O780))</f>
        <v>779 - AW</v>
      </c>
      <c r="AR1076" s="121" t="str">
        <f t="shared" si="186"/>
        <v>779 - AW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str">
        <f>IF('Cable Info'!L781="","",CONCATENATE('Cable Info'!L781," - ",'Cable Info'!M781))</f>
        <v>780 - AW</v>
      </c>
      <c r="AM1077" s="121" t="str">
        <f t="shared" si="185"/>
        <v>780 - AW</v>
      </c>
      <c r="AO1077" s="121" t="str">
        <f>IF('Cable Info'!N781="","",CONCATENATE('Cable Info'!N781," - ",'Cable Info'!O781))</f>
        <v>780 - AW</v>
      </c>
      <c r="AR1077" s="121" t="str">
        <f t="shared" si="186"/>
        <v>780 - AW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str">
        <f>IF('Cable Info'!L782="","",CONCATENATE('Cable Info'!L782," - ",'Cable Info'!M782))</f>
        <v>781 - AW</v>
      </c>
      <c r="AM1078" s="121" t="str">
        <f t="shared" si="185"/>
        <v>781 - AW</v>
      </c>
      <c r="AO1078" s="121" t="str">
        <f>IF('Cable Info'!N782="","",CONCATENATE('Cable Info'!N782," - ",'Cable Info'!O782))</f>
        <v>781 - AW</v>
      </c>
      <c r="AR1078" s="121" t="str">
        <f t="shared" si="186"/>
        <v>781 - AW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str">
        <f>IF('Cable Info'!L783="","",CONCATENATE('Cable Info'!L783," - ",'Cable Info'!M783))</f>
        <v>782 - AW</v>
      </c>
      <c r="AM1079" s="121" t="str">
        <f t="shared" si="185"/>
        <v>782 - AW</v>
      </c>
      <c r="AO1079" s="121" t="str">
        <f>IF('Cable Info'!N783="","",CONCATENATE('Cable Info'!N783," - ",'Cable Info'!O783))</f>
        <v>782 - AW</v>
      </c>
      <c r="AR1079" s="121" t="str">
        <f t="shared" si="186"/>
        <v>782 - AW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str">
        <f>IF('Cable Info'!L784="","",CONCATENATE('Cable Info'!L784," - ",'Cable Info'!M784))</f>
        <v>783 - AW</v>
      </c>
      <c r="AM1080" s="121" t="str">
        <f t="shared" si="185"/>
        <v>783 - AW</v>
      </c>
      <c r="AO1080" s="121" t="str">
        <f>IF('Cable Info'!N784="","",CONCATENATE('Cable Info'!N784," - ",'Cable Info'!O784))</f>
        <v>783 - AW</v>
      </c>
      <c r="AR1080" s="121" t="str">
        <f t="shared" si="186"/>
        <v>783 - AW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str">
        <f>IF('Cable Info'!L785="","",CONCATENATE('Cable Info'!L785," - ",'Cable Info'!M785))</f>
        <v>784 - AW</v>
      </c>
      <c r="AM1081" s="121" t="str">
        <f t="shared" si="185"/>
        <v>784 - AW</v>
      </c>
      <c r="AO1081" s="121" t="str">
        <f>IF('Cable Info'!N785="","",CONCATENATE('Cable Info'!N785," - ",'Cable Info'!O785))</f>
        <v>784 - AW</v>
      </c>
      <c r="AR1081" s="121" t="str">
        <f t="shared" si="186"/>
        <v>784 - AW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str">
        <f>IF('Cable Info'!L786="","",CONCATENATE('Cable Info'!L786," - ",'Cable Info'!M786))</f>
        <v>785 - AW</v>
      </c>
      <c r="AM1082" s="121" t="str">
        <f t="shared" si="185"/>
        <v>785 - AW</v>
      </c>
      <c r="AO1082" s="121" t="str">
        <f>IF('Cable Info'!N786="","",CONCATENATE('Cable Info'!N786," - ",'Cable Info'!O786))</f>
        <v>785 - AW</v>
      </c>
      <c r="AR1082" s="121" t="str">
        <f t="shared" si="186"/>
        <v>785 - AW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str">
        <f>IF('Cable Info'!L787="","",CONCATENATE('Cable Info'!L787," - ",'Cable Info'!M787))</f>
        <v>786 - AW</v>
      </c>
      <c r="AM1083" s="121" t="str">
        <f t="shared" si="185"/>
        <v>786 - AW</v>
      </c>
      <c r="AO1083" s="121" t="str">
        <f>IF('Cable Info'!N787="","",CONCATENATE('Cable Info'!N787," - ",'Cable Info'!O787))</f>
        <v>786 - AW</v>
      </c>
      <c r="AR1083" s="121" t="str">
        <f t="shared" si="186"/>
        <v>786 - AW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str">
        <f>IF('Cable Info'!L788="","",CONCATENATE('Cable Info'!L788," - ",'Cable Info'!M788))</f>
        <v>787 - AW</v>
      </c>
      <c r="AM1084" s="121" t="str">
        <f t="shared" si="185"/>
        <v>787 - AW</v>
      </c>
      <c r="AO1084" s="121" t="str">
        <f>IF('Cable Info'!N788="","",CONCATENATE('Cable Info'!N788," - ",'Cable Info'!O788))</f>
        <v>787 - AW</v>
      </c>
      <c r="AR1084" s="121" t="str">
        <f t="shared" si="186"/>
        <v>787 - AW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str">
        <f>IF('Cable Info'!L789="","",CONCATENATE('Cable Info'!L789," - ",'Cable Info'!M789))</f>
        <v>788 - AW</v>
      </c>
      <c r="AM1085" s="121" t="str">
        <f t="shared" si="185"/>
        <v>788 - AW</v>
      </c>
      <c r="AO1085" s="121" t="str">
        <f>IF('Cable Info'!N789="","",CONCATENATE('Cable Info'!N789," - ",'Cable Info'!O789))</f>
        <v>788 - AW</v>
      </c>
      <c r="AR1085" s="121" t="str">
        <f t="shared" si="186"/>
        <v>788 - AW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str">
        <f>IF('Cable Info'!L790="","",CONCATENATE('Cable Info'!L790," - ",'Cable Info'!M790))</f>
        <v>789 - AW</v>
      </c>
      <c r="AM1086" s="121" t="str">
        <f t="shared" si="185"/>
        <v>789 - AW</v>
      </c>
      <c r="AO1086" s="121" t="str">
        <f>IF('Cable Info'!N790="","",CONCATENATE('Cable Info'!N790," - ",'Cable Info'!O790))</f>
        <v>789 - AW</v>
      </c>
      <c r="AR1086" s="121" t="str">
        <f t="shared" si="186"/>
        <v>789 - AW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str">
        <f>IF('Cable Info'!L791="","",CONCATENATE('Cable Info'!L791," - ",'Cable Info'!M791))</f>
        <v>790 - AW</v>
      </c>
      <c r="AM1087" s="121" t="str">
        <f t="shared" si="185"/>
        <v>790 - AW</v>
      </c>
      <c r="AO1087" s="121" t="str">
        <f>IF('Cable Info'!N791="","",CONCATENATE('Cable Info'!N791," - ",'Cable Info'!O791))</f>
        <v>790 - AW</v>
      </c>
      <c r="AR1087" s="121" t="str">
        <f t="shared" si="186"/>
        <v>790 - AW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str">
        <f>IF('Cable Info'!L792="","",CONCATENATE('Cable Info'!L792," - ",'Cable Info'!M792))</f>
        <v>791 - AW</v>
      </c>
      <c r="AM1088" s="121" t="str">
        <f t="shared" si="185"/>
        <v>791 - AW</v>
      </c>
      <c r="AO1088" s="121" t="str">
        <f>IF('Cable Info'!N792="","",CONCATENATE('Cable Info'!N792," - ",'Cable Info'!O792))</f>
        <v>791 - AW</v>
      </c>
      <c r="AR1088" s="121" t="str">
        <f t="shared" si="186"/>
        <v>791 - AW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str">
        <f>IF('Cable Info'!L793="","",CONCATENATE('Cable Info'!L793," - ",'Cable Info'!M793))</f>
        <v>792 - AW</v>
      </c>
      <c r="AM1089" s="121" t="str">
        <f t="shared" si="185"/>
        <v>792 - AW</v>
      </c>
      <c r="AO1089" s="121" t="str">
        <f>IF('Cable Info'!N793="","",CONCATENATE('Cable Info'!N793," - ",'Cable Info'!O793))</f>
        <v>792 - AW</v>
      </c>
      <c r="AR1089" s="121" t="str">
        <f t="shared" si="186"/>
        <v>792 - AW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str">
        <f>IF('Cable Info'!L794="","",CONCATENATE('Cable Info'!L794," - ",'Cable Info'!M794))</f>
        <v>793 - AW</v>
      </c>
      <c r="AM1090" s="121" t="str">
        <f t="shared" si="185"/>
        <v>793 - AW</v>
      </c>
      <c r="AO1090" s="121" t="str">
        <f>IF('Cable Info'!N794="","",CONCATENATE('Cable Info'!N794," - ",'Cable Info'!O794))</f>
        <v>793 - AW</v>
      </c>
      <c r="AR1090" s="121" t="str">
        <f t="shared" si="186"/>
        <v>793 - AW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str">
        <f>IF('Cable Info'!L795="","",CONCATENATE('Cable Info'!L795," - ",'Cable Info'!M795))</f>
        <v>794 - AW</v>
      </c>
      <c r="AM1091" s="121" t="str">
        <f t="shared" si="185"/>
        <v>794 - AW</v>
      </c>
      <c r="AO1091" s="121" t="str">
        <f>IF('Cable Info'!N795="","",CONCATENATE('Cable Info'!N795," - ",'Cable Info'!O795))</f>
        <v>794 - AW</v>
      </c>
      <c r="AR1091" s="121" t="str">
        <f t="shared" si="186"/>
        <v>794 - AW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str">
        <f>IF('Cable Info'!L796="","",CONCATENATE('Cable Info'!L796," - ",'Cable Info'!M796))</f>
        <v>795 - AW</v>
      </c>
      <c r="AM1092" s="121" t="str">
        <f t="shared" si="185"/>
        <v>795 - AW</v>
      </c>
      <c r="AO1092" s="121" t="str">
        <f>IF('Cable Info'!N796="","",CONCATENATE('Cable Info'!N796," - ",'Cable Info'!O796))</f>
        <v>795 - AW</v>
      </c>
      <c r="AR1092" s="121" t="str">
        <f t="shared" si="186"/>
        <v>795 - AW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str">
        <f>IF('Cable Info'!L797="","",CONCATENATE('Cable Info'!L797," - ",'Cable Info'!M797))</f>
        <v>796 - AW</v>
      </c>
      <c r="AM1093" s="121" t="str">
        <f t="shared" si="185"/>
        <v>796 - AW</v>
      </c>
      <c r="AO1093" s="121" t="str">
        <f>IF('Cable Info'!N797="","",CONCATENATE('Cable Info'!N797," - ",'Cable Info'!O797))</f>
        <v>796 - AW</v>
      </c>
      <c r="AR1093" s="121" t="str">
        <f t="shared" si="186"/>
        <v>796 - AW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str">
        <f>IF('Cable Info'!L798="","",CONCATENATE('Cable Info'!L798," - ",'Cable Info'!M798))</f>
        <v>797 - AW</v>
      </c>
      <c r="AM1094" s="121" t="str">
        <f t="shared" si="185"/>
        <v>797 - AW</v>
      </c>
      <c r="AO1094" s="121" t="str">
        <f>IF('Cable Info'!N798="","",CONCATENATE('Cable Info'!N798," - ",'Cable Info'!O798))</f>
        <v>797 - AW</v>
      </c>
      <c r="AR1094" s="121" t="str">
        <f t="shared" si="186"/>
        <v>797 - AW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str">
        <f>IF('Cable Info'!L799="","",CONCATENATE('Cable Info'!L799," - ",'Cable Info'!M799))</f>
        <v>798 - AW</v>
      </c>
      <c r="AM1095" s="121" t="str">
        <f t="shared" si="185"/>
        <v>798 - AW</v>
      </c>
      <c r="AO1095" s="121" t="str">
        <f>IF('Cable Info'!N799="","",CONCATENATE('Cable Info'!N799," - ",'Cable Info'!O799))</f>
        <v>798 - AW</v>
      </c>
      <c r="AR1095" s="121" t="str">
        <f t="shared" si="186"/>
        <v>798 - AW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str">
        <f>IF('Cable Info'!L800="","",CONCATENATE('Cable Info'!L800," - ",'Cable Info'!M800))</f>
        <v>799 - AW</v>
      </c>
      <c r="AM1096" s="121" t="str">
        <f t="shared" si="185"/>
        <v>799 - AW</v>
      </c>
      <c r="AO1096" s="121" t="str">
        <f>IF('Cable Info'!N800="","",CONCATENATE('Cable Info'!N800," - ",'Cable Info'!O800))</f>
        <v>799 - AW</v>
      </c>
      <c r="AR1096" s="121" t="str">
        <f t="shared" si="186"/>
        <v>799 - AW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str">
        <f>IF('Cable Info'!L801="","",CONCATENATE('Cable Info'!L801," - ",'Cable Info'!M801))</f>
        <v>800 - AW</v>
      </c>
      <c r="AM1097" s="121" t="str">
        <f t="shared" si="185"/>
        <v>800 - AW</v>
      </c>
      <c r="AO1097" s="121" t="str">
        <f>IF('Cable Info'!N801="","",CONCATENATE('Cable Info'!N801," - ",'Cable Info'!O801))</f>
        <v>800 - AW</v>
      </c>
      <c r="AR1097" s="121" t="str">
        <f t="shared" si="186"/>
        <v>800 - AW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str">
        <f>IF('Cable Info'!L802="","",CONCATENATE('Cable Info'!L802," - ",'Cable Info'!M802))</f>
        <v>801 - AW</v>
      </c>
      <c r="AM1098" s="121" t="str">
        <f t="shared" si="185"/>
        <v>801 - AW</v>
      </c>
      <c r="AO1098" s="121" t="str">
        <f>IF('Cable Info'!N802="","",CONCATENATE('Cable Info'!N802," - ",'Cable Info'!O802))</f>
        <v>801 - AW</v>
      </c>
      <c r="AR1098" s="121" t="str">
        <f t="shared" si="186"/>
        <v>801 - AW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str">
        <f>IF('Cable Info'!L803="","",CONCATENATE('Cable Info'!L803," - ",'Cable Info'!M803))</f>
        <v>802 - AW</v>
      </c>
      <c r="AM1099" s="121" t="str">
        <f t="shared" si="185"/>
        <v>802 - AW</v>
      </c>
      <c r="AO1099" s="121" t="str">
        <f>IF('Cable Info'!N803="","",CONCATENATE('Cable Info'!N803," - ",'Cable Info'!O803))</f>
        <v>802 - AW</v>
      </c>
      <c r="AR1099" s="121" t="str">
        <f t="shared" si="186"/>
        <v>802 - AW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str">
        <f>IF('Cable Info'!L804="","",CONCATENATE('Cable Info'!L804," - ",'Cable Info'!M804))</f>
        <v>803 - AW</v>
      </c>
      <c r="AM1100" s="121" t="str">
        <f t="shared" si="185"/>
        <v>803 - AW</v>
      </c>
      <c r="AO1100" s="121" t="str">
        <f>IF('Cable Info'!N804="","",CONCATENATE('Cable Info'!N804," - ",'Cable Info'!O804))</f>
        <v>803 - AW</v>
      </c>
      <c r="AR1100" s="121" t="str">
        <f t="shared" si="186"/>
        <v>803 - AW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str">
        <f>IF('Cable Info'!L805="","",CONCATENATE('Cable Info'!L805," - ",'Cable Info'!M805))</f>
        <v>804 - AW</v>
      </c>
      <c r="AM1101" s="121" t="str">
        <f t="shared" si="185"/>
        <v>804 - AW</v>
      </c>
      <c r="AO1101" s="121" t="str">
        <f>IF('Cable Info'!N805="","",CONCATENATE('Cable Info'!N805," - ",'Cable Info'!O805))</f>
        <v>804 - AW</v>
      </c>
      <c r="AR1101" s="121" t="str">
        <f t="shared" si="186"/>
        <v>804 - AW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str">
        <f>IF('Cable Info'!L806="","",CONCATENATE('Cable Info'!L806," - ",'Cable Info'!M806))</f>
        <v>805 - AW</v>
      </c>
      <c r="AM1102" s="121" t="str">
        <f t="shared" si="185"/>
        <v>805 - AW</v>
      </c>
      <c r="AO1102" s="121" t="str">
        <f>IF('Cable Info'!N806="","",CONCATENATE('Cable Info'!N806," - ",'Cable Info'!O806))</f>
        <v>805 - AW</v>
      </c>
      <c r="AR1102" s="121" t="str">
        <f t="shared" si="186"/>
        <v>805 - AW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str">
        <f>IF('Cable Info'!L807="","",CONCATENATE('Cable Info'!L807," - ",'Cable Info'!M807))</f>
        <v>806 - AW</v>
      </c>
      <c r="AM1103" s="121" t="str">
        <f t="shared" si="185"/>
        <v>806 - AW</v>
      </c>
      <c r="AO1103" s="121" t="str">
        <f>IF('Cable Info'!N807="","",CONCATENATE('Cable Info'!N807," - ",'Cable Info'!O807))</f>
        <v>806 - AW</v>
      </c>
      <c r="AR1103" s="121" t="str">
        <f t="shared" si="186"/>
        <v>806 - AW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str">
        <f>IF('Cable Info'!L808="","",CONCATENATE('Cable Info'!L808," - ",'Cable Info'!M808))</f>
        <v>807 - AW</v>
      </c>
      <c r="AM1104" s="121" t="str">
        <f t="shared" si="185"/>
        <v>807 - AW</v>
      </c>
      <c r="AO1104" s="121" t="str">
        <f>IF('Cable Info'!N808="","",CONCATENATE('Cable Info'!N808," - ",'Cable Info'!O808))</f>
        <v>807 - AW</v>
      </c>
      <c r="AR1104" s="121" t="str">
        <f t="shared" si="186"/>
        <v>807 - AW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str">
        <f>IF('Cable Info'!L809="","",CONCATENATE('Cable Info'!L809," - ",'Cable Info'!M809))</f>
        <v>808 - AW</v>
      </c>
      <c r="AM1105" s="121" t="str">
        <f t="shared" si="185"/>
        <v>808 - AW</v>
      </c>
      <c r="AO1105" s="121" t="str">
        <f>IF('Cable Info'!N809="","",CONCATENATE('Cable Info'!N809," - ",'Cable Info'!O809))</f>
        <v>808 - AW</v>
      </c>
      <c r="AR1105" s="121" t="str">
        <f t="shared" si="186"/>
        <v>808 - AW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str">
        <f>IF('Cable Info'!L810="","",CONCATENATE('Cable Info'!L810," - ",'Cable Info'!M810))</f>
        <v>809 - AW</v>
      </c>
      <c r="AM1106" s="121" t="str">
        <f t="shared" si="185"/>
        <v>809 - AW</v>
      </c>
      <c r="AO1106" s="121" t="str">
        <f>IF('Cable Info'!N810="","",CONCATENATE('Cable Info'!N810," - ",'Cable Info'!O810))</f>
        <v>809 - AW</v>
      </c>
      <c r="AR1106" s="121" t="str">
        <f t="shared" si="186"/>
        <v>809 - AW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str">
        <f>IF('Cable Info'!L811="","",CONCATENATE('Cable Info'!L811," - ",'Cable Info'!M811))</f>
        <v>810 - AW</v>
      </c>
      <c r="AM1107" s="121" t="str">
        <f t="shared" si="185"/>
        <v>810 - AW</v>
      </c>
      <c r="AO1107" s="121" t="str">
        <f>IF('Cable Info'!N811="","",CONCATENATE('Cable Info'!N811," - ",'Cable Info'!O811))</f>
        <v>810 - AW</v>
      </c>
      <c r="AR1107" s="121" t="str">
        <f t="shared" si="186"/>
        <v>810 - AW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str">
        <f>IF('Cable Info'!L812="","",CONCATENATE('Cable Info'!L812," - ",'Cable Info'!M812))</f>
        <v>811 - AW</v>
      </c>
      <c r="AM1108" s="121" t="str">
        <f t="shared" si="185"/>
        <v>811 - AW</v>
      </c>
      <c r="AO1108" s="121" t="str">
        <f>IF('Cable Info'!N812="","",CONCATENATE('Cable Info'!N812," - ",'Cable Info'!O812))</f>
        <v>811 - AW</v>
      </c>
      <c r="AR1108" s="121" t="str">
        <f t="shared" si="186"/>
        <v>811 - AW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str">
        <f>IF('Cable Info'!L813="","",CONCATENATE('Cable Info'!L813," - ",'Cable Info'!M813))</f>
        <v>812 - AW</v>
      </c>
      <c r="AM1109" s="121" t="str">
        <f t="shared" si="185"/>
        <v>812 - AW</v>
      </c>
      <c r="AO1109" s="121" t="str">
        <f>IF('Cable Info'!N813="","",CONCATENATE('Cable Info'!N813," - ",'Cable Info'!O813))</f>
        <v>812 - AW</v>
      </c>
      <c r="AR1109" s="121" t="str">
        <f t="shared" si="186"/>
        <v>812 - AW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str">
        <f>IF('Cable Info'!L814="","",CONCATENATE('Cable Info'!L814," - ",'Cable Info'!M814))</f>
        <v>813 - AW</v>
      </c>
      <c r="AM1110" s="121" t="str">
        <f t="shared" si="185"/>
        <v>813 - AW</v>
      </c>
      <c r="AO1110" s="121" t="str">
        <f>IF('Cable Info'!N814="","",CONCATENATE('Cable Info'!N814," - ",'Cable Info'!O814))</f>
        <v>813 - AW</v>
      </c>
      <c r="AR1110" s="121" t="str">
        <f t="shared" si="186"/>
        <v>813 - AW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str">
        <f>IF('Cable Info'!L815="","",CONCATENATE('Cable Info'!L815," - ",'Cable Info'!M815))</f>
        <v>814 - AW</v>
      </c>
      <c r="AM1111" s="121" t="str">
        <f t="shared" si="185"/>
        <v>814 - AW</v>
      </c>
      <c r="AO1111" s="121" t="str">
        <f>IF('Cable Info'!N815="","",CONCATENATE('Cable Info'!N815," - ",'Cable Info'!O815))</f>
        <v>814 - AW</v>
      </c>
      <c r="AR1111" s="121" t="str">
        <f t="shared" si="186"/>
        <v>814 - AW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str">
        <f>IF('Cable Info'!L816="","",CONCATENATE('Cable Info'!L816," - ",'Cable Info'!M816))</f>
        <v>815 - AW</v>
      </c>
      <c r="AM1112" s="121" t="str">
        <f t="shared" si="185"/>
        <v>815 - AW</v>
      </c>
      <c r="AO1112" s="121" t="str">
        <f>IF('Cable Info'!N816="","",CONCATENATE('Cable Info'!N816," - ",'Cable Info'!O816))</f>
        <v>815 - AW</v>
      </c>
      <c r="AR1112" s="121" t="str">
        <f t="shared" si="186"/>
        <v>815 - AW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str">
        <f>IF('Cable Info'!L817="","",CONCATENATE('Cable Info'!L817," - ",'Cable Info'!M817))</f>
        <v>816 - AW</v>
      </c>
      <c r="AM1113" s="121" t="str">
        <f t="shared" si="185"/>
        <v>816 - AW</v>
      </c>
      <c r="AO1113" s="121" t="str">
        <f>IF('Cable Info'!N817="","",CONCATENATE('Cable Info'!N817," - ",'Cable Info'!O817))</f>
        <v>816 - AW</v>
      </c>
      <c r="AR1113" s="121" t="str">
        <f t="shared" si="186"/>
        <v>816 - AW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str">
        <f>IF('Cable Info'!L818="","",CONCATENATE('Cable Info'!L818," - ",'Cable Info'!M818))</f>
        <v>817 - AW</v>
      </c>
      <c r="AM1114" s="121" t="str">
        <f t="shared" si="185"/>
        <v>817 - AW</v>
      </c>
      <c r="AO1114" s="121" t="str">
        <f>IF('Cable Info'!N818="","",CONCATENATE('Cable Info'!N818," - ",'Cable Info'!O818))</f>
        <v>817 - AW</v>
      </c>
      <c r="AR1114" s="121" t="str">
        <f t="shared" si="186"/>
        <v>817 - AW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str">
        <f>IF('Cable Info'!L819="","",CONCATENATE('Cable Info'!L819," - ",'Cable Info'!M819))</f>
        <v>818 - AW</v>
      </c>
      <c r="AM1115" s="121" t="str">
        <f t="shared" si="185"/>
        <v>818 - AW</v>
      </c>
      <c r="AO1115" s="121" t="str">
        <f>IF('Cable Info'!N819="","",CONCATENATE('Cable Info'!N819," - ",'Cable Info'!O819))</f>
        <v>818 - AW</v>
      </c>
      <c r="AR1115" s="121" t="str">
        <f t="shared" si="186"/>
        <v>818 - AW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str">
        <f>IF('Cable Info'!L820="","",CONCATENATE('Cable Info'!L820," - ",'Cable Info'!M820))</f>
        <v>819 - AW</v>
      </c>
      <c r="AM1116" s="121" t="str">
        <f t="shared" si="185"/>
        <v>819 - AW</v>
      </c>
      <c r="AO1116" s="121" t="str">
        <f>IF('Cable Info'!N820="","",CONCATENATE('Cable Info'!N820," - ",'Cable Info'!O820))</f>
        <v>819 - AW</v>
      </c>
      <c r="AR1116" s="121" t="str">
        <f t="shared" si="186"/>
        <v>819 - AW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str">
        <f>IF('Cable Info'!L821="","",CONCATENATE('Cable Info'!L821," - ",'Cable Info'!M821))</f>
        <v>820 - AW</v>
      </c>
      <c r="AM1117" s="121" t="str">
        <f t="shared" si="185"/>
        <v>820 - AW</v>
      </c>
      <c r="AO1117" s="121" t="str">
        <f>IF('Cable Info'!N821="","",CONCATENATE('Cable Info'!N821," - ",'Cable Info'!O821))</f>
        <v>820 - AW</v>
      </c>
      <c r="AR1117" s="121" t="str">
        <f t="shared" si="186"/>
        <v>820 - AW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str">
        <f>IF('Cable Info'!L822="","",CONCATENATE('Cable Info'!L822," - ",'Cable Info'!M822))</f>
        <v>821 - AW</v>
      </c>
      <c r="AM1118" s="121" t="str">
        <f t="shared" si="185"/>
        <v>821 - AW</v>
      </c>
      <c r="AO1118" s="121" t="str">
        <f>IF('Cable Info'!N822="","",CONCATENATE('Cable Info'!N822," - ",'Cable Info'!O822))</f>
        <v>821 - AW</v>
      </c>
      <c r="AR1118" s="121" t="str">
        <f t="shared" si="186"/>
        <v>821 - AW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str">
        <f>IF('Cable Info'!L823="","",CONCATENATE('Cable Info'!L823," - ",'Cable Info'!M823))</f>
        <v>822 - AW</v>
      </c>
      <c r="AM1119" s="121" t="str">
        <f t="shared" si="185"/>
        <v>822 - AW</v>
      </c>
      <c r="AO1119" s="121" t="str">
        <f>IF('Cable Info'!N823="","",CONCATENATE('Cable Info'!N823," - ",'Cable Info'!O823))</f>
        <v>822 - AW</v>
      </c>
      <c r="AR1119" s="121" t="str">
        <f t="shared" si="186"/>
        <v>822 - AW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str">
        <f>IF('Cable Info'!L824="","",CONCATENATE('Cable Info'!L824," - ",'Cable Info'!M824))</f>
        <v>823 - AW</v>
      </c>
      <c r="AM1120" s="121" t="str">
        <f t="shared" si="185"/>
        <v>823 - AW</v>
      </c>
      <c r="AO1120" s="121" t="str">
        <f>IF('Cable Info'!N824="","",CONCATENATE('Cable Info'!N824," - ",'Cable Info'!O824))</f>
        <v>823 - AW</v>
      </c>
      <c r="AR1120" s="121" t="str">
        <f t="shared" si="186"/>
        <v>823 - AW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str">
        <f>IF('Cable Info'!L825="","",CONCATENATE('Cable Info'!L825," - ",'Cable Info'!M825))</f>
        <v>824 - AW</v>
      </c>
      <c r="AM1121" s="121" t="str">
        <f t="shared" si="185"/>
        <v>824 - AW</v>
      </c>
      <c r="AO1121" s="121" t="str">
        <f>IF('Cable Info'!N825="","",CONCATENATE('Cable Info'!N825," - ",'Cable Info'!O825))</f>
        <v>824 - AW</v>
      </c>
      <c r="AR1121" s="121" t="str">
        <f t="shared" si="186"/>
        <v>824 - AW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str">
        <f>IF('Cable Info'!L826="","",CONCATENATE('Cable Info'!L826," - ",'Cable Info'!M826))</f>
        <v>825 - AW</v>
      </c>
      <c r="AM1122" s="121" t="str">
        <f t="shared" si="185"/>
        <v>825 - AW</v>
      </c>
      <c r="AO1122" s="121" t="str">
        <f>IF('Cable Info'!N826="","",CONCATENATE('Cable Info'!N826," - ",'Cable Info'!O826))</f>
        <v>825 - AW</v>
      </c>
      <c r="AR1122" s="121" t="str">
        <f t="shared" si="186"/>
        <v>825 - AW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str">
        <f>IF('Cable Info'!L827="","",CONCATENATE('Cable Info'!L827," - ",'Cable Info'!M827))</f>
        <v>826 - AW</v>
      </c>
      <c r="AM1123" s="121" t="str">
        <f t="shared" si="185"/>
        <v>826 - AW</v>
      </c>
      <c r="AO1123" s="121" t="str">
        <f>IF('Cable Info'!N827="","",CONCATENATE('Cable Info'!N827," - ",'Cable Info'!O827))</f>
        <v>826 - AW</v>
      </c>
      <c r="AR1123" s="121" t="str">
        <f t="shared" si="186"/>
        <v>826 - AW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str">
        <f>IF('Cable Info'!L828="","",CONCATENATE('Cable Info'!L828," - ",'Cable Info'!M828))</f>
        <v>827 - AW</v>
      </c>
      <c r="AM1124" s="121" t="str">
        <f t="shared" si="185"/>
        <v>827 - AW</v>
      </c>
      <c r="AO1124" s="121" t="str">
        <f>IF('Cable Info'!N828="","",CONCATENATE('Cable Info'!N828," - ",'Cable Info'!O828))</f>
        <v>827 - AW</v>
      </c>
      <c r="AR1124" s="121" t="str">
        <f t="shared" si="186"/>
        <v>827 - AW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str">
        <f>IF('Cable Info'!L829="","",CONCATENATE('Cable Info'!L829," - ",'Cable Info'!M829))</f>
        <v>828 - AW</v>
      </c>
      <c r="AM1125" s="121" t="str">
        <f t="shared" si="185"/>
        <v>828 - AW</v>
      </c>
      <c r="AO1125" s="121" t="str">
        <f>IF('Cable Info'!N829="","",CONCATENATE('Cable Info'!N829," - ",'Cable Info'!O829))</f>
        <v>828 - AW</v>
      </c>
      <c r="AR1125" s="121" t="str">
        <f t="shared" si="186"/>
        <v>828 - AW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str">
        <f>IF('Cable Info'!L830="","",CONCATENATE('Cable Info'!L830," - ",'Cable Info'!M830))</f>
        <v>829 - AW</v>
      </c>
      <c r="AM1126" s="121" t="str">
        <f t="shared" si="185"/>
        <v>829 - AW</v>
      </c>
      <c r="AO1126" s="121" t="str">
        <f>IF('Cable Info'!N830="","",CONCATENATE('Cable Info'!N830," - ",'Cable Info'!O830))</f>
        <v>829 - AW</v>
      </c>
      <c r="AR1126" s="121" t="str">
        <f t="shared" si="186"/>
        <v>829 - AW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str">
        <f>IF('Cable Info'!L831="","",CONCATENATE('Cable Info'!L831," - ",'Cable Info'!M831))</f>
        <v>830 - AW</v>
      </c>
      <c r="AM1127" s="121" t="str">
        <f t="shared" si="185"/>
        <v>830 - AW</v>
      </c>
      <c r="AO1127" s="121" t="str">
        <f>IF('Cable Info'!N831="","",CONCATENATE('Cable Info'!N831," - ",'Cable Info'!O831))</f>
        <v>830 - AW</v>
      </c>
      <c r="AR1127" s="121" t="str">
        <f t="shared" si="186"/>
        <v>830 - AW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str">
        <f>IF('Cable Info'!L832="","",CONCATENATE('Cable Info'!L832," - ",'Cable Info'!M832))</f>
        <v>831 - AW</v>
      </c>
      <c r="AM1128" s="121" t="str">
        <f t="shared" si="185"/>
        <v>831 - AW</v>
      </c>
      <c r="AO1128" s="121" t="str">
        <f>IF('Cable Info'!N832="","",CONCATENATE('Cable Info'!N832," - ",'Cable Info'!O832))</f>
        <v>831 - AW</v>
      </c>
      <c r="AR1128" s="121" t="str">
        <f t="shared" si="186"/>
        <v>831 - AW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str">
        <f>IF('Cable Info'!L833="","",CONCATENATE('Cable Info'!L833," - ",'Cable Info'!M833))</f>
        <v>832 - AW</v>
      </c>
      <c r="AM1129" s="121" t="str">
        <f t="shared" si="185"/>
        <v>832 - AW</v>
      </c>
      <c r="AO1129" s="121" t="str">
        <f>IF('Cable Info'!N833="","",CONCATENATE('Cable Info'!N833," - ",'Cable Info'!O833))</f>
        <v>832 - AW</v>
      </c>
      <c r="AR1129" s="121" t="str">
        <f t="shared" si="186"/>
        <v>832 - AW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str">
        <f>IF('Cable Info'!L834="","",CONCATENATE('Cable Info'!L834," - ",'Cable Info'!M834))</f>
        <v>833 - AW</v>
      </c>
      <c r="AM1130" s="121" t="str">
        <f t="shared" si="185"/>
        <v>833 - AW</v>
      </c>
      <c r="AO1130" s="121" t="str">
        <f>IF('Cable Info'!N834="","",CONCATENATE('Cable Info'!N834," - ",'Cable Info'!O834))</f>
        <v>833 - AW</v>
      </c>
      <c r="AR1130" s="121" t="str">
        <f t="shared" si="186"/>
        <v>833 - AW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str">
        <f>IF('Cable Info'!L835="","",CONCATENATE('Cable Info'!L835," - ",'Cable Info'!M835))</f>
        <v>834 - AW</v>
      </c>
      <c r="AM1131" s="121" t="str">
        <f t="shared" ref="AM1131:AM1161" si="191">IF(AK1131="",AJ1131,CONCATENATE(AJ1131,"  &lt;=&gt; ",AK1131," ",AL1131))</f>
        <v>834 - AW</v>
      </c>
      <c r="AO1131" s="121" t="str">
        <f>IF('Cable Info'!N835="","",CONCATENATE('Cable Info'!N835," - ",'Cable Info'!O835))</f>
        <v>834 - AW</v>
      </c>
      <c r="AR1131" s="121" t="str">
        <f t="shared" ref="AR1131:AR1161" si="192">IF(AP1131="",AO1131,CONCATENATE(AO1131,"  &lt;=&gt; ",AP1131," ",AQ1131))</f>
        <v>834 - AW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str">
        <f>IF('Cable Info'!L836="","",CONCATENATE('Cable Info'!L836," - ",'Cable Info'!M836))</f>
        <v>835 - AW</v>
      </c>
      <c r="AM1132" s="121" t="str">
        <f t="shared" si="191"/>
        <v>835 - AW</v>
      </c>
      <c r="AO1132" s="121" t="str">
        <f>IF('Cable Info'!N836="","",CONCATENATE('Cable Info'!N836," - ",'Cable Info'!O836))</f>
        <v>835 - AW</v>
      </c>
      <c r="AR1132" s="121" t="str">
        <f t="shared" si="192"/>
        <v>835 - AW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str">
        <f>IF('Cable Info'!L837="","",CONCATENATE('Cable Info'!L837," - ",'Cable Info'!M837))</f>
        <v>836 - AW</v>
      </c>
      <c r="AM1133" s="121" t="str">
        <f t="shared" si="191"/>
        <v>836 - AW</v>
      </c>
      <c r="AO1133" s="121" t="str">
        <f>IF('Cable Info'!N837="","",CONCATENATE('Cable Info'!N837," - ",'Cable Info'!O837))</f>
        <v>836 - AW</v>
      </c>
      <c r="AR1133" s="121" t="str">
        <f t="shared" si="192"/>
        <v>836 - AW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str">
        <f>IF('Cable Info'!L838="","",CONCATENATE('Cable Info'!L838," - ",'Cable Info'!M838))</f>
        <v>837 - AW</v>
      </c>
      <c r="AM1134" s="121" t="str">
        <f t="shared" si="191"/>
        <v>837 - AW</v>
      </c>
      <c r="AO1134" s="121" t="str">
        <f>IF('Cable Info'!N838="","",CONCATENATE('Cable Info'!N838," - ",'Cable Info'!O838))</f>
        <v>837 - AW</v>
      </c>
      <c r="AR1134" s="121" t="str">
        <f t="shared" si="192"/>
        <v>837 - AW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str">
        <f>IF('Cable Info'!L839="","",CONCATENATE('Cable Info'!L839," - ",'Cable Info'!M839))</f>
        <v>838 - AW</v>
      </c>
      <c r="AM1135" s="121" t="str">
        <f t="shared" si="191"/>
        <v>838 - AW</v>
      </c>
      <c r="AO1135" s="121" t="str">
        <f>IF('Cable Info'!N839="","",CONCATENATE('Cable Info'!N839," - ",'Cable Info'!O839))</f>
        <v>838 - AW</v>
      </c>
      <c r="AR1135" s="121" t="str">
        <f t="shared" si="192"/>
        <v>838 - AW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str">
        <f>IF('Cable Info'!L840="","",CONCATENATE('Cable Info'!L840," - ",'Cable Info'!M840))</f>
        <v>839 - AW</v>
      </c>
      <c r="AM1136" s="121" t="str">
        <f t="shared" si="191"/>
        <v>839 - AW</v>
      </c>
      <c r="AO1136" s="121" t="str">
        <f>IF('Cable Info'!N840="","",CONCATENATE('Cable Info'!N840," - ",'Cable Info'!O840))</f>
        <v>839 - AW</v>
      </c>
      <c r="AR1136" s="121" t="str">
        <f t="shared" si="192"/>
        <v>839 - AW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str">
        <f>IF('Cable Info'!L841="","",CONCATENATE('Cable Info'!L841," - ",'Cable Info'!M841))</f>
        <v>840 - AW</v>
      </c>
      <c r="AM1137" s="121" t="str">
        <f t="shared" si="191"/>
        <v>840 - AW</v>
      </c>
      <c r="AO1137" s="121" t="str">
        <f>IF('Cable Info'!N841="","",CONCATENATE('Cable Info'!N841," - ",'Cable Info'!O841))</f>
        <v>840 - AW</v>
      </c>
      <c r="AR1137" s="121" t="str">
        <f t="shared" si="192"/>
        <v>840 - AW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str">
        <f>IF('Cable Info'!L842="","",CONCATENATE('Cable Info'!L842," - ",'Cable Info'!M842))</f>
        <v>841 - AW</v>
      </c>
      <c r="AM1138" s="121" t="str">
        <f t="shared" si="191"/>
        <v>841 - AW</v>
      </c>
      <c r="AO1138" s="121" t="str">
        <f>IF('Cable Info'!N842="","",CONCATENATE('Cable Info'!N842," - ",'Cable Info'!O842))</f>
        <v>841 - AW</v>
      </c>
      <c r="AR1138" s="121" t="str">
        <f t="shared" si="192"/>
        <v>841 - AW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str">
        <f>IF('Cable Info'!L843="","",CONCATENATE('Cable Info'!L843," - ",'Cable Info'!M843))</f>
        <v>842 - AW</v>
      </c>
      <c r="AM1139" s="121" t="str">
        <f t="shared" si="191"/>
        <v>842 - AW</v>
      </c>
      <c r="AO1139" s="121" t="str">
        <f>IF('Cable Info'!N843="","",CONCATENATE('Cable Info'!N843," - ",'Cable Info'!O843))</f>
        <v>842 - AW</v>
      </c>
      <c r="AR1139" s="121" t="str">
        <f t="shared" si="192"/>
        <v>842 - AW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str">
        <f>IF('Cable Info'!L844="","",CONCATENATE('Cable Info'!L844," - ",'Cable Info'!M844))</f>
        <v>843 - AW</v>
      </c>
      <c r="AM1140" s="121" t="str">
        <f t="shared" si="191"/>
        <v>843 - AW</v>
      </c>
      <c r="AO1140" s="121" t="str">
        <f>IF('Cable Info'!N844="","",CONCATENATE('Cable Info'!N844," - ",'Cable Info'!O844))</f>
        <v>843 - AW</v>
      </c>
      <c r="AR1140" s="121" t="str">
        <f t="shared" si="192"/>
        <v>843 - AW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str">
        <f>IF('Cable Info'!L845="","",CONCATENATE('Cable Info'!L845," - ",'Cable Info'!M845))</f>
        <v>844 - AW</v>
      </c>
      <c r="AM1141" s="121" t="str">
        <f t="shared" si="191"/>
        <v>844 - AW</v>
      </c>
      <c r="AO1141" s="121" t="str">
        <f>IF('Cable Info'!N845="","",CONCATENATE('Cable Info'!N845," - ",'Cable Info'!O845))</f>
        <v>844 - AW</v>
      </c>
      <c r="AR1141" s="121" t="str">
        <f t="shared" si="192"/>
        <v>844 - AW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str">
        <f>IF('Cable Info'!L846="","",CONCATENATE('Cable Info'!L846," - ",'Cable Info'!M846))</f>
        <v>845 - AW</v>
      </c>
      <c r="AM1142" s="121" t="str">
        <f t="shared" si="191"/>
        <v>845 - AW</v>
      </c>
      <c r="AO1142" s="121" t="str">
        <f>IF('Cable Info'!N846="","",CONCATENATE('Cable Info'!N846," - ",'Cable Info'!O846))</f>
        <v>845 - AW</v>
      </c>
      <c r="AR1142" s="121" t="str">
        <f t="shared" si="192"/>
        <v>845 - AW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str">
        <f>IF('Cable Info'!L847="","",CONCATENATE('Cable Info'!L847," - ",'Cable Info'!M847))</f>
        <v>846 - AW</v>
      </c>
      <c r="AM1143" s="121" t="str">
        <f t="shared" si="191"/>
        <v>846 - AW</v>
      </c>
      <c r="AO1143" s="121" t="str">
        <f>IF('Cable Info'!N847="","",CONCATENATE('Cable Info'!N847," - ",'Cable Info'!O847))</f>
        <v>846 - AW</v>
      </c>
      <c r="AR1143" s="121" t="str">
        <f t="shared" si="192"/>
        <v>846 - AW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str">
        <f>IF('Cable Info'!L848="","",CONCATENATE('Cable Info'!L848," - ",'Cable Info'!M848))</f>
        <v>847 - AW</v>
      </c>
      <c r="AM1144" s="121" t="str">
        <f t="shared" si="191"/>
        <v>847 - AW</v>
      </c>
      <c r="AO1144" s="121" t="str">
        <f>IF('Cable Info'!N848="","",CONCATENATE('Cable Info'!N848," - ",'Cable Info'!O848))</f>
        <v>847 - AW</v>
      </c>
      <c r="AR1144" s="121" t="str">
        <f t="shared" si="192"/>
        <v>847 - AW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str">
        <f>IF('Cable Info'!L849="","",CONCATENATE('Cable Info'!L849," - ",'Cable Info'!M849))</f>
        <v>848 - AW</v>
      </c>
      <c r="AM1145" s="121" t="str">
        <f t="shared" si="191"/>
        <v>848 - AW</v>
      </c>
      <c r="AO1145" s="121" t="str">
        <f>IF('Cable Info'!N849="","",CONCATENATE('Cable Info'!N849," - ",'Cable Info'!O849))</f>
        <v>848 - AW</v>
      </c>
      <c r="AR1145" s="121" t="str">
        <f t="shared" si="192"/>
        <v>848 - AW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str">
        <f>IF('Cable Info'!L850="","",CONCATENATE('Cable Info'!L850," - ",'Cable Info'!M850))</f>
        <v>849 - AW</v>
      </c>
      <c r="AM1146" s="121" t="str">
        <f t="shared" si="191"/>
        <v>849 - AW</v>
      </c>
      <c r="AO1146" s="121" t="str">
        <f>IF('Cable Info'!N850="","",CONCATENATE('Cable Info'!N850," - ",'Cable Info'!O850))</f>
        <v>849 - AW</v>
      </c>
      <c r="AR1146" s="121" t="str">
        <f t="shared" si="192"/>
        <v>849 - AW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str">
        <f>IF('Cable Info'!L851="","",CONCATENATE('Cable Info'!L851," - ",'Cable Info'!M851))</f>
        <v>850 - AW</v>
      </c>
      <c r="AM1147" s="121" t="str">
        <f t="shared" si="191"/>
        <v>850 - AW</v>
      </c>
      <c r="AO1147" s="121" t="str">
        <f>IF('Cable Info'!N851="","",CONCATENATE('Cable Info'!N851," - ",'Cable Info'!O851))</f>
        <v>850 - AW</v>
      </c>
      <c r="AR1147" s="121" t="str">
        <f t="shared" si="192"/>
        <v>850 - AW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str">
        <f>IF('Cable Info'!L852="","",CONCATENATE('Cable Info'!L852," - ",'Cable Info'!M852))</f>
        <v>851 - AW</v>
      </c>
      <c r="AM1148" s="121" t="str">
        <f t="shared" si="191"/>
        <v>851 - AW</v>
      </c>
      <c r="AO1148" s="121" t="str">
        <f>IF('Cable Info'!N852="","",CONCATENATE('Cable Info'!N852," - ",'Cable Info'!O852))</f>
        <v>851 - AW</v>
      </c>
      <c r="AR1148" s="121" t="str">
        <f t="shared" si="192"/>
        <v>851 - AW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str">
        <f>IF('Cable Info'!L853="","",CONCATENATE('Cable Info'!L853," - ",'Cable Info'!M853))</f>
        <v>852 - AW</v>
      </c>
      <c r="AM1149" s="121" t="str">
        <f t="shared" si="191"/>
        <v>852 - AW</v>
      </c>
      <c r="AO1149" s="121" t="str">
        <f>IF('Cable Info'!N853="","",CONCATENATE('Cable Info'!N853," - ",'Cable Info'!O853))</f>
        <v>852 - AW</v>
      </c>
      <c r="AR1149" s="121" t="str">
        <f t="shared" si="192"/>
        <v>852 - AW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str">
        <f>IF('Cable Info'!L854="","",CONCATENATE('Cable Info'!L854," - ",'Cable Info'!M854))</f>
        <v>853 - AW</v>
      </c>
      <c r="AM1150" s="121" t="str">
        <f t="shared" si="191"/>
        <v>853 - AW</v>
      </c>
      <c r="AO1150" s="121" t="str">
        <f>IF('Cable Info'!N854="","",CONCATENATE('Cable Info'!N854," - ",'Cable Info'!O854))</f>
        <v>853 - AW</v>
      </c>
      <c r="AR1150" s="121" t="str">
        <f t="shared" si="192"/>
        <v>853 - AW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str">
        <f>IF('Cable Info'!L855="","",CONCATENATE('Cable Info'!L855," - ",'Cable Info'!M855))</f>
        <v>854 - AW</v>
      </c>
      <c r="AM1151" s="121" t="str">
        <f t="shared" si="191"/>
        <v>854 - AW</v>
      </c>
      <c r="AO1151" s="121" t="str">
        <f>IF('Cable Info'!N855="","",CONCATENATE('Cable Info'!N855," - ",'Cable Info'!O855))</f>
        <v>854 - AW</v>
      </c>
      <c r="AR1151" s="121" t="str">
        <f t="shared" si="192"/>
        <v>854 - AW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str">
        <f>IF('Cable Info'!L856="","",CONCATENATE('Cable Info'!L856," - ",'Cable Info'!M856))</f>
        <v>855 - AW</v>
      </c>
      <c r="AM1152" s="121" t="str">
        <f t="shared" si="191"/>
        <v>855 - AW</v>
      </c>
      <c r="AO1152" s="121" t="str">
        <f>IF('Cable Info'!N856="","",CONCATENATE('Cable Info'!N856," - ",'Cable Info'!O856))</f>
        <v>855 - AW</v>
      </c>
      <c r="AR1152" s="121" t="str">
        <f t="shared" si="192"/>
        <v>855 - AW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str">
        <f>IF('Cable Info'!L857="","",CONCATENATE('Cable Info'!L857," - ",'Cable Info'!M857))</f>
        <v>856 - AW</v>
      </c>
      <c r="AM1153" s="121" t="str">
        <f t="shared" si="191"/>
        <v>856 - AW</v>
      </c>
      <c r="AO1153" s="121" t="str">
        <f>IF('Cable Info'!N857="","",CONCATENATE('Cable Info'!N857," - ",'Cable Info'!O857))</f>
        <v>856 - AW</v>
      </c>
      <c r="AR1153" s="121" t="str">
        <f t="shared" si="192"/>
        <v>856 - AW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str">
        <f>IF('Cable Info'!L858="","",CONCATENATE('Cable Info'!L858," - ",'Cable Info'!M858))</f>
        <v>857 - AW</v>
      </c>
      <c r="AM1154" s="121" t="str">
        <f t="shared" si="191"/>
        <v>857 - AW</v>
      </c>
      <c r="AO1154" s="121" t="str">
        <f>IF('Cable Info'!N858="","",CONCATENATE('Cable Info'!N858," - ",'Cable Info'!O858))</f>
        <v>857 - AW</v>
      </c>
      <c r="AR1154" s="121" t="str">
        <f t="shared" si="192"/>
        <v>857 - AW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str">
        <f>IF('Cable Info'!L859="","",CONCATENATE('Cable Info'!L859," - ",'Cable Info'!M859))</f>
        <v>858 - AW</v>
      </c>
      <c r="AM1155" s="121" t="str">
        <f t="shared" si="191"/>
        <v>858 - AW</v>
      </c>
      <c r="AO1155" s="121" t="str">
        <f>IF('Cable Info'!N859="","",CONCATENATE('Cable Info'!N859," - ",'Cable Info'!O859))</f>
        <v>858 - AW</v>
      </c>
      <c r="AR1155" s="121" t="str">
        <f t="shared" si="192"/>
        <v>858 - AW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str">
        <f>IF('Cable Info'!L860="","",CONCATENATE('Cable Info'!L860," - ",'Cable Info'!M860))</f>
        <v>859 - AW</v>
      </c>
      <c r="AM1156" s="121" t="str">
        <f t="shared" si="191"/>
        <v>859 - AW</v>
      </c>
      <c r="AO1156" s="121" t="str">
        <f>IF('Cable Info'!N860="","",CONCATENATE('Cable Info'!N860," - ",'Cable Info'!O860))</f>
        <v>859 - AW</v>
      </c>
      <c r="AR1156" s="121" t="str">
        <f t="shared" si="192"/>
        <v>859 - AW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str">
        <f>IF('Cable Info'!L861="","",CONCATENATE('Cable Info'!L861," - ",'Cable Info'!M861))</f>
        <v>860 - AW</v>
      </c>
      <c r="AM1157" s="121" t="str">
        <f t="shared" si="191"/>
        <v>860 - AW</v>
      </c>
      <c r="AO1157" s="121" t="str">
        <f>IF('Cable Info'!N861="","",CONCATENATE('Cable Info'!N861," - ",'Cable Info'!O861))</f>
        <v>860 - AW</v>
      </c>
      <c r="AR1157" s="121" t="str">
        <f t="shared" si="192"/>
        <v>860 - AW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str">
        <f>IF('Cable Info'!L862="","",CONCATENATE('Cable Info'!L862," - ",'Cable Info'!M862))</f>
        <v>861 - AW</v>
      </c>
      <c r="AM1158" s="121" t="str">
        <f t="shared" si="191"/>
        <v>861 - AW</v>
      </c>
      <c r="AO1158" s="121" t="str">
        <f>IF('Cable Info'!N862="","",CONCATENATE('Cable Info'!N862," - ",'Cable Info'!O862))</f>
        <v>861 - AW</v>
      </c>
      <c r="AR1158" s="121" t="str">
        <f t="shared" si="192"/>
        <v>861 - AW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str">
        <f>IF('Cable Info'!L863="","",CONCATENATE('Cable Info'!L863," - ",'Cable Info'!M863))</f>
        <v>862 - AW</v>
      </c>
      <c r="AM1159" s="121" t="str">
        <f t="shared" si="191"/>
        <v>862 - AW</v>
      </c>
      <c r="AO1159" s="121" t="str">
        <f>IF('Cable Info'!N863="","",CONCATENATE('Cable Info'!N863," - ",'Cable Info'!O863))</f>
        <v>862 - AW</v>
      </c>
      <c r="AR1159" s="121" t="str">
        <f t="shared" si="192"/>
        <v>862 - AW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str">
        <f>IF('Cable Info'!L864="","",CONCATENATE('Cable Info'!L864," - ",'Cable Info'!M864))</f>
        <v>863 - AW</v>
      </c>
      <c r="AM1160" s="121" t="str">
        <f t="shared" si="191"/>
        <v>863 - AW</v>
      </c>
      <c r="AO1160" s="121" t="str">
        <f>IF('Cable Info'!N864="","",CONCATENATE('Cable Info'!N864," - ",'Cable Info'!O864))</f>
        <v>863 - AW</v>
      </c>
      <c r="AR1160" s="121" t="str">
        <f t="shared" si="192"/>
        <v>863 - AW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str">
        <f>IF('Cable Info'!L865="","",CONCATENATE('Cable Info'!L865," - ",'Cable Info'!M865))</f>
        <v>864 - AW</v>
      </c>
      <c r="AM1161" s="121" t="str">
        <f t="shared" si="191"/>
        <v>864 - AW</v>
      </c>
      <c r="AO1161" s="121" t="str">
        <f>IF('Cable Info'!N865="","",CONCATENATE('Cable Info'!N865," - ",'Cable Info'!O865))</f>
        <v>864 - AW</v>
      </c>
      <c r="AR1161" s="121" t="str">
        <f t="shared" si="192"/>
        <v>864 - AW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71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autoPict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autoPict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autoPict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zoomScale="70" zoomScaleNormal="70" workbookViewId="0">
      <selection activeCell="A3" sqref="A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Pics!Print_Area</vt:lpstr>
      <vt:lpstr>'Scope of Work'!Print_Area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Benjamin M. Delman</cp:lastModifiedBy>
  <cp:lastPrinted>2016-12-16T00:55:15Z</cp:lastPrinted>
  <dcterms:created xsi:type="dcterms:W3CDTF">1998-05-29T15:48:38Z</dcterms:created>
  <dcterms:modified xsi:type="dcterms:W3CDTF">2017-01-06T16:06:14Z</dcterms:modified>
</cp:coreProperties>
</file>