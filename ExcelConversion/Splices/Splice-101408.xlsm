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A:\SEPs\All-SEPs\"/>
    </mc:Choice>
  </mc:AlternateContent>
  <bookViews>
    <workbookView xWindow="0" yWindow="0" windowWidth="19200" windowHeight="9060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Y11" i="3"/>
  <c r="Z11" i="3"/>
  <c r="AA11" i="3"/>
  <c r="AB11" i="3"/>
  <c r="C12" i="3"/>
  <c r="H12" i="3"/>
  <c r="M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AB14" i="3" l="1"/>
  <c r="M380" i="3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M864" i="7"/>
  <c r="L864" i="7"/>
  <c r="V863" i="7"/>
  <c r="W863" i="7" s="1"/>
  <c r="T863" i="7"/>
  <c r="U863" i="7" s="1"/>
  <c r="R863" i="7"/>
  <c r="S863" i="7" s="1"/>
  <c r="P863" i="7"/>
  <c r="Q863" i="7" s="1"/>
  <c r="N863" i="7"/>
  <c r="O863" i="7" s="1"/>
  <c r="L863" i="7"/>
  <c r="M863" i="7" s="1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Q860" i="7"/>
  <c r="P860" i="7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L859" i="7"/>
  <c r="M859" i="7" s="1"/>
  <c r="V858" i="7"/>
  <c r="W858" i="7" s="1"/>
  <c r="U858" i="7"/>
  <c r="T858" i="7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Q856" i="7"/>
  <c r="P856" i="7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T853" i="7"/>
  <c r="U853" i="7" s="1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P852" i="7"/>
  <c r="Q852" i="7" s="1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T850" i="7"/>
  <c r="U850" i="7" s="1"/>
  <c r="R850" i="7"/>
  <c r="S850" i="7" s="1"/>
  <c r="P850" i="7"/>
  <c r="Q850" i="7" s="1"/>
  <c r="N850" i="7"/>
  <c r="O850" i="7" s="1"/>
  <c r="L850" i="7"/>
  <c r="M850" i="7" s="1"/>
  <c r="V849" i="7"/>
  <c r="W849" i="7" s="1"/>
  <c r="U849" i="7"/>
  <c r="T849" i="7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P848" i="7"/>
  <c r="Q848" i="7" s="1"/>
  <c r="N848" i="7"/>
  <c r="O848" i="7" s="1"/>
  <c r="M848" i="7"/>
  <c r="L848" i="7"/>
  <c r="V847" i="7"/>
  <c r="W847" i="7" s="1"/>
  <c r="T847" i="7"/>
  <c r="U847" i="7" s="1"/>
  <c r="R847" i="7"/>
  <c r="S847" i="7" s="1"/>
  <c r="P847" i="7"/>
  <c r="Q847" i="7" s="1"/>
  <c r="N847" i="7"/>
  <c r="O847" i="7" s="1"/>
  <c r="L847" i="7"/>
  <c r="M847" i="7" s="1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U845" i="7"/>
  <c r="T845" i="7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Q844" i="7"/>
  <c r="P844" i="7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U842" i="7"/>
  <c r="T842" i="7"/>
  <c r="R842" i="7"/>
  <c r="S842" i="7" s="1"/>
  <c r="P842" i="7"/>
  <c r="Q842" i="7" s="1"/>
  <c r="N842" i="7"/>
  <c r="O842" i="7" s="1"/>
  <c r="L842" i="7"/>
  <c r="M842" i="7" s="1"/>
  <c r="V841" i="7"/>
  <c r="W841" i="7" s="1"/>
  <c r="T841" i="7"/>
  <c r="U841" i="7" s="1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Q840" i="7"/>
  <c r="P840" i="7"/>
  <c r="N840" i="7"/>
  <c r="O840" i="7" s="1"/>
  <c r="L840" i="7"/>
  <c r="M840" i="7" s="1"/>
  <c r="V839" i="7"/>
  <c r="W839" i="7" s="1"/>
  <c r="T839" i="7"/>
  <c r="U839" i="7" s="1"/>
  <c r="R839" i="7"/>
  <c r="S839" i="7" s="1"/>
  <c r="P839" i="7"/>
  <c r="Q839" i="7" s="1"/>
  <c r="N839" i="7"/>
  <c r="O839" i="7" s="1"/>
  <c r="M839" i="7"/>
  <c r="L839" i="7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T837" i="7"/>
  <c r="U837" i="7" s="1"/>
  <c r="R837" i="7"/>
  <c r="S837" i="7" s="1"/>
  <c r="Q837" i="7"/>
  <c r="P837" i="7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M835" i="7"/>
  <c r="L835" i="7"/>
  <c r="V834" i="7"/>
  <c r="W834" i="7" s="1"/>
  <c r="T834" i="7"/>
  <c r="U834" i="7" s="1"/>
  <c r="R834" i="7"/>
  <c r="S834" i="7" s="1"/>
  <c r="P834" i="7"/>
  <c r="Q834" i="7" s="1"/>
  <c r="N834" i="7"/>
  <c r="O834" i="7" s="1"/>
  <c r="L834" i="7"/>
  <c r="M834" i="7" s="1"/>
  <c r="V833" i="7"/>
  <c r="W833" i="7" s="1"/>
  <c r="U833" i="7"/>
  <c r="T833" i="7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P832" i="7"/>
  <c r="Q832" i="7" s="1"/>
  <c r="N832" i="7"/>
  <c r="O832" i="7" s="1"/>
  <c r="M832" i="7"/>
  <c r="L832" i="7"/>
  <c r="V831" i="7"/>
  <c r="W831" i="7" s="1"/>
  <c r="T831" i="7"/>
  <c r="U831" i="7" s="1"/>
  <c r="R831" i="7"/>
  <c r="S831" i="7" s="1"/>
  <c r="P831" i="7"/>
  <c r="Q831" i="7" s="1"/>
  <c r="N831" i="7"/>
  <c r="O831" i="7" s="1"/>
  <c r="L831" i="7"/>
  <c r="M831" i="7" s="1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U829" i="7"/>
  <c r="T829" i="7"/>
  <c r="R829" i="7"/>
  <c r="S829" i="7" s="1"/>
  <c r="P829" i="7"/>
  <c r="Q829" i="7" s="1"/>
  <c r="N829" i="7"/>
  <c r="O829" i="7" s="1"/>
  <c r="L829" i="7"/>
  <c r="M829" i="7" s="1"/>
  <c r="V828" i="7"/>
  <c r="W828" i="7" s="1"/>
  <c r="T828" i="7"/>
  <c r="U828" i="7" s="1"/>
  <c r="R828" i="7"/>
  <c r="S828" i="7" s="1"/>
  <c r="Q828" i="7"/>
  <c r="P828" i="7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L827" i="7"/>
  <c r="M827" i="7" s="1"/>
  <c r="V826" i="7"/>
  <c r="W826" i="7" s="1"/>
  <c r="U826" i="7"/>
  <c r="T826" i="7"/>
  <c r="R826" i="7"/>
  <c r="S826" i="7" s="1"/>
  <c r="P826" i="7"/>
  <c r="Q826" i="7" s="1"/>
  <c r="N826" i="7"/>
  <c r="O826" i="7" s="1"/>
  <c r="L826" i="7"/>
  <c r="M826" i="7" s="1"/>
  <c r="V825" i="7"/>
  <c r="W825" i="7" s="1"/>
  <c r="T825" i="7"/>
  <c r="U825" i="7" s="1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Q824" i="7"/>
  <c r="P824" i="7"/>
  <c r="N824" i="7"/>
  <c r="O824" i="7" s="1"/>
  <c r="L824" i="7"/>
  <c r="M824" i="7" s="1"/>
  <c r="V823" i="7"/>
  <c r="W823" i="7" s="1"/>
  <c r="T823" i="7"/>
  <c r="U823" i="7" s="1"/>
  <c r="R823" i="7"/>
  <c r="S823" i="7" s="1"/>
  <c r="P823" i="7"/>
  <c r="Q823" i="7" s="1"/>
  <c r="N823" i="7"/>
  <c r="O823" i="7" s="1"/>
  <c r="M823" i="7"/>
  <c r="L823" i="7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Q821" i="7"/>
  <c r="P821" i="7"/>
  <c r="N821" i="7"/>
  <c r="O821" i="7" s="1"/>
  <c r="L821" i="7"/>
  <c r="M821" i="7" s="1"/>
  <c r="V820" i="7"/>
  <c r="W820" i="7" s="1"/>
  <c r="T820" i="7"/>
  <c r="U820" i="7" s="1"/>
  <c r="R820" i="7"/>
  <c r="S820" i="7" s="1"/>
  <c r="P820" i="7"/>
  <c r="Q820" i="7" s="1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M819" i="7"/>
  <c r="L819" i="7"/>
  <c r="V818" i="7"/>
  <c r="W818" i="7" s="1"/>
  <c r="T818" i="7"/>
  <c r="U818" i="7" s="1"/>
  <c r="R818" i="7"/>
  <c r="S818" i="7" s="1"/>
  <c r="P818" i="7"/>
  <c r="Q818" i="7" s="1"/>
  <c r="N818" i="7"/>
  <c r="O818" i="7" s="1"/>
  <c r="L818" i="7"/>
  <c r="M818" i="7" s="1"/>
  <c r="V817" i="7"/>
  <c r="W817" i="7" s="1"/>
  <c r="U817" i="7"/>
  <c r="T817" i="7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P816" i="7"/>
  <c r="Q816" i="7" s="1"/>
  <c r="N816" i="7"/>
  <c r="O816" i="7" s="1"/>
  <c r="M816" i="7"/>
  <c r="L816" i="7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U813" i="7"/>
  <c r="T813" i="7"/>
  <c r="R813" i="7"/>
  <c r="S813" i="7" s="1"/>
  <c r="P813" i="7"/>
  <c r="Q813" i="7" s="1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L811" i="7"/>
  <c r="M811" i="7" s="1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M807" i="7"/>
  <c r="L807" i="7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Q805" i="7"/>
  <c r="P805" i="7"/>
  <c r="N805" i="7"/>
  <c r="O805" i="7" s="1"/>
  <c r="L805" i="7"/>
  <c r="M805" i="7" s="1"/>
  <c r="V804" i="7"/>
  <c r="W804" i="7" s="1"/>
  <c r="T804" i="7"/>
  <c r="U804" i="7" s="1"/>
  <c r="R804" i="7"/>
  <c r="S804" i="7" s="1"/>
  <c r="P804" i="7"/>
  <c r="Q804" i="7" s="1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M803" i="7"/>
  <c r="L803" i="7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M800" i="7"/>
  <c r="L800" i="7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U797" i="7"/>
  <c r="T797" i="7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Q796" i="7"/>
  <c r="P796" i="7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U794" i="7"/>
  <c r="T794" i="7"/>
  <c r="R794" i="7"/>
  <c r="S794" i="7" s="1"/>
  <c r="P794" i="7"/>
  <c r="Q794" i="7" s="1"/>
  <c r="N794" i="7"/>
  <c r="O794" i="7" s="1"/>
  <c r="L794" i="7"/>
  <c r="M794" i="7" s="1"/>
  <c r="V793" i="7"/>
  <c r="W793" i="7" s="1"/>
  <c r="T793" i="7"/>
  <c r="U793" i="7" s="1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Q792" i="7"/>
  <c r="P792" i="7"/>
  <c r="N792" i="7"/>
  <c r="O792" i="7" s="1"/>
  <c r="L792" i="7"/>
  <c r="M792" i="7" s="1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T789" i="7"/>
  <c r="U789" i="7" s="1"/>
  <c r="R789" i="7"/>
  <c r="S789" i="7" s="1"/>
  <c r="Q789" i="7"/>
  <c r="P789" i="7"/>
  <c r="N789" i="7"/>
  <c r="O789" i="7" s="1"/>
  <c r="L789" i="7"/>
  <c r="M789" i="7" s="1"/>
  <c r="V788" i="7"/>
  <c r="W788" i="7" s="1"/>
  <c r="T788" i="7"/>
  <c r="U788" i="7" s="1"/>
  <c r="R788" i="7"/>
  <c r="S788" i="7" s="1"/>
  <c r="P788" i="7"/>
  <c r="Q788" i="7" s="1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M787" i="7"/>
  <c r="L787" i="7"/>
  <c r="V786" i="7"/>
  <c r="W786" i="7" s="1"/>
  <c r="T786" i="7"/>
  <c r="U786" i="7" s="1"/>
  <c r="R786" i="7"/>
  <c r="S786" i="7" s="1"/>
  <c r="P786" i="7"/>
  <c r="Q786" i="7" s="1"/>
  <c r="N786" i="7"/>
  <c r="O786" i="7" s="1"/>
  <c r="L786" i="7"/>
  <c r="M786" i="7" s="1"/>
  <c r="V785" i="7"/>
  <c r="W785" i="7" s="1"/>
  <c r="U785" i="7"/>
  <c r="T785" i="7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P784" i="7"/>
  <c r="Q784" i="7" s="1"/>
  <c r="N784" i="7"/>
  <c r="O784" i="7" s="1"/>
  <c r="M784" i="7"/>
  <c r="L784" i="7"/>
  <c r="V783" i="7"/>
  <c r="W783" i="7" s="1"/>
  <c r="T783" i="7"/>
  <c r="U783" i="7" s="1"/>
  <c r="R783" i="7"/>
  <c r="S783" i="7" s="1"/>
  <c r="P783" i="7"/>
  <c r="Q783" i="7" s="1"/>
  <c r="N783" i="7"/>
  <c r="O783" i="7" s="1"/>
  <c r="L783" i="7"/>
  <c r="M783" i="7" s="1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U781" i="7"/>
  <c r="T781" i="7"/>
  <c r="R781" i="7"/>
  <c r="S781" i="7" s="1"/>
  <c r="P781" i="7"/>
  <c r="Q781" i="7" s="1"/>
  <c r="N781" i="7"/>
  <c r="O781" i="7" s="1"/>
  <c r="L781" i="7"/>
  <c r="M781" i="7" s="1"/>
  <c r="V780" i="7"/>
  <c r="W780" i="7" s="1"/>
  <c r="T780" i="7"/>
  <c r="U780" i="7" s="1"/>
  <c r="R780" i="7"/>
  <c r="S780" i="7" s="1"/>
  <c r="Q780" i="7"/>
  <c r="P780" i="7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L779" i="7"/>
  <c r="M779" i="7" s="1"/>
  <c r="V778" i="7"/>
  <c r="W778" i="7" s="1"/>
  <c r="U778" i="7"/>
  <c r="T778" i="7"/>
  <c r="R778" i="7"/>
  <c r="S778" i="7" s="1"/>
  <c r="P778" i="7"/>
  <c r="Q778" i="7" s="1"/>
  <c r="N778" i="7"/>
  <c r="O778" i="7" s="1"/>
  <c r="L778" i="7"/>
  <c r="M778" i="7" s="1"/>
  <c r="V777" i="7"/>
  <c r="W777" i="7" s="1"/>
  <c r="T777" i="7"/>
  <c r="U777" i="7" s="1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U775" i="7"/>
  <c r="T775" i="7"/>
  <c r="R775" i="7"/>
  <c r="S775" i="7" s="1"/>
  <c r="P775" i="7"/>
  <c r="Q775" i="7" s="1"/>
  <c r="N775" i="7"/>
  <c r="O775" i="7" s="1"/>
  <c r="L775" i="7"/>
  <c r="M775" i="7" s="1"/>
  <c r="V774" i="7"/>
  <c r="W774" i="7" s="1"/>
  <c r="U774" i="7"/>
  <c r="T774" i="7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Q772" i="7"/>
  <c r="P772" i="7"/>
  <c r="N772" i="7"/>
  <c r="O772" i="7" s="1"/>
  <c r="L772" i="7"/>
  <c r="M772" i="7" s="1"/>
  <c r="V771" i="7"/>
  <c r="W771" i="7" s="1"/>
  <c r="T771" i="7"/>
  <c r="U771" i="7" s="1"/>
  <c r="R771" i="7"/>
  <c r="S771" i="7" s="1"/>
  <c r="P771" i="7"/>
  <c r="Q771" i="7" s="1"/>
  <c r="N771" i="7"/>
  <c r="O771" i="7" s="1"/>
  <c r="L771" i="7"/>
  <c r="M771" i="7" s="1"/>
  <c r="V770" i="7"/>
  <c r="W770" i="7" s="1"/>
  <c r="T770" i="7"/>
  <c r="U770" i="7" s="1"/>
  <c r="R770" i="7"/>
  <c r="S770" i="7" s="1"/>
  <c r="Q770" i="7"/>
  <c r="P770" i="7"/>
  <c r="N770" i="7"/>
  <c r="O770" i="7" s="1"/>
  <c r="L770" i="7"/>
  <c r="M770" i="7" s="1"/>
  <c r="V769" i="7"/>
  <c r="W769" i="7" s="1"/>
  <c r="T769" i="7"/>
  <c r="U769" i="7" s="1"/>
  <c r="R769" i="7"/>
  <c r="S769" i="7" s="1"/>
  <c r="Q769" i="7"/>
  <c r="P769" i="7"/>
  <c r="N769" i="7"/>
  <c r="O769" i="7" s="1"/>
  <c r="L769" i="7"/>
  <c r="M769" i="7" s="1"/>
  <c r="V768" i="7"/>
  <c r="W768" i="7" s="1"/>
  <c r="T768" i="7"/>
  <c r="U768" i="7" s="1"/>
  <c r="R768" i="7"/>
  <c r="S768" i="7" s="1"/>
  <c r="Q768" i="7"/>
  <c r="P768" i="7"/>
  <c r="N768" i="7"/>
  <c r="O768" i="7" s="1"/>
  <c r="L768" i="7"/>
  <c r="M768" i="7" s="1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P766" i="7"/>
  <c r="Q766" i="7" s="1"/>
  <c r="N766" i="7"/>
  <c r="O766" i="7" s="1"/>
  <c r="L766" i="7"/>
  <c r="M766" i="7" s="1"/>
  <c r="V765" i="7"/>
  <c r="W765" i="7" s="1"/>
  <c r="U765" i="7"/>
  <c r="T765" i="7"/>
  <c r="R765" i="7"/>
  <c r="S765" i="7" s="1"/>
  <c r="P765" i="7"/>
  <c r="Q765" i="7" s="1"/>
  <c r="N765" i="7"/>
  <c r="O765" i="7" s="1"/>
  <c r="M765" i="7"/>
  <c r="L765" i="7"/>
  <c r="V764" i="7"/>
  <c r="W764" i="7" s="1"/>
  <c r="T764" i="7"/>
  <c r="U764" i="7" s="1"/>
  <c r="R764" i="7"/>
  <c r="S764" i="7" s="1"/>
  <c r="P764" i="7"/>
  <c r="Q764" i="7" s="1"/>
  <c r="N764" i="7"/>
  <c r="O764" i="7" s="1"/>
  <c r="M764" i="7"/>
  <c r="L764" i="7"/>
  <c r="V763" i="7"/>
  <c r="W763" i="7" s="1"/>
  <c r="T763" i="7"/>
  <c r="U763" i="7" s="1"/>
  <c r="R763" i="7"/>
  <c r="S763" i="7" s="1"/>
  <c r="P763" i="7"/>
  <c r="Q763" i="7" s="1"/>
  <c r="N763" i="7"/>
  <c r="O763" i="7" s="1"/>
  <c r="L763" i="7"/>
  <c r="M763" i="7" s="1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U761" i="7"/>
  <c r="T761" i="7"/>
  <c r="R761" i="7"/>
  <c r="S761" i="7" s="1"/>
  <c r="P761" i="7"/>
  <c r="Q761" i="7" s="1"/>
  <c r="N761" i="7"/>
  <c r="O761" i="7" s="1"/>
  <c r="L761" i="7"/>
  <c r="M761" i="7" s="1"/>
  <c r="V760" i="7"/>
  <c r="W760" i="7" s="1"/>
  <c r="T760" i="7"/>
  <c r="U760" i="7" s="1"/>
  <c r="R760" i="7"/>
  <c r="S760" i="7" s="1"/>
  <c r="Q760" i="7"/>
  <c r="P760" i="7"/>
  <c r="N760" i="7"/>
  <c r="O760" i="7" s="1"/>
  <c r="L760" i="7"/>
  <c r="M760" i="7" s="1"/>
  <c r="V759" i="7"/>
  <c r="W759" i="7" s="1"/>
  <c r="U759" i="7"/>
  <c r="T759" i="7"/>
  <c r="R759" i="7"/>
  <c r="S759" i="7" s="1"/>
  <c r="P759" i="7"/>
  <c r="Q759" i="7" s="1"/>
  <c r="N759" i="7"/>
  <c r="O759" i="7" s="1"/>
  <c r="L759" i="7"/>
  <c r="M759" i="7" s="1"/>
  <c r="V758" i="7"/>
  <c r="W758" i="7" s="1"/>
  <c r="U758" i="7"/>
  <c r="T758" i="7"/>
  <c r="R758" i="7"/>
  <c r="S758" i="7" s="1"/>
  <c r="P758" i="7"/>
  <c r="Q758" i="7" s="1"/>
  <c r="N758" i="7"/>
  <c r="O758" i="7" s="1"/>
  <c r="L758" i="7"/>
  <c r="M758" i="7" s="1"/>
  <c r="V757" i="7"/>
  <c r="W757" i="7" s="1"/>
  <c r="U757" i="7"/>
  <c r="T757" i="7"/>
  <c r="R757" i="7"/>
  <c r="S757" i="7" s="1"/>
  <c r="P757" i="7"/>
  <c r="Q757" i="7" s="1"/>
  <c r="N757" i="7"/>
  <c r="O757" i="7" s="1"/>
  <c r="L757" i="7"/>
  <c r="M757" i="7" s="1"/>
  <c r="V756" i="7"/>
  <c r="W756" i="7" s="1"/>
  <c r="T756" i="7"/>
  <c r="U756" i="7" s="1"/>
  <c r="R756" i="7"/>
  <c r="S756" i="7" s="1"/>
  <c r="Q756" i="7"/>
  <c r="P756" i="7"/>
  <c r="N756" i="7"/>
  <c r="O756" i="7" s="1"/>
  <c r="L756" i="7"/>
  <c r="M756" i="7" s="1"/>
  <c r="V755" i="7"/>
  <c r="W755" i="7" s="1"/>
  <c r="T755" i="7"/>
  <c r="U755" i="7" s="1"/>
  <c r="R755" i="7"/>
  <c r="S755" i="7" s="1"/>
  <c r="P755" i="7"/>
  <c r="Q755" i="7" s="1"/>
  <c r="N755" i="7"/>
  <c r="O755" i="7" s="1"/>
  <c r="M755" i="7"/>
  <c r="L755" i="7"/>
  <c r="V754" i="7"/>
  <c r="W754" i="7" s="1"/>
  <c r="T754" i="7"/>
  <c r="U754" i="7" s="1"/>
  <c r="R754" i="7"/>
  <c r="S754" i="7" s="1"/>
  <c r="Q754" i="7"/>
  <c r="P754" i="7"/>
  <c r="N754" i="7"/>
  <c r="O754" i="7" s="1"/>
  <c r="L754" i="7"/>
  <c r="M754" i="7" s="1"/>
  <c r="V753" i="7"/>
  <c r="W753" i="7" s="1"/>
  <c r="T753" i="7"/>
  <c r="U753" i="7" s="1"/>
  <c r="R753" i="7"/>
  <c r="S753" i="7" s="1"/>
  <c r="Q753" i="7"/>
  <c r="P753" i="7"/>
  <c r="N753" i="7"/>
  <c r="O753" i="7" s="1"/>
  <c r="L753" i="7"/>
  <c r="M753" i="7" s="1"/>
  <c r="V752" i="7"/>
  <c r="W752" i="7" s="1"/>
  <c r="T752" i="7"/>
  <c r="U752" i="7" s="1"/>
  <c r="R752" i="7"/>
  <c r="S752" i="7" s="1"/>
  <c r="P752" i="7"/>
  <c r="Q752" i="7" s="1"/>
  <c r="N752" i="7"/>
  <c r="O752" i="7" s="1"/>
  <c r="L752" i="7"/>
  <c r="M752" i="7" s="1"/>
  <c r="V751" i="7"/>
  <c r="W751" i="7" s="1"/>
  <c r="T751" i="7"/>
  <c r="U751" i="7" s="1"/>
  <c r="R751" i="7"/>
  <c r="S751" i="7" s="1"/>
  <c r="Q751" i="7"/>
  <c r="P751" i="7"/>
  <c r="N751" i="7"/>
  <c r="O751" i="7" s="1"/>
  <c r="L751" i="7"/>
  <c r="M751" i="7" s="1"/>
  <c r="V750" i="7"/>
  <c r="W750" i="7" s="1"/>
  <c r="T750" i="7"/>
  <c r="U750" i="7" s="1"/>
  <c r="R750" i="7"/>
  <c r="S750" i="7" s="1"/>
  <c r="P750" i="7"/>
  <c r="Q750" i="7" s="1"/>
  <c r="N750" i="7"/>
  <c r="O750" i="7" s="1"/>
  <c r="M750" i="7"/>
  <c r="L750" i="7"/>
  <c r="V749" i="7"/>
  <c r="W749" i="7" s="1"/>
  <c r="T749" i="7"/>
  <c r="U749" i="7" s="1"/>
  <c r="R749" i="7"/>
  <c r="S749" i="7" s="1"/>
  <c r="Q749" i="7"/>
  <c r="P749" i="7"/>
  <c r="N749" i="7"/>
  <c r="O749" i="7" s="1"/>
  <c r="L749" i="7"/>
  <c r="M749" i="7" s="1"/>
  <c r="V748" i="7"/>
  <c r="W748" i="7" s="1"/>
  <c r="T748" i="7"/>
  <c r="U748" i="7" s="1"/>
  <c r="R748" i="7"/>
  <c r="S748" i="7" s="1"/>
  <c r="Q748" i="7"/>
  <c r="P748" i="7"/>
  <c r="N748" i="7"/>
  <c r="O748" i="7" s="1"/>
  <c r="L748" i="7"/>
  <c r="M748" i="7" s="1"/>
  <c r="V747" i="7"/>
  <c r="W747" i="7" s="1"/>
  <c r="T747" i="7"/>
  <c r="U747" i="7" s="1"/>
  <c r="R747" i="7"/>
  <c r="S747" i="7" s="1"/>
  <c r="Q747" i="7"/>
  <c r="P747" i="7"/>
  <c r="N747" i="7"/>
  <c r="O747" i="7" s="1"/>
  <c r="L747" i="7"/>
  <c r="M747" i="7" s="1"/>
  <c r="V746" i="7"/>
  <c r="W746" i="7" s="1"/>
  <c r="T746" i="7"/>
  <c r="U746" i="7" s="1"/>
  <c r="R746" i="7"/>
  <c r="S746" i="7" s="1"/>
  <c r="P746" i="7"/>
  <c r="Q746" i="7" s="1"/>
  <c r="N746" i="7"/>
  <c r="O746" i="7" s="1"/>
  <c r="M746" i="7"/>
  <c r="L746" i="7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U744" i="7"/>
  <c r="T744" i="7"/>
  <c r="R744" i="7"/>
  <c r="S744" i="7" s="1"/>
  <c r="P744" i="7"/>
  <c r="Q744" i="7" s="1"/>
  <c r="N744" i="7"/>
  <c r="O744" i="7" s="1"/>
  <c r="M744" i="7"/>
  <c r="L744" i="7"/>
  <c r="V743" i="7"/>
  <c r="W743" i="7" s="1"/>
  <c r="T743" i="7"/>
  <c r="U743" i="7" s="1"/>
  <c r="R743" i="7"/>
  <c r="S743" i="7" s="1"/>
  <c r="P743" i="7"/>
  <c r="Q743" i="7" s="1"/>
  <c r="N743" i="7"/>
  <c r="O743" i="7" s="1"/>
  <c r="M743" i="7"/>
  <c r="L743" i="7"/>
  <c r="V742" i="7"/>
  <c r="W742" i="7" s="1"/>
  <c r="T742" i="7"/>
  <c r="U742" i="7" s="1"/>
  <c r="R742" i="7"/>
  <c r="S742" i="7" s="1"/>
  <c r="P742" i="7"/>
  <c r="Q742" i="7" s="1"/>
  <c r="N742" i="7"/>
  <c r="O742" i="7" s="1"/>
  <c r="M742" i="7"/>
  <c r="L742" i="7"/>
  <c r="V741" i="7"/>
  <c r="W741" i="7" s="1"/>
  <c r="T741" i="7"/>
  <c r="U741" i="7" s="1"/>
  <c r="R741" i="7"/>
  <c r="S741" i="7" s="1"/>
  <c r="P741" i="7"/>
  <c r="Q741" i="7" s="1"/>
  <c r="N741" i="7"/>
  <c r="O741" i="7" s="1"/>
  <c r="L741" i="7"/>
  <c r="M741" i="7" s="1"/>
  <c r="V740" i="7"/>
  <c r="W740" i="7" s="1"/>
  <c r="U740" i="7"/>
  <c r="T740" i="7"/>
  <c r="R740" i="7"/>
  <c r="S740" i="7" s="1"/>
  <c r="P740" i="7"/>
  <c r="Q740" i="7" s="1"/>
  <c r="N740" i="7"/>
  <c r="O740" i="7" s="1"/>
  <c r="L740" i="7"/>
  <c r="M740" i="7" s="1"/>
  <c r="V739" i="7"/>
  <c r="W739" i="7" s="1"/>
  <c r="T739" i="7"/>
  <c r="U739" i="7" s="1"/>
  <c r="R739" i="7"/>
  <c r="S739" i="7" s="1"/>
  <c r="Q739" i="7"/>
  <c r="P739" i="7"/>
  <c r="N739" i="7"/>
  <c r="O739" i="7" s="1"/>
  <c r="L739" i="7"/>
  <c r="M739" i="7" s="1"/>
  <c r="V738" i="7"/>
  <c r="W738" i="7" s="1"/>
  <c r="U738" i="7"/>
  <c r="T738" i="7"/>
  <c r="R738" i="7"/>
  <c r="S738" i="7" s="1"/>
  <c r="P738" i="7"/>
  <c r="Q738" i="7" s="1"/>
  <c r="N738" i="7"/>
  <c r="O738" i="7" s="1"/>
  <c r="L738" i="7"/>
  <c r="M738" i="7" s="1"/>
  <c r="V737" i="7"/>
  <c r="W737" i="7" s="1"/>
  <c r="U737" i="7"/>
  <c r="T737" i="7"/>
  <c r="R737" i="7"/>
  <c r="S737" i="7" s="1"/>
  <c r="P737" i="7"/>
  <c r="Q737" i="7" s="1"/>
  <c r="N737" i="7"/>
  <c r="O737" i="7" s="1"/>
  <c r="L737" i="7"/>
  <c r="M737" i="7" s="1"/>
  <c r="V736" i="7"/>
  <c r="W736" i="7" s="1"/>
  <c r="U736" i="7"/>
  <c r="T736" i="7"/>
  <c r="R736" i="7"/>
  <c r="S736" i="7" s="1"/>
  <c r="P736" i="7"/>
  <c r="Q736" i="7" s="1"/>
  <c r="N736" i="7"/>
  <c r="O736" i="7" s="1"/>
  <c r="M736" i="7"/>
  <c r="L736" i="7"/>
  <c r="V735" i="7"/>
  <c r="W735" i="7" s="1"/>
  <c r="T735" i="7"/>
  <c r="U735" i="7" s="1"/>
  <c r="R735" i="7"/>
  <c r="S735" i="7" s="1"/>
  <c r="P735" i="7"/>
  <c r="Q735" i="7" s="1"/>
  <c r="N735" i="7"/>
  <c r="O735" i="7" s="1"/>
  <c r="M735" i="7"/>
  <c r="L735" i="7"/>
  <c r="V734" i="7"/>
  <c r="W734" i="7" s="1"/>
  <c r="T734" i="7"/>
  <c r="U734" i="7" s="1"/>
  <c r="R734" i="7"/>
  <c r="S734" i="7" s="1"/>
  <c r="P734" i="7"/>
  <c r="Q734" i="7" s="1"/>
  <c r="N734" i="7"/>
  <c r="O734" i="7" s="1"/>
  <c r="L734" i="7"/>
  <c r="M734" i="7" s="1"/>
  <c r="V733" i="7"/>
  <c r="W733" i="7" s="1"/>
  <c r="U733" i="7"/>
  <c r="T733" i="7"/>
  <c r="R733" i="7"/>
  <c r="S733" i="7" s="1"/>
  <c r="P733" i="7"/>
  <c r="Q733" i="7" s="1"/>
  <c r="N733" i="7"/>
  <c r="O733" i="7" s="1"/>
  <c r="L733" i="7"/>
  <c r="M733" i="7" s="1"/>
  <c r="V732" i="7"/>
  <c r="W732" i="7" s="1"/>
  <c r="U732" i="7"/>
  <c r="T732" i="7"/>
  <c r="R732" i="7"/>
  <c r="S732" i="7" s="1"/>
  <c r="P732" i="7"/>
  <c r="Q732" i="7" s="1"/>
  <c r="N732" i="7"/>
  <c r="O732" i="7" s="1"/>
  <c r="M732" i="7"/>
  <c r="L732" i="7"/>
  <c r="V731" i="7"/>
  <c r="W731" i="7" s="1"/>
  <c r="T731" i="7"/>
  <c r="U731" i="7" s="1"/>
  <c r="R731" i="7"/>
  <c r="S731" i="7" s="1"/>
  <c r="P731" i="7"/>
  <c r="Q731" i="7" s="1"/>
  <c r="N731" i="7"/>
  <c r="O731" i="7" s="1"/>
  <c r="M731" i="7"/>
  <c r="L731" i="7"/>
  <c r="V730" i="7"/>
  <c r="W730" i="7" s="1"/>
  <c r="T730" i="7"/>
  <c r="U730" i="7" s="1"/>
  <c r="R730" i="7"/>
  <c r="S730" i="7" s="1"/>
  <c r="P730" i="7"/>
  <c r="Q730" i="7" s="1"/>
  <c r="N730" i="7"/>
  <c r="O730" i="7" s="1"/>
  <c r="L730" i="7"/>
  <c r="M730" i="7" s="1"/>
  <c r="V729" i="7"/>
  <c r="W729" i="7" s="1"/>
  <c r="U729" i="7"/>
  <c r="T729" i="7"/>
  <c r="R729" i="7"/>
  <c r="S729" i="7" s="1"/>
  <c r="P729" i="7"/>
  <c r="Q729" i="7" s="1"/>
  <c r="N729" i="7"/>
  <c r="O729" i="7" s="1"/>
  <c r="L729" i="7"/>
  <c r="M729" i="7" s="1"/>
  <c r="V728" i="7"/>
  <c r="W728" i="7" s="1"/>
  <c r="T728" i="7"/>
  <c r="U728" i="7" s="1"/>
  <c r="R728" i="7"/>
  <c r="S728" i="7" s="1"/>
  <c r="Q728" i="7"/>
  <c r="P728" i="7"/>
  <c r="N728" i="7"/>
  <c r="O728" i="7" s="1"/>
  <c r="L728" i="7"/>
  <c r="M728" i="7" s="1"/>
  <c r="V727" i="7"/>
  <c r="W727" i="7" s="1"/>
  <c r="T727" i="7"/>
  <c r="U727" i="7" s="1"/>
  <c r="R727" i="7"/>
  <c r="S727" i="7" s="1"/>
  <c r="Q727" i="7"/>
  <c r="P727" i="7"/>
  <c r="N727" i="7"/>
  <c r="O727" i="7" s="1"/>
  <c r="L727" i="7"/>
  <c r="M727" i="7" s="1"/>
  <c r="V726" i="7"/>
  <c r="W726" i="7" s="1"/>
  <c r="U726" i="7"/>
  <c r="T726" i="7"/>
  <c r="R726" i="7"/>
  <c r="S726" i="7" s="1"/>
  <c r="P726" i="7"/>
  <c r="Q726" i="7" s="1"/>
  <c r="N726" i="7"/>
  <c r="O726" i="7" s="1"/>
  <c r="L726" i="7"/>
  <c r="M726" i="7" s="1"/>
  <c r="V725" i="7"/>
  <c r="W725" i="7" s="1"/>
  <c r="U725" i="7"/>
  <c r="T725" i="7"/>
  <c r="R725" i="7"/>
  <c r="S725" i="7" s="1"/>
  <c r="P725" i="7"/>
  <c r="Q725" i="7" s="1"/>
  <c r="N725" i="7"/>
  <c r="O725" i="7" s="1"/>
  <c r="L725" i="7"/>
  <c r="M725" i="7" s="1"/>
  <c r="V724" i="7"/>
  <c r="W724" i="7" s="1"/>
  <c r="T724" i="7"/>
  <c r="U724" i="7" s="1"/>
  <c r="R724" i="7"/>
  <c r="S724" i="7" s="1"/>
  <c r="Q724" i="7"/>
  <c r="P724" i="7"/>
  <c r="N724" i="7"/>
  <c r="O724" i="7" s="1"/>
  <c r="L724" i="7"/>
  <c r="M724" i="7" s="1"/>
  <c r="V723" i="7"/>
  <c r="W723" i="7" s="1"/>
  <c r="T723" i="7"/>
  <c r="U723" i="7" s="1"/>
  <c r="R723" i="7"/>
  <c r="S723" i="7" s="1"/>
  <c r="P723" i="7"/>
  <c r="Q723" i="7" s="1"/>
  <c r="N723" i="7"/>
  <c r="O723" i="7" s="1"/>
  <c r="M723" i="7"/>
  <c r="L723" i="7"/>
  <c r="V722" i="7"/>
  <c r="W722" i="7" s="1"/>
  <c r="T722" i="7"/>
  <c r="U722" i="7" s="1"/>
  <c r="R722" i="7"/>
  <c r="S722" i="7" s="1"/>
  <c r="P722" i="7"/>
  <c r="Q722" i="7" s="1"/>
  <c r="N722" i="7"/>
  <c r="O722" i="7" s="1"/>
  <c r="M722" i="7"/>
  <c r="L722" i="7"/>
  <c r="V721" i="7"/>
  <c r="W721" i="7" s="1"/>
  <c r="T721" i="7"/>
  <c r="U721" i="7" s="1"/>
  <c r="R721" i="7"/>
  <c r="S721" i="7" s="1"/>
  <c r="Q721" i="7"/>
  <c r="P721" i="7"/>
  <c r="N721" i="7"/>
  <c r="O721" i="7" s="1"/>
  <c r="L721" i="7"/>
  <c r="M721" i="7" s="1"/>
  <c r="V720" i="7"/>
  <c r="W720" i="7" s="1"/>
  <c r="T720" i="7"/>
  <c r="U720" i="7" s="1"/>
  <c r="R720" i="7"/>
  <c r="S720" i="7" s="1"/>
  <c r="Q720" i="7"/>
  <c r="P720" i="7"/>
  <c r="N720" i="7"/>
  <c r="O720" i="7" s="1"/>
  <c r="L720" i="7"/>
  <c r="M720" i="7" s="1"/>
  <c r="V719" i="7"/>
  <c r="W719" i="7" s="1"/>
  <c r="T719" i="7"/>
  <c r="U719" i="7" s="1"/>
  <c r="R719" i="7"/>
  <c r="S719" i="7" s="1"/>
  <c r="P719" i="7"/>
  <c r="Q719" i="7" s="1"/>
  <c r="N719" i="7"/>
  <c r="O719" i="7" s="1"/>
  <c r="M719" i="7"/>
  <c r="L719" i="7"/>
  <c r="V718" i="7"/>
  <c r="W718" i="7" s="1"/>
  <c r="T718" i="7"/>
  <c r="U718" i="7" s="1"/>
  <c r="R718" i="7"/>
  <c r="S718" i="7" s="1"/>
  <c r="P718" i="7"/>
  <c r="Q718" i="7" s="1"/>
  <c r="N718" i="7"/>
  <c r="O718" i="7" s="1"/>
  <c r="L718" i="7"/>
  <c r="M718" i="7" s="1"/>
  <c r="V717" i="7"/>
  <c r="W717" i="7" s="1"/>
  <c r="U717" i="7"/>
  <c r="T717" i="7"/>
  <c r="R717" i="7"/>
  <c r="S717" i="7" s="1"/>
  <c r="P717" i="7"/>
  <c r="Q717" i="7" s="1"/>
  <c r="N717" i="7"/>
  <c r="O717" i="7" s="1"/>
  <c r="L717" i="7"/>
  <c r="M717" i="7" s="1"/>
  <c r="V716" i="7"/>
  <c r="W716" i="7" s="1"/>
  <c r="U716" i="7"/>
  <c r="T716" i="7"/>
  <c r="R716" i="7"/>
  <c r="S716" i="7" s="1"/>
  <c r="P716" i="7"/>
  <c r="Q716" i="7" s="1"/>
  <c r="N716" i="7"/>
  <c r="O716" i="7" s="1"/>
  <c r="M716" i="7"/>
  <c r="L716" i="7"/>
  <c r="V715" i="7"/>
  <c r="W715" i="7" s="1"/>
  <c r="T715" i="7"/>
  <c r="U715" i="7" s="1"/>
  <c r="R715" i="7"/>
  <c r="S715" i="7" s="1"/>
  <c r="P715" i="7"/>
  <c r="Q715" i="7" s="1"/>
  <c r="N715" i="7"/>
  <c r="O715" i="7" s="1"/>
  <c r="M715" i="7"/>
  <c r="L715" i="7"/>
  <c r="V714" i="7"/>
  <c r="W714" i="7" s="1"/>
  <c r="T714" i="7"/>
  <c r="U714" i="7" s="1"/>
  <c r="R714" i="7"/>
  <c r="S714" i="7" s="1"/>
  <c r="P714" i="7"/>
  <c r="Q714" i="7" s="1"/>
  <c r="N714" i="7"/>
  <c r="O714" i="7" s="1"/>
  <c r="M714" i="7"/>
  <c r="L714" i="7"/>
  <c r="V713" i="7"/>
  <c r="W713" i="7" s="1"/>
  <c r="T713" i="7"/>
  <c r="U713" i="7" s="1"/>
  <c r="R713" i="7"/>
  <c r="S713" i="7" s="1"/>
  <c r="P713" i="7"/>
  <c r="Q713" i="7" s="1"/>
  <c r="N713" i="7"/>
  <c r="O713" i="7" s="1"/>
  <c r="L713" i="7"/>
  <c r="M713" i="7" s="1"/>
  <c r="V712" i="7"/>
  <c r="W712" i="7" s="1"/>
  <c r="U712" i="7"/>
  <c r="T712" i="7"/>
  <c r="R712" i="7"/>
  <c r="S712" i="7" s="1"/>
  <c r="P712" i="7"/>
  <c r="Q712" i="7" s="1"/>
  <c r="N712" i="7"/>
  <c r="O712" i="7" s="1"/>
  <c r="M712" i="7"/>
  <c r="L712" i="7"/>
  <c r="V711" i="7"/>
  <c r="W711" i="7" s="1"/>
  <c r="T711" i="7"/>
  <c r="U711" i="7" s="1"/>
  <c r="R711" i="7"/>
  <c r="S711" i="7" s="1"/>
  <c r="P711" i="7"/>
  <c r="Q711" i="7" s="1"/>
  <c r="N711" i="7"/>
  <c r="O711" i="7" s="1"/>
  <c r="M711" i="7"/>
  <c r="L711" i="7"/>
  <c r="V710" i="7"/>
  <c r="W710" i="7" s="1"/>
  <c r="T710" i="7"/>
  <c r="U710" i="7" s="1"/>
  <c r="R710" i="7"/>
  <c r="S710" i="7" s="1"/>
  <c r="P710" i="7"/>
  <c r="Q710" i="7" s="1"/>
  <c r="N710" i="7"/>
  <c r="O710" i="7" s="1"/>
  <c r="M710" i="7"/>
  <c r="L710" i="7"/>
  <c r="V709" i="7"/>
  <c r="W709" i="7" s="1"/>
  <c r="T709" i="7"/>
  <c r="U709" i="7" s="1"/>
  <c r="R709" i="7"/>
  <c r="S709" i="7" s="1"/>
  <c r="P709" i="7"/>
  <c r="Q709" i="7" s="1"/>
  <c r="N709" i="7"/>
  <c r="O709" i="7" s="1"/>
  <c r="L709" i="7"/>
  <c r="M709" i="7" s="1"/>
  <c r="V708" i="7"/>
  <c r="W708" i="7" s="1"/>
  <c r="U708" i="7"/>
  <c r="T708" i="7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P707" i="7"/>
  <c r="Q707" i="7" s="1"/>
  <c r="N707" i="7"/>
  <c r="O707" i="7" s="1"/>
  <c r="L707" i="7"/>
  <c r="M707" i="7" s="1"/>
  <c r="V706" i="7"/>
  <c r="W706" i="7" s="1"/>
  <c r="U706" i="7"/>
  <c r="T706" i="7"/>
  <c r="R706" i="7"/>
  <c r="S706" i="7" s="1"/>
  <c r="P706" i="7"/>
  <c r="Q706" i="7" s="1"/>
  <c r="N706" i="7"/>
  <c r="O706" i="7" s="1"/>
  <c r="L706" i="7"/>
  <c r="M706" i="7" s="1"/>
  <c r="V705" i="7"/>
  <c r="W705" i="7" s="1"/>
  <c r="U705" i="7"/>
  <c r="T705" i="7"/>
  <c r="R705" i="7"/>
  <c r="S705" i="7" s="1"/>
  <c r="P705" i="7"/>
  <c r="Q705" i="7" s="1"/>
  <c r="N705" i="7"/>
  <c r="O705" i="7" s="1"/>
  <c r="L705" i="7"/>
  <c r="M705" i="7" s="1"/>
  <c r="V704" i="7"/>
  <c r="W704" i="7" s="1"/>
  <c r="U704" i="7"/>
  <c r="T704" i="7"/>
  <c r="R704" i="7"/>
  <c r="S704" i="7" s="1"/>
  <c r="P704" i="7"/>
  <c r="Q704" i="7" s="1"/>
  <c r="N704" i="7"/>
  <c r="O704" i="7" s="1"/>
  <c r="M704" i="7"/>
  <c r="L704" i="7"/>
  <c r="V703" i="7"/>
  <c r="W703" i="7" s="1"/>
  <c r="T703" i="7"/>
  <c r="U703" i="7" s="1"/>
  <c r="R703" i="7"/>
  <c r="S703" i="7" s="1"/>
  <c r="P703" i="7"/>
  <c r="Q703" i="7" s="1"/>
  <c r="N703" i="7"/>
  <c r="O703" i="7" s="1"/>
  <c r="M703" i="7"/>
  <c r="L703" i="7"/>
  <c r="V702" i="7"/>
  <c r="W702" i="7" s="1"/>
  <c r="T702" i="7"/>
  <c r="U702" i="7" s="1"/>
  <c r="R702" i="7"/>
  <c r="S702" i="7" s="1"/>
  <c r="P702" i="7"/>
  <c r="Q702" i="7" s="1"/>
  <c r="N702" i="7"/>
  <c r="O702" i="7" s="1"/>
  <c r="L702" i="7"/>
  <c r="M702" i="7" s="1"/>
  <c r="V701" i="7"/>
  <c r="W701" i="7" s="1"/>
  <c r="T701" i="7"/>
  <c r="U701" i="7" s="1"/>
  <c r="R701" i="7"/>
  <c r="S701" i="7" s="1"/>
  <c r="Q701" i="7"/>
  <c r="P701" i="7"/>
  <c r="N701" i="7"/>
  <c r="O701" i="7" s="1"/>
  <c r="L701" i="7"/>
  <c r="M701" i="7" s="1"/>
  <c r="V700" i="7"/>
  <c r="W700" i="7" s="1"/>
  <c r="T700" i="7"/>
  <c r="U700" i="7" s="1"/>
  <c r="R700" i="7"/>
  <c r="S700" i="7" s="1"/>
  <c r="Q700" i="7"/>
  <c r="P700" i="7"/>
  <c r="N700" i="7"/>
  <c r="O700" i="7" s="1"/>
  <c r="L700" i="7"/>
  <c r="M700" i="7" s="1"/>
  <c r="V699" i="7"/>
  <c r="W699" i="7" s="1"/>
  <c r="T699" i="7"/>
  <c r="U699" i="7" s="1"/>
  <c r="R699" i="7"/>
  <c r="S699" i="7" s="1"/>
  <c r="Q699" i="7"/>
  <c r="P699" i="7"/>
  <c r="N699" i="7"/>
  <c r="O699" i="7" s="1"/>
  <c r="L699" i="7"/>
  <c r="M699" i="7" s="1"/>
  <c r="V698" i="7"/>
  <c r="W698" i="7" s="1"/>
  <c r="T698" i="7"/>
  <c r="U698" i="7" s="1"/>
  <c r="R698" i="7"/>
  <c r="S698" i="7" s="1"/>
  <c r="P698" i="7"/>
  <c r="Q698" i="7" s="1"/>
  <c r="N698" i="7"/>
  <c r="O698" i="7" s="1"/>
  <c r="M698" i="7"/>
  <c r="L698" i="7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T696" i="7"/>
  <c r="U696" i="7" s="1"/>
  <c r="R696" i="7"/>
  <c r="S696" i="7" s="1"/>
  <c r="P696" i="7"/>
  <c r="Q696" i="7" s="1"/>
  <c r="N696" i="7"/>
  <c r="O696" i="7" s="1"/>
  <c r="M696" i="7"/>
  <c r="L696" i="7"/>
  <c r="V695" i="7"/>
  <c r="W695" i="7" s="1"/>
  <c r="T695" i="7"/>
  <c r="U695" i="7" s="1"/>
  <c r="R695" i="7"/>
  <c r="S695" i="7" s="1"/>
  <c r="P695" i="7"/>
  <c r="Q695" i="7" s="1"/>
  <c r="N695" i="7"/>
  <c r="O695" i="7" s="1"/>
  <c r="M695" i="7"/>
  <c r="L695" i="7"/>
  <c r="V694" i="7"/>
  <c r="W694" i="7" s="1"/>
  <c r="T694" i="7"/>
  <c r="U694" i="7" s="1"/>
  <c r="R694" i="7"/>
  <c r="S694" i="7" s="1"/>
  <c r="Q694" i="7"/>
  <c r="P694" i="7"/>
  <c r="N694" i="7"/>
  <c r="O694" i="7" s="1"/>
  <c r="L694" i="7"/>
  <c r="M694" i="7" s="1"/>
  <c r="V693" i="7"/>
  <c r="W693" i="7" s="1"/>
  <c r="T693" i="7"/>
  <c r="U693" i="7" s="1"/>
  <c r="R693" i="7"/>
  <c r="S693" i="7" s="1"/>
  <c r="Q693" i="7"/>
  <c r="P693" i="7"/>
  <c r="N693" i="7"/>
  <c r="O693" i="7" s="1"/>
  <c r="L693" i="7"/>
  <c r="M693" i="7" s="1"/>
  <c r="V692" i="7"/>
  <c r="W692" i="7" s="1"/>
  <c r="T692" i="7"/>
  <c r="U692" i="7" s="1"/>
  <c r="R692" i="7"/>
  <c r="S692" i="7" s="1"/>
  <c r="Q692" i="7"/>
  <c r="P692" i="7"/>
  <c r="N692" i="7"/>
  <c r="O692" i="7" s="1"/>
  <c r="L692" i="7"/>
  <c r="M692" i="7" s="1"/>
  <c r="V691" i="7"/>
  <c r="W691" i="7" s="1"/>
  <c r="T691" i="7"/>
  <c r="U691" i="7" s="1"/>
  <c r="R691" i="7"/>
  <c r="S691" i="7" s="1"/>
  <c r="P691" i="7"/>
  <c r="Q691" i="7" s="1"/>
  <c r="N691" i="7"/>
  <c r="O691" i="7" s="1"/>
  <c r="M691" i="7"/>
  <c r="L691" i="7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U689" i="7"/>
  <c r="T689" i="7"/>
  <c r="R689" i="7"/>
  <c r="S689" i="7" s="1"/>
  <c r="P689" i="7"/>
  <c r="Q689" i="7" s="1"/>
  <c r="N689" i="7"/>
  <c r="O689" i="7" s="1"/>
  <c r="M689" i="7"/>
  <c r="L689" i="7"/>
  <c r="V688" i="7"/>
  <c r="W688" i="7" s="1"/>
  <c r="T688" i="7"/>
  <c r="U688" i="7" s="1"/>
  <c r="R688" i="7"/>
  <c r="S688" i="7" s="1"/>
  <c r="P688" i="7"/>
  <c r="Q688" i="7" s="1"/>
  <c r="N688" i="7"/>
  <c r="O688" i="7" s="1"/>
  <c r="M688" i="7"/>
  <c r="L688" i="7"/>
  <c r="V687" i="7"/>
  <c r="W687" i="7" s="1"/>
  <c r="T687" i="7"/>
  <c r="U687" i="7" s="1"/>
  <c r="R687" i="7"/>
  <c r="S687" i="7" s="1"/>
  <c r="P687" i="7"/>
  <c r="Q687" i="7" s="1"/>
  <c r="N687" i="7"/>
  <c r="O687" i="7" s="1"/>
  <c r="M687" i="7"/>
  <c r="L687" i="7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U685" i="7"/>
  <c r="T685" i="7"/>
  <c r="R685" i="7"/>
  <c r="S685" i="7" s="1"/>
  <c r="P685" i="7"/>
  <c r="Q685" i="7" s="1"/>
  <c r="N685" i="7"/>
  <c r="O685" i="7" s="1"/>
  <c r="L685" i="7"/>
  <c r="M685" i="7" s="1"/>
  <c r="V684" i="7"/>
  <c r="W684" i="7" s="1"/>
  <c r="T684" i="7"/>
  <c r="U684" i="7" s="1"/>
  <c r="R684" i="7"/>
  <c r="S684" i="7" s="1"/>
  <c r="Q684" i="7"/>
  <c r="P684" i="7"/>
  <c r="N684" i="7"/>
  <c r="O684" i="7" s="1"/>
  <c r="L684" i="7"/>
  <c r="M684" i="7" s="1"/>
  <c r="V683" i="7"/>
  <c r="W683" i="7" s="1"/>
  <c r="U683" i="7"/>
  <c r="T683" i="7"/>
  <c r="S683" i="7"/>
  <c r="R683" i="7"/>
  <c r="Q683" i="7"/>
  <c r="P683" i="7"/>
  <c r="O683" i="7"/>
  <c r="N683" i="7"/>
  <c r="M683" i="7"/>
  <c r="L683" i="7"/>
  <c r="W682" i="7"/>
  <c r="V682" i="7"/>
  <c r="U682" i="7"/>
  <c r="T682" i="7"/>
  <c r="S682" i="7"/>
  <c r="R682" i="7"/>
  <c r="Q682" i="7"/>
  <c r="P682" i="7"/>
  <c r="O682" i="7"/>
  <c r="N682" i="7"/>
  <c r="M682" i="7"/>
  <c r="L682" i="7"/>
  <c r="W681" i="7"/>
  <c r="V681" i="7"/>
  <c r="U681" i="7"/>
  <c r="T681" i="7"/>
  <c r="S681" i="7"/>
  <c r="R681" i="7"/>
  <c r="Q681" i="7"/>
  <c r="P681" i="7"/>
  <c r="O681" i="7"/>
  <c r="N681" i="7"/>
  <c r="M681" i="7"/>
  <c r="L681" i="7"/>
  <c r="W680" i="7"/>
  <c r="V680" i="7"/>
  <c r="U680" i="7"/>
  <c r="T680" i="7"/>
  <c r="S680" i="7"/>
  <c r="R680" i="7"/>
  <c r="Q680" i="7"/>
  <c r="P680" i="7"/>
  <c r="O680" i="7"/>
  <c r="N680" i="7"/>
  <c r="M680" i="7"/>
  <c r="L680" i="7"/>
  <c r="W679" i="7"/>
  <c r="V679" i="7"/>
  <c r="U679" i="7"/>
  <c r="T679" i="7"/>
  <c r="S679" i="7"/>
  <c r="R679" i="7"/>
  <c r="Q679" i="7"/>
  <c r="P679" i="7"/>
  <c r="O679" i="7"/>
  <c r="N679" i="7"/>
  <c r="M679" i="7"/>
  <c r="L679" i="7"/>
  <c r="W678" i="7"/>
  <c r="V678" i="7"/>
  <c r="U678" i="7"/>
  <c r="T678" i="7"/>
  <c r="S678" i="7"/>
  <c r="R678" i="7"/>
  <c r="Q678" i="7"/>
  <c r="P678" i="7"/>
  <c r="O678" i="7"/>
  <c r="N678" i="7"/>
  <c r="M678" i="7"/>
  <c r="L678" i="7"/>
  <c r="W677" i="7"/>
  <c r="V677" i="7"/>
  <c r="U677" i="7"/>
  <c r="T677" i="7"/>
  <c r="S677" i="7"/>
  <c r="R677" i="7"/>
  <c r="Q677" i="7"/>
  <c r="P677" i="7"/>
  <c r="O677" i="7"/>
  <c r="N677" i="7"/>
  <c r="M677" i="7"/>
  <c r="L677" i="7"/>
  <c r="W676" i="7"/>
  <c r="V676" i="7"/>
  <c r="U676" i="7"/>
  <c r="T676" i="7"/>
  <c r="S676" i="7"/>
  <c r="R676" i="7"/>
  <c r="Q676" i="7"/>
  <c r="P676" i="7"/>
  <c r="O676" i="7"/>
  <c r="N676" i="7"/>
  <c r="M676" i="7"/>
  <c r="L676" i="7"/>
  <c r="W675" i="7"/>
  <c r="V675" i="7"/>
  <c r="U675" i="7"/>
  <c r="T675" i="7"/>
  <c r="S675" i="7"/>
  <c r="R675" i="7"/>
  <c r="Q675" i="7"/>
  <c r="P675" i="7"/>
  <c r="O675" i="7"/>
  <c r="N675" i="7"/>
  <c r="M675" i="7"/>
  <c r="L675" i="7"/>
  <c r="W674" i="7"/>
  <c r="V674" i="7"/>
  <c r="U674" i="7"/>
  <c r="T674" i="7"/>
  <c r="S674" i="7"/>
  <c r="R674" i="7"/>
  <c r="Q674" i="7"/>
  <c r="P674" i="7"/>
  <c r="O674" i="7"/>
  <c r="N674" i="7"/>
  <c r="M674" i="7"/>
  <c r="L674" i="7"/>
  <c r="W673" i="7"/>
  <c r="V673" i="7"/>
  <c r="U673" i="7"/>
  <c r="T673" i="7"/>
  <c r="S673" i="7"/>
  <c r="R673" i="7"/>
  <c r="Q673" i="7"/>
  <c r="P673" i="7"/>
  <c r="O673" i="7"/>
  <c r="N673" i="7"/>
  <c r="M673" i="7"/>
  <c r="L673" i="7"/>
  <c r="W672" i="7"/>
  <c r="V672" i="7"/>
  <c r="U672" i="7"/>
  <c r="T672" i="7"/>
  <c r="S672" i="7"/>
  <c r="R672" i="7"/>
  <c r="Q672" i="7"/>
  <c r="P672" i="7"/>
  <c r="O672" i="7"/>
  <c r="N672" i="7"/>
  <c r="M672" i="7"/>
  <c r="L672" i="7"/>
  <c r="W671" i="7"/>
  <c r="V671" i="7"/>
  <c r="U671" i="7"/>
  <c r="T671" i="7"/>
  <c r="S671" i="7"/>
  <c r="R671" i="7"/>
  <c r="Q671" i="7"/>
  <c r="P671" i="7"/>
  <c r="O671" i="7"/>
  <c r="N671" i="7"/>
  <c r="M671" i="7"/>
  <c r="L671" i="7"/>
  <c r="W670" i="7"/>
  <c r="V670" i="7"/>
  <c r="U670" i="7"/>
  <c r="T670" i="7"/>
  <c r="S670" i="7"/>
  <c r="R670" i="7"/>
  <c r="Q670" i="7"/>
  <c r="P670" i="7"/>
  <c r="O670" i="7"/>
  <c r="N670" i="7"/>
  <c r="M670" i="7"/>
  <c r="L670" i="7"/>
  <c r="W669" i="7"/>
  <c r="V669" i="7"/>
  <c r="U669" i="7"/>
  <c r="T669" i="7"/>
  <c r="S669" i="7"/>
  <c r="R669" i="7"/>
  <c r="Q669" i="7"/>
  <c r="P669" i="7"/>
  <c r="O669" i="7"/>
  <c r="N669" i="7"/>
  <c r="M669" i="7"/>
  <c r="L669" i="7"/>
  <c r="W668" i="7"/>
  <c r="V668" i="7"/>
  <c r="U668" i="7"/>
  <c r="T668" i="7"/>
  <c r="S668" i="7"/>
  <c r="R668" i="7"/>
  <c r="Q668" i="7"/>
  <c r="P668" i="7"/>
  <c r="O668" i="7"/>
  <c r="N668" i="7"/>
  <c r="M668" i="7"/>
  <c r="L668" i="7"/>
  <c r="W667" i="7"/>
  <c r="V667" i="7"/>
  <c r="U667" i="7"/>
  <c r="T667" i="7"/>
  <c r="S667" i="7"/>
  <c r="R667" i="7"/>
  <c r="Q667" i="7"/>
  <c r="P667" i="7"/>
  <c r="O667" i="7"/>
  <c r="N667" i="7"/>
  <c r="M667" i="7"/>
  <c r="L667" i="7"/>
  <c r="W666" i="7"/>
  <c r="V666" i="7"/>
  <c r="U666" i="7"/>
  <c r="T666" i="7"/>
  <c r="S666" i="7"/>
  <c r="R666" i="7"/>
  <c r="Q666" i="7"/>
  <c r="P666" i="7"/>
  <c r="O666" i="7"/>
  <c r="N666" i="7"/>
  <c r="M666" i="7"/>
  <c r="L666" i="7"/>
  <c r="W665" i="7"/>
  <c r="V665" i="7"/>
  <c r="U665" i="7"/>
  <c r="T665" i="7"/>
  <c r="S665" i="7"/>
  <c r="R665" i="7"/>
  <c r="Q665" i="7"/>
  <c r="P665" i="7"/>
  <c r="O665" i="7"/>
  <c r="N665" i="7"/>
  <c r="M665" i="7"/>
  <c r="L665" i="7"/>
  <c r="W664" i="7"/>
  <c r="V664" i="7"/>
  <c r="U664" i="7"/>
  <c r="T664" i="7"/>
  <c r="S664" i="7"/>
  <c r="R664" i="7"/>
  <c r="Q664" i="7"/>
  <c r="P664" i="7"/>
  <c r="O664" i="7"/>
  <c r="N664" i="7"/>
  <c r="M664" i="7"/>
  <c r="L664" i="7"/>
  <c r="W663" i="7"/>
  <c r="V663" i="7"/>
  <c r="U663" i="7"/>
  <c r="T663" i="7"/>
  <c r="S663" i="7"/>
  <c r="R663" i="7"/>
  <c r="Q663" i="7"/>
  <c r="P663" i="7"/>
  <c r="O663" i="7"/>
  <c r="N663" i="7"/>
  <c r="M663" i="7"/>
  <c r="L663" i="7"/>
  <c r="W662" i="7"/>
  <c r="V662" i="7"/>
  <c r="U662" i="7"/>
  <c r="T662" i="7"/>
  <c r="S662" i="7"/>
  <c r="R662" i="7"/>
  <c r="Q662" i="7"/>
  <c r="P662" i="7"/>
  <c r="O662" i="7"/>
  <c r="N662" i="7"/>
  <c r="M662" i="7"/>
  <c r="L662" i="7"/>
  <c r="W661" i="7"/>
  <c r="V661" i="7"/>
  <c r="U661" i="7"/>
  <c r="T661" i="7"/>
  <c r="S661" i="7"/>
  <c r="R661" i="7"/>
  <c r="Q661" i="7"/>
  <c r="P661" i="7"/>
  <c r="O661" i="7"/>
  <c r="N661" i="7"/>
  <c r="M661" i="7"/>
  <c r="L661" i="7"/>
  <c r="W660" i="7"/>
  <c r="V660" i="7"/>
  <c r="U660" i="7"/>
  <c r="T660" i="7"/>
  <c r="S660" i="7"/>
  <c r="R660" i="7"/>
  <c r="Q660" i="7"/>
  <c r="P660" i="7"/>
  <c r="O660" i="7"/>
  <c r="N660" i="7"/>
  <c r="M660" i="7"/>
  <c r="L660" i="7"/>
  <c r="W659" i="7"/>
  <c r="V659" i="7"/>
  <c r="U659" i="7"/>
  <c r="T659" i="7"/>
  <c r="S659" i="7"/>
  <c r="R659" i="7"/>
  <c r="Q659" i="7"/>
  <c r="P659" i="7"/>
  <c r="O659" i="7"/>
  <c r="N659" i="7"/>
  <c r="M659" i="7"/>
  <c r="L659" i="7"/>
  <c r="W658" i="7"/>
  <c r="V658" i="7"/>
  <c r="U658" i="7"/>
  <c r="T658" i="7"/>
  <c r="S658" i="7"/>
  <c r="R658" i="7"/>
  <c r="Q658" i="7"/>
  <c r="P658" i="7"/>
  <c r="O658" i="7"/>
  <c r="N658" i="7"/>
  <c r="M658" i="7"/>
  <c r="L658" i="7"/>
  <c r="W657" i="7"/>
  <c r="V657" i="7"/>
  <c r="U657" i="7"/>
  <c r="T657" i="7"/>
  <c r="S657" i="7"/>
  <c r="R657" i="7"/>
  <c r="Q657" i="7"/>
  <c r="P657" i="7"/>
  <c r="O657" i="7"/>
  <c r="N657" i="7"/>
  <c r="M657" i="7"/>
  <c r="L657" i="7"/>
  <c r="W656" i="7"/>
  <c r="V656" i="7"/>
  <c r="U656" i="7"/>
  <c r="T656" i="7"/>
  <c r="S656" i="7"/>
  <c r="R656" i="7"/>
  <c r="Q656" i="7"/>
  <c r="P656" i="7"/>
  <c r="O656" i="7"/>
  <c r="N656" i="7"/>
  <c r="M656" i="7"/>
  <c r="L656" i="7"/>
  <c r="W655" i="7"/>
  <c r="V655" i="7"/>
  <c r="U655" i="7"/>
  <c r="T655" i="7"/>
  <c r="S655" i="7"/>
  <c r="R655" i="7"/>
  <c r="Q655" i="7"/>
  <c r="P655" i="7"/>
  <c r="O655" i="7"/>
  <c r="N655" i="7"/>
  <c r="M655" i="7"/>
  <c r="L655" i="7"/>
  <c r="W654" i="7"/>
  <c r="V654" i="7"/>
  <c r="U654" i="7"/>
  <c r="T654" i="7"/>
  <c r="S654" i="7"/>
  <c r="R654" i="7"/>
  <c r="Q654" i="7"/>
  <c r="P654" i="7"/>
  <c r="O654" i="7"/>
  <c r="N654" i="7"/>
  <c r="M654" i="7"/>
  <c r="L654" i="7"/>
  <c r="W653" i="7"/>
  <c r="V653" i="7"/>
  <c r="U653" i="7"/>
  <c r="T653" i="7"/>
  <c r="S653" i="7"/>
  <c r="R653" i="7"/>
  <c r="Q653" i="7"/>
  <c r="P653" i="7"/>
  <c r="O653" i="7"/>
  <c r="N653" i="7"/>
  <c r="M653" i="7"/>
  <c r="L653" i="7"/>
  <c r="W652" i="7"/>
  <c r="V652" i="7"/>
  <c r="U652" i="7"/>
  <c r="T652" i="7"/>
  <c r="S652" i="7"/>
  <c r="R652" i="7"/>
  <c r="Q652" i="7"/>
  <c r="P652" i="7"/>
  <c r="O652" i="7"/>
  <c r="N652" i="7"/>
  <c r="M652" i="7"/>
  <c r="L652" i="7"/>
  <c r="W651" i="7"/>
  <c r="V651" i="7"/>
  <c r="U651" i="7"/>
  <c r="T651" i="7"/>
  <c r="S651" i="7"/>
  <c r="R651" i="7"/>
  <c r="Q651" i="7"/>
  <c r="P651" i="7"/>
  <c r="O651" i="7"/>
  <c r="N651" i="7"/>
  <c r="M651" i="7"/>
  <c r="L651" i="7"/>
  <c r="W650" i="7"/>
  <c r="V650" i="7"/>
  <c r="U650" i="7"/>
  <c r="T650" i="7"/>
  <c r="S650" i="7"/>
  <c r="R650" i="7"/>
  <c r="Q650" i="7"/>
  <c r="P650" i="7"/>
  <c r="O650" i="7"/>
  <c r="N650" i="7"/>
  <c r="M650" i="7"/>
  <c r="L650" i="7"/>
  <c r="W649" i="7"/>
  <c r="V649" i="7"/>
  <c r="U649" i="7"/>
  <c r="T649" i="7"/>
  <c r="S649" i="7"/>
  <c r="R649" i="7"/>
  <c r="Q649" i="7"/>
  <c r="P649" i="7"/>
  <c r="O649" i="7"/>
  <c r="N649" i="7"/>
  <c r="M649" i="7"/>
  <c r="L649" i="7"/>
  <c r="W648" i="7"/>
  <c r="V648" i="7"/>
  <c r="U648" i="7"/>
  <c r="T648" i="7"/>
  <c r="S648" i="7"/>
  <c r="R648" i="7"/>
  <c r="Q648" i="7"/>
  <c r="P648" i="7"/>
  <c r="O648" i="7"/>
  <c r="N648" i="7"/>
  <c r="M648" i="7"/>
  <c r="L648" i="7"/>
  <c r="W647" i="7"/>
  <c r="V647" i="7"/>
  <c r="U647" i="7"/>
  <c r="T647" i="7"/>
  <c r="S647" i="7"/>
  <c r="R647" i="7"/>
  <c r="Q647" i="7"/>
  <c r="P647" i="7"/>
  <c r="O647" i="7"/>
  <c r="N647" i="7"/>
  <c r="M647" i="7"/>
  <c r="L647" i="7"/>
  <c r="W646" i="7"/>
  <c r="V646" i="7"/>
  <c r="U646" i="7"/>
  <c r="T646" i="7"/>
  <c r="S646" i="7"/>
  <c r="R646" i="7"/>
  <c r="Q646" i="7"/>
  <c r="P646" i="7"/>
  <c r="O646" i="7"/>
  <c r="N646" i="7"/>
  <c r="M646" i="7"/>
  <c r="L646" i="7"/>
  <c r="W645" i="7"/>
  <c r="V645" i="7"/>
  <c r="U645" i="7"/>
  <c r="T645" i="7"/>
  <c r="S645" i="7"/>
  <c r="R645" i="7"/>
  <c r="Q645" i="7"/>
  <c r="P645" i="7"/>
  <c r="O645" i="7"/>
  <c r="N645" i="7"/>
  <c r="M645" i="7"/>
  <c r="L645" i="7"/>
  <c r="W644" i="7"/>
  <c r="V644" i="7"/>
  <c r="U644" i="7"/>
  <c r="T644" i="7"/>
  <c r="S644" i="7"/>
  <c r="R644" i="7"/>
  <c r="Q644" i="7"/>
  <c r="P644" i="7"/>
  <c r="O644" i="7"/>
  <c r="N644" i="7"/>
  <c r="M644" i="7"/>
  <c r="L644" i="7"/>
  <c r="W643" i="7"/>
  <c r="V643" i="7"/>
  <c r="U643" i="7"/>
  <c r="T643" i="7"/>
  <c r="S643" i="7"/>
  <c r="R643" i="7"/>
  <c r="Q643" i="7"/>
  <c r="P643" i="7"/>
  <c r="O643" i="7"/>
  <c r="N643" i="7"/>
  <c r="M643" i="7"/>
  <c r="L643" i="7"/>
  <c r="W642" i="7"/>
  <c r="V642" i="7"/>
  <c r="U642" i="7"/>
  <c r="T642" i="7"/>
  <c r="S642" i="7"/>
  <c r="R642" i="7"/>
  <c r="Q642" i="7"/>
  <c r="P642" i="7"/>
  <c r="O642" i="7"/>
  <c r="N642" i="7"/>
  <c r="M642" i="7"/>
  <c r="L642" i="7"/>
  <c r="W641" i="7"/>
  <c r="V641" i="7"/>
  <c r="U641" i="7"/>
  <c r="T641" i="7"/>
  <c r="S641" i="7"/>
  <c r="R641" i="7"/>
  <c r="Q641" i="7"/>
  <c r="P641" i="7"/>
  <c r="O641" i="7"/>
  <c r="N641" i="7"/>
  <c r="M641" i="7"/>
  <c r="L641" i="7"/>
  <c r="W640" i="7"/>
  <c r="V640" i="7"/>
  <c r="U640" i="7"/>
  <c r="T640" i="7"/>
  <c r="S640" i="7"/>
  <c r="R640" i="7"/>
  <c r="Q640" i="7"/>
  <c r="P640" i="7"/>
  <c r="O640" i="7"/>
  <c r="N640" i="7"/>
  <c r="M640" i="7"/>
  <c r="L640" i="7"/>
  <c r="W639" i="7"/>
  <c r="V639" i="7"/>
  <c r="U639" i="7"/>
  <c r="T639" i="7"/>
  <c r="S639" i="7"/>
  <c r="R639" i="7"/>
  <c r="Q639" i="7"/>
  <c r="P639" i="7"/>
  <c r="O639" i="7"/>
  <c r="N639" i="7"/>
  <c r="M639" i="7"/>
  <c r="L639" i="7"/>
  <c r="W638" i="7"/>
  <c r="V638" i="7"/>
  <c r="U638" i="7"/>
  <c r="T638" i="7"/>
  <c r="S638" i="7"/>
  <c r="R638" i="7"/>
  <c r="Q638" i="7"/>
  <c r="P638" i="7"/>
  <c r="O638" i="7"/>
  <c r="N638" i="7"/>
  <c r="M638" i="7"/>
  <c r="L638" i="7"/>
  <c r="W637" i="7"/>
  <c r="V637" i="7"/>
  <c r="U637" i="7"/>
  <c r="T637" i="7"/>
  <c r="S637" i="7"/>
  <c r="R637" i="7"/>
  <c r="Q637" i="7"/>
  <c r="P637" i="7"/>
  <c r="O637" i="7"/>
  <c r="N637" i="7"/>
  <c r="M637" i="7"/>
  <c r="L637" i="7"/>
  <c r="W636" i="7"/>
  <c r="V636" i="7"/>
  <c r="U636" i="7"/>
  <c r="T636" i="7"/>
  <c r="S636" i="7"/>
  <c r="R636" i="7"/>
  <c r="Q636" i="7"/>
  <c r="P636" i="7"/>
  <c r="O636" i="7"/>
  <c r="N636" i="7"/>
  <c r="M636" i="7"/>
  <c r="L636" i="7"/>
  <c r="W635" i="7"/>
  <c r="V635" i="7"/>
  <c r="U635" i="7"/>
  <c r="T635" i="7"/>
  <c r="S635" i="7"/>
  <c r="R635" i="7"/>
  <c r="Q635" i="7"/>
  <c r="P635" i="7"/>
  <c r="O635" i="7"/>
  <c r="N635" i="7"/>
  <c r="M635" i="7"/>
  <c r="L635" i="7"/>
  <c r="W634" i="7"/>
  <c r="V634" i="7"/>
  <c r="U634" i="7"/>
  <c r="T634" i="7"/>
  <c r="S634" i="7"/>
  <c r="R634" i="7"/>
  <c r="Q634" i="7"/>
  <c r="P634" i="7"/>
  <c r="O634" i="7"/>
  <c r="N634" i="7"/>
  <c r="M634" i="7"/>
  <c r="L634" i="7"/>
  <c r="W633" i="7"/>
  <c r="V633" i="7"/>
  <c r="U633" i="7"/>
  <c r="T633" i="7"/>
  <c r="S633" i="7"/>
  <c r="R633" i="7"/>
  <c r="Q633" i="7"/>
  <c r="P633" i="7"/>
  <c r="O633" i="7"/>
  <c r="N633" i="7"/>
  <c r="M633" i="7"/>
  <c r="L633" i="7"/>
  <c r="W632" i="7"/>
  <c r="V632" i="7"/>
  <c r="U632" i="7"/>
  <c r="T632" i="7"/>
  <c r="S632" i="7"/>
  <c r="R632" i="7"/>
  <c r="Q632" i="7"/>
  <c r="P632" i="7"/>
  <c r="O632" i="7"/>
  <c r="N632" i="7"/>
  <c r="M632" i="7"/>
  <c r="L632" i="7"/>
  <c r="W631" i="7"/>
  <c r="V631" i="7"/>
  <c r="U631" i="7"/>
  <c r="T631" i="7"/>
  <c r="S631" i="7"/>
  <c r="R631" i="7"/>
  <c r="Q631" i="7"/>
  <c r="P631" i="7"/>
  <c r="O631" i="7"/>
  <c r="N631" i="7"/>
  <c r="M631" i="7"/>
  <c r="L631" i="7"/>
  <c r="W630" i="7"/>
  <c r="V630" i="7"/>
  <c r="U630" i="7"/>
  <c r="T630" i="7"/>
  <c r="S630" i="7"/>
  <c r="R630" i="7"/>
  <c r="Q630" i="7"/>
  <c r="P630" i="7"/>
  <c r="O630" i="7"/>
  <c r="N630" i="7"/>
  <c r="M630" i="7"/>
  <c r="L630" i="7"/>
  <c r="W629" i="7"/>
  <c r="V629" i="7"/>
  <c r="U629" i="7"/>
  <c r="T629" i="7"/>
  <c r="S629" i="7"/>
  <c r="R629" i="7"/>
  <c r="Q629" i="7"/>
  <c r="P629" i="7"/>
  <c r="O629" i="7"/>
  <c r="N629" i="7"/>
  <c r="M629" i="7"/>
  <c r="L629" i="7"/>
  <c r="W628" i="7"/>
  <c r="V628" i="7"/>
  <c r="U628" i="7"/>
  <c r="T628" i="7"/>
  <c r="S628" i="7"/>
  <c r="R628" i="7"/>
  <c r="Q628" i="7"/>
  <c r="P628" i="7"/>
  <c r="O628" i="7"/>
  <c r="N628" i="7"/>
  <c r="M628" i="7"/>
  <c r="L628" i="7"/>
  <c r="W627" i="7"/>
  <c r="V627" i="7"/>
  <c r="U627" i="7"/>
  <c r="T627" i="7"/>
  <c r="S627" i="7"/>
  <c r="R627" i="7"/>
  <c r="Q627" i="7"/>
  <c r="P627" i="7"/>
  <c r="O627" i="7"/>
  <c r="N627" i="7"/>
  <c r="M627" i="7"/>
  <c r="L627" i="7"/>
  <c r="W626" i="7"/>
  <c r="V626" i="7"/>
  <c r="U626" i="7"/>
  <c r="T626" i="7"/>
  <c r="S626" i="7"/>
  <c r="R626" i="7"/>
  <c r="Q626" i="7"/>
  <c r="P626" i="7"/>
  <c r="O626" i="7"/>
  <c r="N626" i="7"/>
  <c r="M626" i="7"/>
  <c r="L626" i="7"/>
  <c r="W625" i="7"/>
  <c r="V625" i="7"/>
  <c r="U625" i="7"/>
  <c r="T625" i="7"/>
  <c r="S625" i="7"/>
  <c r="R625" i="7"/>
  <c r="Q625" i="7"/>
  <c r="P625" i="7"/>
  <c r="O625" i="7"/>
  <c r="N625" i="7"/>
  <c r="M625" i="7"/>
  <c r="L625" i="7"/>
  <c r="W624" i="7"/>
  <c r="V624" i="7"/>
  <c r="U624" i="7"/>
  <c r="T624" i="7"/>
  <c r="S624" i="7"/>
  <c r="R624" i="7"/>
  <c r="Q624" i="7"/>
  <c r="P624" i="7"/>
  <c r="O624" i="7"/>
  <c r="N624" i="7"/>
  <c r="M624" i="7"/>
  <c r="L624" i="7"/>
  <c r="W623" i="7"/>
  <c r="V623" i="7"/>
  <c r="U623" i="7"/>
  <c r="T623" i="7"/>
  <c r="S623" i="7"/>
  <c r="R623" i="7"/>
  <c r="Q623" i="7"/>
  <c r="P623" i="7"/>
  <c r="O623" i="7"/>
  <c r="N623" i="7"/>
  <c r="M623" i="7"/>
  <c r="L623" i="7"/>
  <c r="W622" i="7"/>
  <c r="V622" i="7"/>
  <c r="U622" i="7"/>
  <c r="T622" i="7"/>
  <c r="S622" i="7"/>
  <c r="R622" i="7"/>
  <c r="Q622" i="7"/>
  <c r="P622" i="7"/>
  <c r="O622" i="7"/>
  <c r="N622" i="7"/>
  <c r="M622" i="7"/>
  <c r="L622" i="7"/>
  <c r="W621" i="7"/>
  <c r="V621" i="7"/>
  <c r="U621" i="7"/>
  <c r="T621" i="7"/>
  <c r="S621" i="7"/>
  <c r="R621" i="7"/>
  <c r="Q621" i="7"/>
  <c r="P621" i="7"/>
  <c r="O621" i="7"/>
  <c r="N621" i="7"/>
  <c r="M621" i="7"/>
  <c r="L621" i="7"/>
  <c r="W620" i="7"/>
  <c r="V620" i="7"/>
  <c r="U620" i="7"/>
  <c r="T620" i="7"/>
  <c r="S620" i="7"/>
  <c r="R620" i="7"/>
  <c r="Q620" i="7"/>
  <c r="P620" i="7"/>
  <c r="O620" i="7"/>
  <c r="N620" i="7"/>
  <c r="M620" i="7"/>
  <c r="L620" i="7"/>
  <c r="W619" i="7"/>
  <c r="V619" i="7"/>
  <c r="U619" i="7"/>
  <c r="T619" i="7"/>
  <c r="S619" i="7"/>
  <c r="R619" i="7"/>
  <c r="Q619" i="7"/>
  <c r="P619" i="7"/>
  <c r="O619" i="7"/>
  <c r="N619" i="7"/>
  <c r="M619" i="7"/>
  <c r="L619" i="7"/>
  <c r="W618" i="7"/>
  <c r="V618" i="7"/>
  <c r="U618" i="7"/>
  <c r="T618" i="7"/>
  <c r="S618" i="7"/>
  <c r="R618" i="7"/>
  <c r="Q618" i="7"/>
  <c r="P618" i="7"/>
  <c r="O618" i="7"/>
  <c r="N618" i="7"/>
  <c r="M618" i="7"/>
  <c r="L618" i="7"/>
  <c r="W617" i="7"/>
  <c r="V617" i="7"/>
  <c r="U617" i="7"/>
  <c r="T617" i="7"/>
  <c r="S617" i="7"/>
  <c r="R617" i="7"/>
  <c r="Q617" i="7"/>
  <c r="P617" i="7"/>
  <c r="O617" i="7"/>
  <c r="N617" i="7"/>
  <c r="M617" i="7"/>
  <c r="L617" i="7"/>
  <c r="W616" i="7"/>
  <c r="V616" i="7"/>
  <c r="U616" i="7"/>
  <c r="T616" i="7"/>
  <c r="S616" i="7"/>
  <c r="R616" i="7"/>
  <c r="Q616" i="7"/>
  <c r="P616" i="7"/>
  <c r="O616" i="7"/>
  <c r="N616" i="7"/>
  <c r="M616" i="7"/>
  <c r="L616" i="7"/>
  <c r="W615" i="7"/>
  <c r="V615" i="7"/>
  <c r="U615" i="7"/>
  <c r="T615" i="7"/>
  <c r="S615" i="7"/>
  <c r="R615" i="7"/>
  <c r="Q615" i="7"/>
  <c r="P615" i="7"/>
  <c r="O615" i="7"/>
  <c r="N615" i="7"/>
  <c r="M615" i="7"/>
  <c r="L615" i="7"/>
  <c r="W614" i="7"/>
  <c r="V614" i="7"/>
  <c r="U614" i="7"/>
  <c r="T614" i="7"/>
  <c r="S614" i="7"/>
  <c r="R614" i="7"/>
  <c r="Q614" i="7"/>
  <c r="P614" i="7"/>
  <c r="O614" i="7"/>
  <c r="N614" i="7"/>
  <c r="M614" i="7"/>
  <c r="L614" i="7"/>
  <c r="W613" i="7"/>
  <c r="V613" i="7"/>
  <c r="U613" i="7"/>
  <c r="T613" i="7"/>
  <c r="S613" i="7"/>
  <c r="R613" i="7"/>
  <c r="Q613" i="7"/>
  <c r="P613" i="7"/>
  <c r="O613" i="7"/>
  <c r="N613" i="7"/>
  <c r="M613" i="7"/>
  <c r="L613" i="7"/>
  <c r="W612" i="7"/>
  <c r="V612" i="7"/>
  <c r="U612" i="7"/>
  <c r="T612" i="7"/>
  <c r="S612" i="7"/>
  <c r="R612" i="7"/>
  <c r="Q612" i="7"/>
  <c r="P612" i="7"/>
  <c r="O612" i="7"/>
  <c r="N612" i="7"/>
  <c r="M612" i="7"/>
  <c r="L612" i="7"/>
  <c r="W611" i="7"/>
  <c r="V611" i="7"/>
  <c r="U611" i="7"/>
  <c r="T611" i="7"/>
  <c r="S611" i="7"/>
  <c r="R611" i="7"/>
  <c r="Q611" i="7"/>
  <c r="P611" i="7"/>
  <c r="O611" i="7"/>
  <c r="N611" i="7"/>
  <c r="M611" i="7"/>
  <c r="L611" i="7"/>
  <c r="W610" i="7"/>
  <c r="V610" i="7"/>
  <c r="U610" i="7"/>
  <c r="T610" i="7"/>
  <c r="S610" i="7"/>
  <c r="R610" i="7"/>
  <c r="Q610" i="7"/>
  <c r="P610" i="7"/>
  <c r="O610" i="7"/>
  <c r="N610" i="7"/>
  <c r="M610" i="7"/>
  <c r="L610" i="7"/>
  <c r="W609" i="7"/>
  <c r="V609" i="7"/>
  <c r="U609" i="7"/>
  <c r="T609" i="7"/>
  <c r="S609" i="7"/>
  <c r="R609" i="7"/>
  <c r="Q609" i="7"/>
  <c r="P609" i="7"/>
  <c r="O609" i="7"/>
  <c r="N609" i="7"/>
  <c r="M609" i="7"/>
  <c r="L609" i="7"/>
  <c r="W608" i="7"/>
  <c r="V608" i="7"/>
  <c r="U608" i="7"/>
  <c r="T608" i="7"/>
  <c r="S608" i="7"/>
  <c r="R608" i="7"/>
  <c r="Q608" i="7"/>
  <c r="P608" i="7"/>
  <c r="O608" i="7"/>
  <c r="N608" i="7"/>
  <c r="M608" i="7"/>
  <c r="L608" i="7"/>
  <c r="W607" i="7"/>
  <c r="V607" i="7"/>
  <c r="U607" i="7"/>
  <c r="T607" i="7"/>
  <c r="S607" i="7"/>
  <c r="R607" i="7"/>
  <c r="Q607" i="7"/>
  <c r="P607" i="7"/>
  <c r="O607" i="7"/>
  <c r="N607" i="7"/>
  <c r="M607" i="7"/>
  <c r="L607" i="7"/>
  <c r="W606" i="7"/>
  <c r="V606" i="7"/>
  <c r="U606" i="7"/>
  <c r="T606" i="7"/>
  <c r="S606" i="7"/>
  <c r="R606" i="7"/>
  <c r="Q606" i="7"/>
  <c r="P606" i="7"/>
  <c r="O606" i="7"/>
  <c r="N606" i="7"/>
  <c r="M606" i="7"/>
  <c r="L606" i="7"/>
  <c r="W605" i="7"/>
  <c r="V605" i="7"/>
  <c r="U605" i="7"/>
  <c r="T605" i="7"/>
  <c r="S605" i="7"/>
  <c r="R605" i="7"/>
  <c r="Q605" i="7"/>
  <c r="P605" i="7"/>
  <c r="O605" i="7"/>
  <c r="N605" i="7"/>
  <c r="M605" i="7"/>
  <c r="L605" i="7"/>
  <c r="W604" i="7"/>
  <c r="V604" i="7"/>
  <c r="U604" i="7"/>
  <c r="T604" i="7"/>
  <c r="S604" i="7"/>
  <c r="R604" i="7"/>
  <c r="Q604" i="7"/>
  <c r="P604" i="7"/>
  <c r="O604" i="7"/>
  <c r="N604" i="7"/>
  <c r="M604" i="7"/>
  <c r="L604" i="7"/>
  <c r="W603" i="7"/>
  <c r="V603" i="7"/>
  <c r="U603" i="7"/>
  <c r="T603" i="7"/>
  <c r="S603" i="7"/>
  <c r="R603" i="7"/>
  <c r="Q603" i="7"/>
  <c r="P603" i="7"/>
  <c r="O603" i="7"/>
  <c r="N603" i="7"/>
  <c r="M603" i="7"/>
  <c r="L603" i="7"/>
  <c r="W602" i="7"/>
  <c r="V602" i="7"/>
  <c r="U602" i="7"/>
  <c r="T602" i="7"/>
  <c r="S602" i="7"/>
  <c r="R602" i="7"/>
  <c r="Q602" i="7"/>
  <c r="P602" i="7"/>
  <c r="O602" i="7"/>
  <c r="N602" i="7"/>
  <c r="M602" i="7"/>
  <c r="L602" i="7"/>
  <c r="W601" i="7"/>
  <c r="V601" i="7"/>
  <c r="U601" i="7"/>
  <c r="T601" i="7"/>
  <c r="S601" i="7"/>
  <c r="R601" i="7"/>
  <c r="Q601" i="7"/>
  <c r="P601" i="7"/>
  <c r="O601" i="7"/>
  <c r="N601" i="7"/>
  <c r="M601" i="7"/>
  <c r="L601" i="7"/>
  <c r="W600" i="7"/>
  <c r="V600" i="7"/>
  <c r="U600" i="7"/>
  <c r="T600" i="7"/>
  <c r="S600" i="7"/>
  <c r="R600" i="7"/>
  <c r="Q600" i="7"/>
  <c r="P600" i="7"/>
  <c r="O600" i="7"/>
  <c r="N600" i="7"/>
  <c r="M600" i="7"/>
  <c r="L600" i="7"/>
  <c r="W599" i="7"/>
  <c r="V599" i="7"/>
  <c r="U599" i="7"/>
  <c r="T599" i="7"/>
  <c r="S599" i="7"/>
  <c r="R599" i="7"/>
  <c r="Q599" i="7"/>
  <c r="P599" i="7"/>
  <c r="O599" i="7"/>
  <c r="N599" i="7"/>
  <c r="M599" i="7"/>
  <c r="L599" i="7"/>
  <c r="W598" i="7"/>
  <c r="V598" i="7"/>
  <c r="U598" i="7"/>
  <c r="T598" i="7"/>
  <c r="S598" i="7"/>
  <c r="R598" i="7"/>
  <c r="Q598" i="7"/>
  <c r="P598" i="7"/>
  <c r="O598" i="7"/>
  <c r="N598" i="7"/>
  <c r="M598" i="7"/>
  <c r="L598" i="7"/>
  <c r="W597" i="7"/>
  <c r="V597" i="7"/>
  <c r="U597" i="7"/>
  <c r="T597" i="7"/>
  <c r="S597" i="7"/>
  <c r="R597" i="7"/>
  <c r="Q597" i="7"/>
  <c r="P597" i="7"/>
  <c r="O597" i="7"/>
  <c r="N597" i="7"/>
  <c r="M597" i="7"/>
  <c r="L597" i="7"/>
  <c r="W596" i="7"/>
  <c r="V596" i="7"/>
  <c r="U596" i="7"/>
  <c r="T596" i="7"/>
  <c r="S596" i="7"/>
  <c r="R596" i="7"/>
  <c r="Q596" i="7"/>
  <c r="P596" i="7"/>
  <c r="O596" i="7"/>
  <c r="N596" i="7"/>
  <c r="M596" i="7"/>
  <c r="L596" i="7"/>
  <c r="W595" i="7"/>
  <c r="V595" i="7"/>
  <c r="U595" i="7"/>
  <c r="T595" i="7"/>
  <c r="S595" i="7"/>
  <c r="R595" i="7"/>
  <c r="Q595" i="7"/>
  <c r="P595" i="7"/>
  <c r="O595" i="7"/>
  <c r="N595" i="7"/>
  <c r="M595" i="7"/>
  <c r="L595" i="7"/>
  <c r="W594" i="7"/>
  <c r="V594" i="7"/>
  <c r="U594" i="7"/>
  <c r="T594" i="7"/>
  <c r="S594" i="7"/>
  <c r="R594" i="7"/>
  <c r="Q594" i="7"/>
  <c r="P594" i="7"/>
  <c r="O594" i="7"/>
  <c r="N594" i="7"/>
  <c r="M594" i="7"/>
  <c r="L594" i="7"/>
  <c r="W593" i="7"/>
  <c r="V593" i="7"/>
  <c r="U593" i="7"/>
  <c r="T593" i="7"/>
  <c r="S593" i="7"/>
  <c r="R593" i="7"/>
  <c r="Q593" i="7"/>
  <c r="P593" i="7"/>
  <c r="O593" i="7"/>
  <c r="N593" i="7"/>
  <c r="M593" i="7"/>
  <c r="L593" i="7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V585" i="7"/>
  <c r="W585" i="7" s="1"/>
  <c r="T585" i="7"/>
  <c r="U585" i="7" s="1"/>
  <c r="R585" i="7"/>
  <c r="S585" i="7" s="1"/>
  <c r="P585" i="7"/>
  <c r="Q585" i="7" s="1"/>
  <c r="N585" i="7"/>
  <c r="O585" i="7" s="1"/>
  <c r="L585" i="7"/>
  <c r="M585" i="7" s="1"/>
  <c r="V584" i="7"/>
  <c r="W584" i="7" s="1"/>
  <c r="T584" i="7"/>
  <c r="U584" i="7" s="1"/>
  <c r="R584" i="7"/>
  <c r="S584" i="7" s="1"/>
  <c r="P584" i="7"/>
  <c r="Q584" i="7" s="1"/>
  <c r="N584" i="7"/>
  <c r="O584" i="7" s="1"/>
  <c r="L584" i="7"/>
  <c r="M584" i="7" s="1"/>
  <c r="V583" i="7"/>
  <c r="W583" i="7" s="1"/>
  <c r="T583" i="7"/>
  <c r="U583" i="7" s="1"/>
  <c r="R583" i="7"/>
  <c r="S583" i="7" s="1"/>
  <c r="P583" i="7"/>
  <c r="Q583" i="7" s="1"/>
  <c r="N583" i="7"/>
  <c r="O583" i="7" s="1"/>
  <c r="L583" i="7"/>
  <c r="M583" i="7" s="1"/>
  <c r="V582" i="7"/>
  <c r="W582" i="7" s="1"/>
  <c r="T582" i="7"/>
  <c r="U582" i="7" s="1"/>
  <c r="R582" i="7"/>
  <c r="S582" i="7" s="1"/>
  <c r="P582" i="7"/>
  <c r="Q582" i="7" s="1"/>
  <c r="N582" i="7"/>
  <c r="O582" i="7" s="1"/>
  <c r="L582" i="7"/>
  <c r="M582" i="7" s="1"/>
  <c r="V581" i="7"/>
  <c r="W581" i="7" s="1"/>
  <c r="T581" i="7"/>
  <c r="U581" i="7" s="1"/>
  <c r="R581" i="7"/>
  <c r="S581" i="7" s="1"/>
  <c r="P581" i="7"/>
  <c r="Q581" i="7" s="1"/>
  <c r="N581" i="7"/>
  <c r="O581" i="7" s="1"/>
  <c r="L581" i="7"/>
  <c r="M581" i="7" s="1"/>
  <c r="V580" i="7"/>
  <c r="W580" i="7" s="1"/>
  <c r="T580" i="7"/>
  <c r="U580" i="7" s="1"/>
  <c r="R580" i="7"/>
  <c r="S580" i="7" s="1"/>
  <c r="P580" i="7"/>
  <c r="Q580" i="7" s="1"/>
  <c r="N580" i="7"/>
  <c r="O580" i="7" s="1"/>
  <c r="L580" i="7"/>
  <c r="M580" i="7" s="1"/>
  <c r="V579" i="7"/>
  <c r="W579" i="7" s="1"/>
  <c r="T579" i="7"/>
  <c r="U579" i="7" s="1"/>
  <c r="R579" i="7"/>
  <c r="S579" i="7" s="1"/>
  <c r="P579" i="7"/>
  <c r="Q579" i="7" s="1"/>
  <c r="N579" i="7"/>
  <c r="O579" i="7" s="1"/>
  <c r="L579" i="7"/>
  <c r="M579" i="7" s="1"/>
  <c r="V578" i="7"/>
  <c r="W578" i="7" s="1"/>
  <c r="T578" i="7"/>
  <c r="U578" i="7" s="1"/>
  <c r="R578" i="7"/>
  <c r="S578" i="7" s="1"/>
  <c r="P578" i="7"/>
  <c r="Q578" i="7" s="1"/>
  <c r="N578" i="7"/>
  <c r="O578" i="7" s="1"/>
  <c r="L578" i="7"/>
  <c r="M578" i="7" s="1"/>
  <c r="V577" i="7"/>
  <c r="W577" i="7" s="1"/>
  <c r="T577" i="7"/>
  <c r="U577" i="7" s="1"/>
  <c r="R577" i="7"/>
  <c r="S577" i="7" s="1"/>
  <c r="P577" i="7"/>
  <c r="Q577" i="7" s="1"/>
  <c r="N577" i="7"/>
  <c r="O577" i="7" s="1"/>
  <c r="L577" i="7"/>
  <c r="M577" i="7" s="1"/>
  <c r="V576" i="7"/>
  <c r="W576" i="7" s="1"/>
  <c r="T576" i="7"/>
  <c r="U576" i="7" s="1"/>
  <c r="R576" i="7"/>
  <c r="S576" i="7" s="1"/>
  <c r="P576" i="7"/>
  <c r="Q576" i="7" s="1"/>
  <c r="N576" i="7"/>
  <c r="O576" i="7" s="1"/>
  <c r="L576" i="7"/>
  <c r="M576" i="7" s="1"/>
  <c r="V575" i="7"/>
  <c r="W575" i="7" s="1"/>
  <c r="U575" i="7"/>
  <c r="T575" i="7"/>
  <c r="S575" i="7"/>
  <c r="R575" i="7"/>
  <c r="Q575" i="7"/>
  <c r="P575" i="7"/>
  <c r="O575" i="7"/>
  <c r="N575" i="7"/>
  <c r="M575" i="7"/>
  <c r="L575" i="7"/>
  <c r="W574" i="7"/>
  <c r="V574" i="7"/>
  <c r="U574" i="7"/>
  <c r="T574" i="7"/>
  <c r="S574" i="7"/>
  <c r="R574" i="7"/>
  <c r="Q574" i="7"/>
  <c r="P574" i="7"/>
  <c r="O574" i="7"/>
  <c r="N574" i="7"/>
  <c r="M574" i="7"/>
  <c r="L574" i="7"/>
  <c r="W573" i="7"/>
  <c r="V573" i="7"/>
  <c r="U573" i="7"/>
  <c r="T573" i="7"/>
  <c r="S573" i="7"/>
  <c r="R573" i="7"/>
  <c r="Q573" i="7"/>
  <c r="P573" i="7"/>
  <c r="O573" i="7"/>
  <c r="N573" i="7"/>
  <c r="M573" i="7"/>
  <c r="L573" i="7"/>
  <c r="W572" i="7"/>
  <c r="V572" i="7"/>
  <c r="U572" i="7"/>
  <c r="T572" i="7"/>
  <c r="S572" i="7"/>
  <c r="R572" i="7"/>
  <c r="Q572" i="7"/>
  <c r="P572" i="7"/>
  <c r="O572" i="7"/>
  <c r="N572" i="7"/>
  <c r="M572" i="7"/>
  <c r="L572" i="7"/>
  <c r="W571" i="7"/>
  <c r="V571" i="7"/>
  <c r="U571" i="7"/>
  <c r="T571" i="7"/>
  <c r="S571" i="7"/>
  <c r="R571" i="7"/>
  <c r="Q571" i="7"/>
  <c r="P571" i="7"/>
  <c r="O571" i="7"/>
  <c r="N571" i="7"/>
  <c r="M571" i="7"/>
  <c r="L571" i="7"/>
  <c r="W570" i="7"/>
  <c r="V570" i="7"/>
  <c r="U570" i="7"/>
  <c r="T570" i="7"/>
  <c r="S570" i="7"/>
  <c r="R570" i="7"/>
  <c r="Q570" i="7"/>
  <c r="P570" i="7"/>
  <c r="O570" i="7"/>
  <c r="N570" i="7"/>
  <c r="M570" i="7"/>
  <c r="L570" i="7"/>
  <c r="W569" i="7"/>
  <c r="V569" i="7"/>
  <c r="U569" i="7"/>
  <c r="T569" i="7"/>
  <c r="S569" i="7"/>
  <c r="R569" i="7"/>
  <c r="Q569" i="7"/>
  <c r="P569" i="7"/>
  <c r="O569" i="7"/>
  <c r="N569" i="7"/>
  <c r="M569" i="7"/>
  <c r="L569" i="7"/>
  <c r="W568" i="7"/>
  <c r="V568" i="7"/>
  <c r="U568" i="7"/>
  <c r="T568" i="7"/>
  <c r="S568" i="7"/>
  <c r="R568" i="7"/>
  <c r="Q568" i="7"/>
  <c r="P568" i="7"/>
  <c r="O568" i="7"/>
  <c r="N568" i="7"/>
  <c r="M568" i="7"/>
  <c r="L568" i="7"/>
  <c r="W567" i="7"/>
  <c r="V567" i="7"/>
  <c r="U567" i="7"/>
  <c r="T567" i="7"/>
  <c r="S567" i="7"/>
  <c r="R567" i="7"/>
  <c r="Q567" i="7"/>
  <c r="P567" i="7"/>
  <c r="O567" i="7"/>
  <c r="N567" i="7"/>
  <c r="M567" i="7"/>
  <c r="L567" i="7"/>
  <c r="W566" i="7"/>
  <c r="V566" i="7"/>
  <c r="U566" i="7"/>
  <c r="T566" i="7"/>
  <c r="S566" i="7"/>
  <c r="R566" i="7"/>
  <c r="Q566" i="7"/>
  <c r="P566" i="7"/>
  <c r="O566" i="7"/>
  <c r="N566" i="7"/>
  <c r="M566" i="7"/>
  <c r="L566" i="7"/>
  <c r="W565" i="7"/>
  <c r="V565" i="7"/>
  <c r="U565" i="7"/>
  <c r="T565" i="7"/>
  <c r="S565" i="7"/>
  <c r="R565" i="7"/>
  <c r="Q565" i="7"/>
  <c r="P565" i="7"/>
  <c r="O565" i="7"/>
  <c r="N565" i="7"/>
  <c r="M565" i="7"/>
  <c r="L565" i="7"/>
  <c r="W564" i="7"/>
  <c r="V564" i="7"/>
  <c r="U564" i="7"/>
  <c r="T564" i="7"/>
  <c r="S564" i="7"/>
  <c r="R564" i="7"/>
  <c r="Q564" i="7"/>
  <c r="P564" i="7"/>
  <c r="O564" i="7"/>
  <c r="N564" i="7"/>
  <c r="M564" i="7"/>
  <c r="L564" i="7"/>
  <c r="W563" i="7"/>
  <c r="V563" i="7"/>
  <c r="U563" i="7"/>
  <c r="T563" i="7"/>
  <c r="S563" i="7"/>
  <c r="R563" i="7"/>
  <c r="Q563" i="7"/>
  <c r="P563" i="7"/>
  <c r="O563" i="7"/>
  <c r="N563" i="7"/>
  <c r="M563" i="7"/>
  <c r="L563" i="7"/>
  <c r="W562" i="7"/>
  <c r="V562" i="7"/>
  <c r="U562" i="7"/>
  <c r="T562" i="7"/>
  <c r="S562" i="7"/>
  <c r="R562" i="7"/>
  <c r="Q562" i="7"/>
  <c r="P562" i="7"/>
  <c r="O562" i="7"/>
  <c r="N562" i="7"/>
  <c r="M562" i="7"/>
  <c r="L562" i="7"/>
  <c r="W561" i="7"/>
  <c r="V561" i="7"/>
  <c r="U561" i="7"/>
  <c r="T561" i="7"/>
  <c r="S561" i="7"/>
  <c r="R561" i="7"/>
  <c r="Q561" i="7"/>
  <c r="P561" i="7"/>
  <c r="O561" i="7"/>
  <c r="N561" i="7"/>
  <c r="M561" i="7"/>
  <c r="L561" i="7"/>
  <c r="W560" i="7"/>
  <c r="V560" i="7"/>
  <c r="U560" i="7"/>
  <c r="T560" i="7"/>
  <c r="S560" i="7"/>
  <c r="R560" i="7"/>
  <c r="Q560" i="7"/>
  <c r="P560" i="7"/>
  <c r="O560" i="7"/>
  <c r="N560" i="7"/>
  <c r="M560" i="7"/>
  <c r="L560" i="7"/>
  <c r="W559" i="7"/>
  <c r="V559" i="7"/>
  <c r="U559" i="7"/>
  <c r="T559" i="7"/>
  <c r="S559" i="7"/>
  <c r="R559" i="7"/>
  <c r="Q559" i="7"/>
  <c r="P559" i="7"/>
  <c r="O559" i="7"/>
  <c r="N559" i="7"/>
  <c r="M559" i="7"/>
  <c r="L559" i="7"/>
  <c r="W558" i="7"/>
  <c r="V558" i="7"/>
  <c r="U558" i="7"/>
  <c r="T558" i="7"/>
  <c r="S558" i="7"/>
  <c r="R558" i="7"/>
  <c r="Q558" i="7"/>
  <c r="P558" i="7"/>
  <c r="O558" i="7"/>
  <c r="N558" i="7"/>
  <c r="M558" i="7"/>
  <c r="L558" i="7"/>
  <c r="W557" i="7"/>
  <c r="V557" i="7"/>
  <c r="U557" i="7"/>
  <c r="T557" i="7"/>
  <c r="S557" i="7"/>
  <c r="R557" i="7"/>
  <c r="Q557" i="7"/>
  <c r="P557" i="7"/>
  <c r="O557" i="7"/>
  <c r="N557" i="7"/>
  <c r="M557" i="7"/>
  <c r="L557" i="7"/>
  <c r="W556" i="7"/>
  <c r="V556" i="7"/>
  <c r="U556" i="7"/>
  <c r="T556" i="7"/>
  <c r="S556" i="7"/>
  <c r="R556" i="7"/>
  <c r="Q556" i="7"/>
  <c r="P556" i="7"/>
  <c r="O556" i="7"/>
  <c r="N556" i="7"/>
  <c r="M556" i="7"/>
  <c r="L556" i="7"/>
  <c r="W555" i="7"/>
  <c r="V555" i="7"/>
  <c r="U555" i="7"/>
  <c r="T555" i="7"/>
  <c r="S555" i="7"/>
  <c r="R555" i="7"/>
  <c r="Q555" i="7"/>
  <c r="P555" i="7"/>
  <c r="O555" i="7"/>
  <c r="N555" i="7"/>
  <c r="M555" i="7"/>
  <c r="L555" i="7"/>
  <c r="W554" i="7"/>
  <c r="V554" i="7"/>
  <c r="U554" i="7"/>
  <c r="T554" i="7"/>
  <c r="S554" i="7"/>
  <c r="R554" i="7"/>
  <c r="Q554" i="7"/>
  <c r="P554" i="7"/>
  <c r="O554" i="7"/>
  <c r="N554" i="7"/>
  <c r="M554" i="7"/>
  <c r="L554" i="7"/>
  <c r="W553" i="7"/>
  <c r="V553" i="7"/>
  <c r="U553" i="7"/>
  <c r="T553" i="7"/>
  <c r="S553" i="7"/>
  <c r="R553" i="7"/>
  <c r="Q553" i="7"/>
  <c r="P553" i="7"/>
  <c r="N553" i="7"/>
  <c r="O553" i="7" s="1"/>
  <c r="M553" i="7"/>
  <c r="L553" i="7"/>
  <c r="V552" i="7"/>
  <c r="W552" i="7" s="1"/>
  <c r="U552" i="7"/>
  <c r="T552" i="7"/>
  <c r="R552" i="7"/>
  <c r="S552" i="7" s="1"/>
  <c r="Q552" i="7"/>
  <c r="P552" i="7"/>
  <c r="N552" i="7"/>
  <c r="O552" i="7" s="1"/>
  <c r="M552" i="7"/>
  <c r="L552" i="7"/>
  <c r="V551" i="7"/>
  <c r="W551" i="7" s="1"/>
  <c r="U551" i="7"/>
  <c r="T551" i="7"/>
  <c r="R551" i="7"/>
  <c r="S551" i="7" s="1"/>
  <c r="Q551" i="7"/>
  <c r="P551" i="7"/>
  <c r="N551" i="7"/>
  <c r="O551" i="7" s="1"/>
  <c r="M551" i="7"/>
  <c r="L551" i="7"/>
  <c r="V550" i="7"/>
  <c r="W550" i="7" s="1"/>
  <c r="U550" i="7"/>
  <c r="T550" i="7"/>
  <c r="R550" i="7"/>
  <c r="S550" i="7" s="1"/>
  <c r="Q550" i="7"/>
  <c r="P550" i="7"/>
  <c r="N550" i="7"/>
  <c r="O550" i="7" s="1"/>
  <c r="M550" i="7"/>
  <c r="L550" i="7"/>
  <c r="V549" i="7"/>
  <c r="W549" i="7" s="1"/>
  <c r="U549" i="7"/>
  <c r="T549" i="7"/>
  <c r="R549" i="7"/>
  <c r="S549" i="7" s="1"/>
  <c r="Q549" i="7"/>
  <c r="P549" i="7"/>
  <c r="N549" i="7"/>
  <c r="O549" i="7" s="1"/>
  <c r="M549" i="7"/>
  <c r="L549" i="7"/>
  <c r="V548" i="7"/>
  <c r="W548" i="7" s="1"/>
  <c r="U548" i="7"/>
  <c r="T548" i="7"/>
  <c r="R548" i="7"/>
  <c r="S548" i="7" s="1"/>
  <c r="Q548" i="7"/>
  <c r="P548" i="7"/>
  <c r="N548" i="7"/>
  <c r="O548" i="7" s="1"/>
  <c r="M548" i="7"/>
  <c r="L548" i="7"/>
  <c r="V547" i="7"/>
  <c r="W547" i="7" s="1"/>
  <c r="U547" i="7"/>
  <c r="T547" i="7"/>
  <c r="R547" i="7"/>
  <c r="S547" i="7" s="1"/>
  <c r="Q547" i="7"/>
  <c r="P547" i="7"/>
  <c r="N547" i="7"/>
  <c r="O547" i="7" s="1"/>
  <c r="M547" i="7"/>
  <c r="L547" i="7"/>
  <c r="V546" i="7"/>
  <c r="W546" i="7" s="1"/>
  <c r="U546" i="7"/>
  <c r="T546" i="7"/>
  <c r="R546" i="7"/>
  <c r="S546" i="7" s="1"/>
  <c r="Q546" i="7"/>
  <c r="P546" i="7"/>
  <c r="N546" i="7"/>
  <c r="O546" i="7" s="1"/>
  <c r="M546" i="7"/>
  <c r="L546" i="7"/>
  <c r="V545" i="7"/>
  <c r="W545" i="7" s="1"/>
  <c r="U545" i="7"/>
  <c r="T545" i="7"/>
  <c r="R545" i="7"/>
  <c r="S545" i="7" s="1"/>
  <c r="Q545" i="7"/>
  <c r="P545" i="7"/>
  <c r="N545" i="7"/>
  <c r="O545" i="7" s="1"/>
  <c r="M545" i="7"/>
  <c r="L545" i="7"/>
  <c r="V544" i="7"/>
  <c r="W544" i="7" s="1"/>
  <c r="U544" i="7"/>
  <c r="T544" i="7"/>
  <c r="R544" i="7"/>
  <c r="S544" i="7" s="1"/>
  <c r="Q544" i="7"/>
  <c r="P544" i="7"/>
  <c r="N544" i="7"/>
  <c r="O544" i="7" s="1"/>
  <c r="M544" i="7"/>
  <c r="L544" i="7"/>
  <c r="V543" i="7"/>
  <c r="W543" i="7" s="1"/>
  <c r="U543" i="7"/>
  <c r="T543" i="7"/>
  <c r="R543" i="7"/>
  <c r="S543" i="7" s="1"/>
  <c r="Q543" i="7"/>
  <c r="P543" i="7"/>
  <c r="N543" i="7"/>
  <c r="O543" i="7" s="1"/>
  <c r="M543" i="7"/>
  <c r="L543" i="7"/>
  <c r="V542" i="7"/>
  <c r="W542" i="7" s="1"/>
  <c r="U542" i="7"/>
  <c r="T542" i="7"/>
  <c r="R542" i="7"/>
  <c r="S542" i="7" s="1"/>
  <c r="Q542" i="7"/>
  <c r="P542" i="7"/>
  <c r="N542" i="7"/>
  <c r="O542" i="7" s="1"/>
  <c r="M542" i="7"/>
  <c r="L542" i="7"/>
  <c r="V541" i="7"/>
  <c r="W541" i="7" s="1"/>
  <c r="U541" i="7"/>
  <c r="T541" i="7"/>
  <c r="R541" i="7"/>
  <c r="S541" i="7" s="1"/>
  <c r="Q541" i="7"/>
  <c r="P541" i="7"/>
  <c r="N541" i="7"/>
  <c r="O541" i="7" s="1"/>
  <c r="M541" i="7"/>
  <c r="L541" i="7"/>
  <c r="V540" i="7"/>
  <c r="W540" i="7" s="1"/>
  <c r="U540" i="7"/>
  <c r="T540" i="7"/>
  <c r="R540" i="7"/>
  <c r="S540" i="7" s="1"/>
  <c r="Q540" i="7"/>
  <c r="P540" i="7"/>
  <c r="N540" i="7"/>
  <c r="O540" i="7" s="1"/>
  <c r="M540" i="7"/>
  <c r="L540" i="7"/>
  <c r="V539" i="7"/>
  <c r="W539" i="7" s="1"/>
  <c r="U539" i="7"/>
  <c r="T539" i="7"/>
  <c r="R539" i="7"/>
  <c r="S539" i="7" s="1"/>
  <c r="Q539" i="7"/>
  <c r="P539" i="7"/>
  <c r="N539" i="7"/>
  <c r="O539" i="7" s="1"/>
  <c r="M539" i="7"/>
  <c r="L539" i="7"/>
  <c r="V538" i="7"/>
  <c r="W538" i="7" s="1"/>
  <c r="U538" i="7"/>
  <c r="T538" i="7"/>
  <c r="R538" i="7"/>
  <c r="S538" i="7" s="1"/>
  <c r="Q538" i="7"/>
  <c r="P538" i="7"/>
  <c r="N538" i="7"/>
  <c r="O538" i="7" s="1"/>
  <c r="M538" i="7"/>
  <c r="L538" i="7"/>
  <c r="V537" i="7"/>
  <c r="W537" i="7" s="1"/>
  <c r="U537" i="7"/>
  <c r="T537" i="7"/>
  <c r="R537" i="7"/>
  <c r="S537" i="7" s="1"/>
  <c r="Q537" i="7"/>
  <c r="P537" i="7"/>
  <c r="N537" i="7"/>
  <c r="O537" i="7" s="1"/>
  <c r="M537" i="7"/>
  <c r="L537" i="7"/>
  <c r="V536" i="7"/>
  <c r="W536" i="7" s="1"/>
  <c r="U536" i="7"/>
  <c r="T536" i="7"/>
  <c r="R536" i="7"/>
  <c r="S536" i="7" s="1"/>
  <c r="Q536" i="7"/>
  <c r="P536" i="7"/>
  <c r="N536" i="7"/>
  <c r="O536" i="7" s="1"/>
  <c r="M536" i="7"/>
  <c r="L536" i="7"/>
  <c r="V535" i="7"/>
  <c r="W535" i="7" s="1"/>
  <c r="U535" i="7"/>
  <c r="T535" i="7"/>
  <c r="R535" i="7"/>
  <c r="S535" i="7" s="1"/>
  <c r="Q535" i="7"/>
  <c r="P535" i="7"/>
  <c r="N535" i="7"/>
  <c r="O535" i="7" s="1"/>
  <c r="M535" i="7"/>
  <c r="L535" i="7"/>
  <c r="V534" i="7"/>
  <c r="W534" i="7" s="1"/>
  <c r="U534" i="7"/>
  <c r="T534" i="7"/>
  <c r="R534" i="7"/>
  <c r="S534" i="7" s="1"/>
  <c r="Q534" i="7"/>
  <c r="P534" i="7"/>
  <c r="N534" i="7"/>
  <c r="O534" i="7" s="1"/>
  <c r="M534" i="7"/>
  <c r="L534" i="7"/>
  <c r="V533" i="7"/>
  <c r="W533" i="7" s="1"/>
  <c r="U533" i="7"/>
  <c r="T533" i="7"/>
  <c r="R533" i="7"/>
  <c r="S533" i="7" s="1"/>
  <c r="Q533" i="7"/>
  <c r="P533" i="7"/>
  <c r="N533" i="7"/>
  <c r="O533" i="7" s="1"/>
  <c r="M533" i="7"/>
  <c r="L533" i="7"/>
  <c r="V532" i="7"/>
  <c r="W532" i="7" s="1"/>
  <c r="U532" i="7"/>
  <c r="T532" i="7"/>
  <c r="R532" i="7"/>
  <c r="S532" i="7" s="1"/>
  <c r="P532" i="7"/>
  <c r="Q532" i="7" s="1"/>
  <c r="N532" i="7"/>
  <c r="O532" i="7" s="1"/>
  <c r="L532" i="7"/>
  <c r="M532" i="7" s="1"/>
  <c r="V531" i="7"/>
  <c r="W531" i="7" s="1"/>
  <c r="T531" i="7"/>
  <c r="U531" i="7" s="1"/>
  <c r="R531" i="7"/>
  <c r="S531" i="7" s="1"/>
  <c r="P531" i="7"/>
  <c r="Q531" i="7" s="1"/>
  <c r="N531" i="7"/>
  <c r="O531" i="7" s="1"/>
  <c r="L531" i="7"/>
  <c r="M531" i="7" s="1"/>
  <c r="V530" i="7"/>
  <c r="W530" i="7" s="1"/>
  <c r="T530" i="7"/>
  <c r="U530" i="7" s="1"/>
  <c r="R530" i="7"/>
  <c r="S530" i="7" s="1"/>
  <c r="P530" i="7"/>
  <c r="Q530" i="7" s="1"/>
  <c r="N530" i="7"/>
  <c r="O530" i="7" s="1"/>
  <c r="L530" i="7"/>
  <c r="M530" i="7" s="1"/>
  <c r="V529" i="7"/>
  <c r="W529" i="7" s="1"/>
  <c r="T529" i="7"/>
  <c r="U529" i="7" s="1"/>
  <c r="R529" i="7"/>
  <c r="S529" i="7" s="1"/>
  <c r="P529" i="7"/>
  <c r="Q529" i="7" s="1"/>
  <c r="N529" i="7"/>
  <c r="O529" i="7" s="1"/>
  <c r="L529" i="7"/>
  <c r="M529" i="7" s="1"/>
  <c r="V528" i="7"/>
  <c r="W528" i="7" s="1"/>
  <c r="T528" i="7"/>
  <c r="U528" i="7" s="1"/>
  <c r="R528" i="7"/>
  <c r="S528" i="7" s="1"/>
  <c r="P528" i="7"/>
  <c r="Q528" i="7" s="1"/>
  <c r="N528" i="7"/>
  <c r="O528" i="7" s="1"/>
  <c r="L528" i="7"/>
  <c r="M528" i="7" s="1"/>
  <c r="V527" i="7"/>
  <c r="W527" i="7" s="1"/>
  <c r="T527" i="7"/>
  <c r="U527" i="7" s="1"/>
  <c r="R527" i="7"/>
  <c r="S527" i="7" s="1"/>
  <c r="P527" i="7"/>
  <c r="Q527" i="7" s="1"/>
  <c r="N527" i="7"/>
  <c r="O527" i="7" s="1"/>
  <c r="L527" i="7"/>
  <c r="M527" i="7" s="1"/>
  <c r="V526" i="7"/>
  <c r="W526" i="7" s="1"/>
  <c r="T526" i="7"/>
  <c r="U526" i="7" s="1"/>
  <c r="R526" i="7"/>
  <c r="S526" i="7" s="1"/>
  <c r="P526" i="7"/>
  <c r="Q526" i="7" s="1"/>
  <c r="N526" i="7"/>
  <c r="O526" i="7" s="1"/>
  <c r="L526" i="7"/>
  <c r="M526" i="7" s="1"/>
  <c r="V525" i="7"/>
  <c r="W525" i="7" s="1"/>
  <c r="T525" i="7"/>
  <c r="U525" i="7" s="1"/>
  <c r="R525" i="7"/>
  <c r="S525" i="7" s="1"/>
  <c r="P525" i="7"/>
  <c r="Q525" i="7" s="1"/>
  <c r="N525" i="7"/>
  <c r="O525" i="7" s="1"/>
  <c r="L525" i="7"/>
  <c r="M525" i="7" s="1"/>
  <c r="V524" i="7"/>
  <c r="W524" i="7" s="1"/>
  <c r="T524" i="7"/>
  <c r="U524" i="7" s="1"/>
  <c r="R524" i="7"/>
  <c r="S524" i="7" s="1"/>
  <c r="P524" i="7"/>
  <c r="Q524" i="7" s="1"/>
  <c r="N524" i="7"/>
  <c r="O524" i="7" s="1"/>
  <c r="L524" i="7"/>
  <c r="M524" i="7" s="1"/>
  <c r="V523" i="7"/>
  <c r="W523" i="7" s="1"/>
  <c r="T523" i="7"/>
  <c r="U523" i="7" s="1"/>
  <c r="R523" i="7"/>
  <c r="S523" i="7" s="1"/>
  <c r="P523" i="7"/>
  <c r="Q523" i="7" s="1"/>
  <c r="N523" i="7"/>
  <c r="O523" i="7" s="1"/>
  <c r="L523" i="7"/>
  <c r="M523" i="7" s="1"/>
  <c r="V522" i="7"/>
  <c r="W522" i="7" s="1"/>
  <c r="T522" i="7"/>
  <c r="U522" i="7" s="1"/>
  <c r="R522" i="7"/>
  <c r="S522" i="7" s="1"/>
  <c r="P522" i="7"/>
  <c r="Q522" i="7" s="1"/>
  <c r="N522" i="7"/>
  <c r="O522" i="7" s="1"/>
  <c r="L522" i="7"/>
  <c r="M522" i="7" s="1"/>
  <c r="V521" i="7"/>
  <c r="W521" i="7" s="1"/>
  <c r="T521" i="7"/>
  <c r="U521" i="7" s="1"/>
  <c r="R521" i="7"/>
  <c r="S521" i="7" s="1"/>
  <c r="P521" i="7"/>
  <c r="Q521" i="7" s="1"/>
  <c r="N521" i="7"/>
  <c r="O521" i="7" s="1"/>
  <c r="L521" i="7"/>
  <c r="M521" i="7" s="1"/>
  <c r="V520" i="7"/>
  <c r="W520" i="7" s="1"/>
  <c r="T520" i="7"/>
  <c r="U520" i="7" s="1"/>
  <c r="R520" i="7"/>
  <c r="S520" i="7" s="1"/>
  <c r="P520" i="7"/>
  <c r="Q520" i="7" s="1"/>
  <c r="N520" i="7"/>
  <c r="O520" i="7" s="1"/>
  <c r="L520" i="7"/>
  <c r="M520" i="7" s="1"/>
  <c r="V519" i="7"/>
  <c r="W519" i="7" s="1"/>
  <c r="T519" i="7"/>
  <c r="U519" i="7" s="1"/>
  <c r="R519" i="7"/>
  <c r="S519" i="7" s="1"/>
  <c r="P519" i="7"/>
  <c r="Q519" i="7" s="1"/>
  <c r="N519" i="7"/>
  <c r="O519" i="7" s="1"/>
  <c r="L519" i="7"/>
  <c r="M519" i="7" s="1"/>
  <c r="V518" i="7"/>
  <c r="W518" i="7" s="1"/>
  <c r="T518" i="7"/>
  <c r="U518" i="7" s="1"/>
  <c r="R518" i="7"/>
  <c r="S518" i="7" s="1"/>
  <c r="P518" i="7"/>
  <c r="Q518" i="7" s="1"/>
  <c r="N518" i="7"/>
  <c r="O518" i="7" s="1"/>
  <c r="L518" i="7"/>
  <c r="M518" i="7" s="1"/>
  <c r="V517" i="7"/>
  <c r="W517" i="7" s="1"/>
  <c r="T517" i="7"/>
  <c r="U517" i="7" s="1"/>
  <c r="R517" i="7"/>
  <c r="S517" i="7" s="1"/>
  <c r="P517" i="7"/>
  <c r="Q517" i="7" s="1"/>
  <c r="N517" i="7"/>
  <c r="O517" i="7" s="1"/>
  <c r="L517" i="7"/>
  <c r="M517" i="7" s="1"/>
  <c r="V516" i="7"/>
  <c r="W516" i="7" s="1"/>
  <c r="T516" i="7"/>
  <c r="U516" i="7" s="1"/>
  <c r="R516" i="7"/>
  <c r="S516" i="7" s="1"/>
  <c r="P516" i="7"/>
  <c r="Q516" i="7" s="1"/>
  <c r="N516" i="7"/>
  <c r="O516" i="7" s="1"/>
  <c r="L516" i="7"/>
  <c r="M516" i="7" s="1"/>
  <c r="V515" i="7"/>
  <c r="W515" i="7" s="1"/>
  <c r="T515" i="7"/>
  <c r="U515" i="7" s="1"/>
  <c r="R515" i="7"/>
  <c r="S515" i="7" s="1"/>
  <c r="P515" i="7"/>
  <c r="Q515" i="7" s="1"/>
  <c r="N515" i="7"/>
  <c r="O515" i="7" s="1"/>
  <c r="L515" i="7"/>
  <c r="M515" i="7" s="1"/>
  <c r="V514" i="7"/>
  <c r="W514" i="7" s="1"/>
  <c r="T514" i="7"/>
  <c r="U514" i="7" s="1"/>
  <c r="R514" i="7"/>
  <c r="S514" i="7" s="1"/>
  <c r="P514" i="7"/>
  <c r="Q514" i="7" s="1"/>
  <c r="N514" i="7"/>
  <c r="O514" i="7" s="1"/>
  <c r="L514" i="7"/>
  <c r="M514" i="7" s="1"/>
  <c r="V513" i="7"/>
  <c r="W513" i="7" s="1"/>
  <c r="T513" i="7"/>
  <c r="U513" i="7" s="1"/>
  <c r="R513" i="7"/>
  <c r="S513" i="7" s="1"/>
  <c r="P513" i="7"/>
  <c r="Q513" i="7" s="1"/>
  <c r="N513" i="7"/>
  <c r="O513" i="7" s="1"/>
  <c r="L513" i="7"/>
  <c r="M513" i="7" s="1"/>
  <c r="V512" i="7"/>
  <c r="W512" i="7" s="1"/>
  <c r="T512" i="7"/>
  <c r="U512" i="7" s="1"/>
  <c r="R512" i="7"/>
  <c r="S512" i="7" s="1"/>
  <c r="P512" i="7"/>
  <c r="Q512" i="7" s="1"/>
  <c r="N512" i="7"/>
  <c r="O512" i="7" s="1"/>
  <c r="L512" i="7"/>
  <c r="M512" i="7" s="1"/>
  <c r="V511" i="7"/>
  <c r="W511" i="7" s="1"/>
  <c r="T511" i="7"/>
  <c r="U511" i="7" s="1"/>
  <c r="R511" i="7"/>
  <c r="S511" i="7" s="1"/>
  <c r="P511" i="7"/>
  <c r="Q511" i="7" s="1"/>
  <c r="N511" i="7"/>
  <c r="O511" i="7" s="1"/>
  <c r="L511" i="7"/>
  <c r="M511" i="7" s="1"/>
  <c r="V510" i="7"/>
  <c r="W510" i="7" s="1"/>
  <c r="T510" i="7"/>
  <c r="U510" i="7" s="1"/>
  <c r="R510" i="7"/>
  <c r="S510" i="7" s="1"/>
  <c r="P510" i="7"/>
  <c r="Q510" i="7" s="1"/>
  <c r="N510" i="7"/>
  <c r="O510" i="7" s="1"/>
  <c r="L510" i="7"/>
  <c r="M510" i="7" s="1"/>
  <c r="V509" i="7"/>
  <c r="W509" i="7" s="1"/>
  <c r="T509" i="7"/>
  <c r="U509" i="7" s="1"/>
  <c r="R509" i="7"/>
  <c r="S509" i="7" s="1"/>
  <c r="P509" i="7"/>
  <c r="Q509" i="7" s="1"/>
  <c r="N509" i="7"/>
  <c r="O509" i="7" s="1"/>
  <c r="L509" i="7"/>
  <c r="M509" i="7" s="1"/>
  <c r="V508" i="7"/>
  <c r="W508" i="7" s="1"/>
  <c r="T508" i="7"/>
  <c r="U508" i="7" s="1"/>
  <c r="R508" i="7"/>
  <c r="S508" i="7" s="1"/>
  <c r="P508" i="7"/>
  <c r="Q508" i="7" s="1"/>
  <c r="N508" i="7"/>
  <c r="O508" i="7" s="1"/>
  <c r="L508" i="7"/>
  <c r="M508" i="7" s="1"/>
  <c r="V507" i="7"/>
  <c r="W507" i="7" s="1"/>
  <c r="T507" i="7"/>
  <c r="U507" i="7" s="1"/>
  <c r="R507" i="7"/>
  <c r="S507" i="7" s="1"/>
  <c r="P507" i="7"/>
  <c r="Q507" i="7" s="1"/>
  <c r="N507" i="7"/>
  <c r="O507" i="7" s="1"/>
  <c r="L507" i="7"/>
  <c r="M507" i="7" s="1"/>
  <c r="V506" i="7"/>
  <c r="W506" i="7" s="1"/>
  <c r="T506" i="7"/>
  <c r="U506" i="7" s="1"/>
  <c r="R506" i="7"/>
  <c r="S506" i="7" s="1"/>
  <c r="P506" i="7"/>
  <c r="Q506" i="7" s="1"/>
  <c r="N506" i="7"/>
  <c r="O506" i="7" s="1"/>
  <c r="L506" i="7"/>
  <c r="M506" i="7" s="1"/>
  <c r="V505" i="7"/>
  <c r="W505" i="7" s="1"/>
  <c r="T505" i="7"/>
  <c r="U505" i="7" s="1"/>
  <c r="R505" i="7"/>
  <c r="S505" i="7" s="1"/>
  <c r="P505" i="7"/>
  <c r="Q505" i="7" s="1"/>
  <c r="N505" i="7"/>
  <c r="O505" i="7" s="1"/>
  <c r="L505" i="7"/>
  <c r="M505" i="7" s="1"/>
  <c r="V504" i="7"/>
  <c r="W504" i="7" s="1"/>
  <c r="T504" i="7"/>
  <c r="U504" i="7" s="1"/>
  <c r="R504" i="7"/>
  <c r="S504" i="7" s="1"/>
  <c r="P504" i="7"/>
  <c r="Q504" i="7" s="1"/>
  <c r="N504" i="7"/>
  <c r="O504" i="7" s="1"/>
  <c r="L504" i="7"/>
  <c r="M504" i="7" s="1"/>
  <c r="V503" i="7"/>
  <c r="W503" i="7" s="1"/>
  <c r="T503" i="7"/>
  <c r="U503" i="7" s="1"/>
  <c r="R503" i="7"/>
  <c r="S503" i="7" s="1"/>
  <c r="P503" i="7"/>
  <c r="Q503" i="7" s="1"/>
  <c r="N503" i="7"/>
  <c r="O503" i="7" s="1"/>
  <c r="L503" i="7"/>
  <c r="M503" i="7" s="1"/>
  <c r="V502" i="7"/>
  <c r="W502" i="7" s="1"/>
  <c r="T502" i="7"/>
  <c r="U502" i="7" s="1"/>
  <c r="R502" i="7"/>
  <c r="S502" i="7" s="1"/>
  <c r="P502" i="7"/>
  <c r="Q502" i="7" s="1"/>
  <c r="N502" i="7"/>
  <c r="O502" i="7" s="1"/>
  <c r="L502" i="7"/>
  <c r="M502" i="7" s="1"/>
  <c r="V501" i="7"/>
  <c r="W501" i="7" s="1"/>
  <c r="T501" i="7"/>
  <c r="U501" i="7" s="1"/>
  <c r="R501" i="7"/>
  <c r="S501" i="7" s="1"/>
  <c r="P501" i="7"/>
  <c r="Q501" i="7" s="1"/>
  <c r="N501" i="7"/>
  <c r="O501" i="7" s="1"/>
  <c r="L501" i="7"/>
  <c r="M501" i="7" s="1"/>
  <c r="V500" i="7"/>
  <c r="W500" i="7" s="1"/>
  <c r="T500" i="7"/>
  <c r="U500" i="7" s="1"/>
  <c r="R500" i="7"/>
  <c r="S500" i="7" s="1"/>
  <c r="P500" i="7"/>
  <c r="Q500" i="7" s="1"/>
  <c r="N500" i="7"/>
  <c r="O500" i="7" s="1"/>
  <c r="L500" i="7"/>
  <c r="M500" i="7" s="1"/>
  <c r="V499" i="7"/>
  <c r="W499" i="7" s="1"/>
  <c r="T499" i="7"/>
  <c r="U499" i="7" s="1"/>
  <c r="R499" i="7"/>
  <c r="S499" i="7" s="1"/>
  <c r="P499" i="7"/>
  <c r="Q499" i="7" s="1"/>
  <c r="N499" i="7"/>
  <c r="O499" i="7" s="1"/>
  <c r="L499" i="7"/>
  <c r="M499" i="7" s="1"/>
  <c r="V498" i="7"/>
  <c r="W498" i="7" s="1"/>
  <c r="T498" i="7"/>
  <c r="U498" i="7" s="1"/>
  <c r="R498" i="7"/>
  <c r="S498" i="7" s="1"/>
  <c r="P498" i="7"/>
  <c r="Q498" i="7" s="1"/>
  <c r="N498" i="7"/>
  <c r="O498" i="7" s="1"/>
  <c r="L498" i="7"/>
  <c r="M498" i="7" s="1"/>
  <c r="V497" i="7"/>
  <c r="W497" i="7" s="1"/>
  <c r="T497" i="7"/>
  <c r="U497" i="7" s="1"/>
  <c r="R497" i="7"/>
  <c r="S497" i="7" s="1"/>
  <c r="P497" i="7"/>
  <c r="Q497" i="7" s="1"/>
  <c r="N497" i="7"/>
  <c r="O497" i="7" s="1"/>
  <c r="L497" i="7"/>
  <c r="M497" i="7" s="1"/>
  <c r="V496" i="7"/>
  <c r="W496" i="7" s="1"/>
  <c r="T496" i="7"/>
  <c r="U496" i="7" s="1"/>
  <c r="R496" i="7"/>
  <c r="S496" i="7" s="1"/>
  <c r="P496" i="7"/>
  <c r="Q496" i="7" s="1"/>
  <c r="N496" i="7"/>
  <c r="O496" i="7" s="1"/>
  <c r="L496" i="7"/>
  <c r="M496" i="7" s="1"/>
  <c r="V495" i="7"/>
  <c r="W495" i="7" s="1"/>
  <c r="T495" i="7"/>
  <c r="U495" i="7" s="1"/>
  <c r="R495" i="7"/>
  <c r="S495" i="7" s="1"/>
  <c r="P495" i="7"/>
  <c r="Q495" i="7" s="1"/>
  <c r="N495" i="7"/>
  <c r="O495" i="7" s="1"/>
  <c r="L495" i="7"/>
  <c r="M495" i="7" s="1"/>
  <c r="V494" i="7"/>
  <c r="W494" i="7" s="1"/>
  <c r="T494" i="7"/>
  <c r="U494" i="7" s="1"/>
  <c r="R494" i="7"/>
  <c r="S494" i="7" s="1"/>
  <c r="Q494" i="7"/>
  <c r="P494" i="7"/>
  <c r="N494" i="7"/>
  <c r="O494" i="7" s="1"/>
  <c r="L494" i="7"/>
  <c r="M494" i="7" s="1"/>
  <c r="V493" i="7"/>
  <c r="W493" i="7" s="1"/>
  <c r="T493" i="7"/>
  <c r="U493" i="7" s="1"/>
  <c r="R493" i="7"/>
  <c r="S493" i="7" s="1"/>
  <c r="P493" i="7"/>
  <c r="Q493" i="7" s="1"/>
  <c r="N493" i="7"/>
  <c r="O493" i="7" s="1"/>
  <c r="M493" i="7"/>
  <c r="L493" i="7"/>
  <c r="V492" i="7"/>
  <c r="W492" i="7" s="1"/>
  <c r="T492" i="7"/>
  <c r="U492" i="7" s="1"/>
  <c r="R492" i="7"/>
  <c r="S492" i="7" s="1"/>
  <c r="P492" i="7"/>
  <c r="Q492" i="7" s="1"/>
  <c r="N492" i="7"/>
  <c r="O492" i="7" s="1"/>
  <c r="L492" i="7"/>
  <c r="M492" i="7" s="1"/>
  <c r="V491" i="7"/>
  <c r="W491" i="7" s="1"/>
  <c r="U491" i="7"/>
  <c r="T491" i="7"/>
  <c r="R491" i="7"/>
  <c r="S491" i="7" s="1"/>
  <c r="P491" i="7"/>
  <c r="Q491" i="7" s="1"/>
  <c r="N491" i="7"/>
  <c r="O491" i="7" s="1"/>
  <c r="L491" i="7"/>
  <c r="M491" i="7" s="1"/>
  <c r="V490" i="7"/>
  <c r="W490" i="7" s="1"/>
  <c r="T490" i="7"/>
  <c r="U490" i="7" s="1"/>
  <c r="R490" i="7"/>
  <c r="S490" i="7" s="1"/>
  <c r="Q490" i="7"/>
  <c r="P490" i="7"/>
  <c r="N490" i="7"/>
  <c r="O490" i="7" s="1"/>
  <c r="L490" i="7"/>
  <c r="M490" i="7" s="1"/>
  <c r="V489" i="7"/>
  <c r="W489" i="7" s="1"/>
  <c r="T489" i="7"/>
  <c r="U489" i="7" s="1"/>
  <c r="R489" i="7"/>
  <c r="S489" i="7" s="1"/>
  <c r="P489" i="7"/>
  <c r="Q489" i="7" s="1"/>
  <c r="N489" i="7"/>
  <c r="O489" i="7" s="1"/>
  <c r="M489" i="7"/>
  <c r="L489" i="7"/>
  <c r="V488" i="7"/>
  <c r="W488" i="7" s="1"/>
  <c r="T488" i="7"/>
  <c r="U488" i="7" s="1"/>
  <c r="R488" i="7"/>
  <c r="S488" i="7" s="1"/>
  <c r="Q488" i="7"/>
  <c r="P488" i="7"/>
  <c r="N488" i="7"/>
  <c r="O488" i="7" s="1"/>
  <c r="L488" i="7"/>
  <c r="M488" i="7" s="1"/>
  <c r="V487" i="7"/>
  <c r="W487" i="7" s="1"/>
  <c r="U487" i="7"/>
  <c r="T487" i="7"/>
  <c r="R487" i="7"/>
  <c r="S487" i="7" s="1"/>
  <c r="P487" i="7"/>
  <c r="Q487" i="7" s="1"/>
  <c r="N487" i="7"/>
  <c r="O487" i="7" s="1"/>
  <c r="M487" i="7"/>
  <c r="L487" i="7"/>
  <c r="V486" i="7"/>
  <c r="W486" i="7" s="1"/>
  <c r="T486" i="7"/>
  <c r="U486" i="7" s="1"/>
  <c r="R486" i="7"/>
  <c r="S486" i="7" s="1"/>
  <c r="Q486" i="7"/>
  <c r="P486" i="7"/>
  <c r="N486" i="7"/>
  <c r="O486" i="7" s="1"/>
  <c r="L486" i="7"/>
  <c r="M486" i="7" s="1"/>
  <c r="V485" i="7"/>
  <c r="W485" i="7" s="1"/>
  <c r="U485" i="7"/>
  <c r="T485" i="7"/>
  <c r="R485" i="7"/>
  <c r="S485" i="7" s="1"/>
  <c r="P485" i="7"/>
  <c r="Q485" i="7" s="1"/>
  <c r="N485" i="7"/>
  <c r="O485" i="7" s="1"/>
  <c r="M485" i="7"/>
  <c r="L485" i="7"/>
  <c r="V484" i="7"/>
  <c r="W484" i="7" s="1"/>
  <c r="T484" i="7"/>
  <c r="U484" i="7" s="1"/>
  <c r="R484" i="7"/>
  <c r="S484" i="7" s="1"/>
  <c r="Q484" i="7"/>
  <c r="P484" i="7"/>
  <c r="N484" i="7"/>
  <c r="O484" i="7" s="1"/>
  <c r="L484" i="7"/>
  <c r="M484" i="7" s="1"/>
  <c r="V483" i="7"/>
  <c r="W483" i="7" s="1"/>
  <c r="U483" i="7"/>
  <c r="T483" i="7"/>
  <c r="R483" i="7"/>
  <c r="S483" i="7" s="1"/>
  <c r="P483" i="7"/>
  <c r="Q483" i="7" s="1"/>
  <c r="N483" i="7"/>
  <c r="O483" i="7" s="1"/>
  <c r="M483" i="7"/>
  <c r="L483" i="7"/>
  <c r="V482" i="7"/>
  <c r="W482" i="7" s="1"/>
  <c r="T482" i="7"/>
  <c r="U482" i="7" s="1"/>
  <c r="R482" i="7"/>
  <c r="S482" i="7" s="1"/>
  <c r="Q482" i="7"/>
  <c r="P482" i="7"/>
  <c r="N482" i="7"/>
  <c r="O482" i="7" s="1"/>
  <c r="L482" i="7"/>
  <c r="M482" i="7" s="1"/>
  <c r="V481" i="7"/>
  <c r="W481" i="7" s="1"/>
  <c r="U481" i="7"/>
  <c r="T481" i="7"/>
  <c r="R481" i="7"/>
  <c r="S481" i="7" s="1"/>
  <c r="P481" i="7"/>
  <c r="Q481" i="7" s="1"/>
  <c r="N481" i="7"/>
  <c r="O481" i="7" s="1"/>
  <c r="M481" i="7"/>
  <c r="L481" i="7"/>
  <c r="V480" i="7"/>
  <c r="W480" i="7" s="1"/>
  <c r="T480" i="7"/>
  <c r="U480" i="7" s="1"/>
  <c r="R480" i="7"/>
  <c r="S480" i="7" s="1"/>
  <c r="Q480" i="7"/>
  <c r="P480" i="7"/>
  <c r="N480" i="7"/>
  <c r="O480" i="7" s="1"/>
  <c r="L480" i="7"/>
  <c r="M480" i="7" s="1"/>
  <c r="V479" i="7"/>
  <c r="W479" i="7" s="1"/>
  <c r="U479" i="7"/>
  <c r="T479" i="7"/>
  <c r="R479" i="7"/>
  <c r="S479" i="7" s="1"/>
  <c r="P479" i="7"/>
  <c r="Q479" i="7" s="1"/>
  <c r="N479" i="7"/>
  <c r="O479" i="7" s="1"/>
  <c r="M479" i="7"/>
  <c r="L479" i="7"/>
  <c r="V478" i="7"/>
  <c r="W478" i="7" s="1"/>
  <c r="T478" i="7"/>
  <c r="U478" i="7" s="1"/>
  <c r="R478" i="7"/>
  <c r="S478" i="7" s="1"/>
  <c r="Q478" i="7"/>
  <c r="P478" i="7"/>
  <c r="N478" i="7"/>
  <c r="O478" i="7" s="1"/>
  <c r="L478" i="7"/>
  <c r="M478" i="7" s="1"/>
  <c r="V477" i="7"/>
  <c r="W477" i="7" s="1"/>
  <c r="U477" i="7"/>
  <c r="T477" i="7"/>
  <c r="R477" i="7"/>
  <c r="S477" i="7" s="1"/>
  <c r="P477" i="7"/>
  <c r="Q477" i="7" s="1"/>
  <c r="N477" i="7"/>
  <c r="O477" i="7" s="1"/>
  <c r="M477" i="7"/>
  <c r="L477" i="7"/>
  <c r="V476" i="7"/>
  <c r="W476" i="7" s="1"/>
  <c r="T476" i="7"/>
  <c r="U476" i="7" s="1"/>
  <c r="R476" i="7"/>
  <c r="S476" i="7" s="1"/>
  <c r="Q476" i="7"/>
  <c r="P476" i="7"/>
  <c r="N476" i="7"/>
  <c r="O476" i="7" s="1"/>
  <c r="L476" i="7"/>
  <c r="M476" i="7" s="1"/>
  <c r="V475" i="7"/>
  <c r="W475" i="7" s="1"/>
  <c r="U475" i="7"/>
  <c r="T475" i="7"/>
  <c r="R475" i="7"/>
  <c r="S475" i="7" s="1"/>
  <c r="P475" i="7"/>
  <c r="Q475" i="7" s="1"/>
  <c r="N475" i="7"/>
  <c r="O475" i="7" s="1"/>
  <c r="M475" i="7"/>
  <c r="L475" i="7"/>
  <c r="V474" i="7"/>
  <c r="W474" i="7" s="1"/>
  <c r="T474" i="7"/>
  <c r="U474" i="7" s="1"/>
  <c r="R474" i="7"/>
  <c r="S474" i="7" s="1"/>
  <c r="Q474" i="7"/>
  <c r="P474" i="7"/>
  <c r="N474" i="7"/>
  <c r="O474" i="7" s="1"/>
  <c r="L474" i="7"/>
  <c r="M474" i="7" s="1"/>
  <c r="V473" i="7"/>
  <c r="W473" i="7" s="1"/>
  <c r="U473" i="7"/>
  <c r="T473" i="7"/>
  <c r="R473" i="7"/>
  <c r="S473" i="7" s="1"/>
  <c r="P473" i="7"/>
  <c r="Q473" i="7" s="1"/>
  <c r="N473" i="7"/>
  <c r="O473" i="7" s="1"/>
  <c r="M473" i="7"/>
  <c r="L473" i="7"/>
  <c r="V472" i="7"/>
  <c r="W472" i="7" s="1"/>
  <c r="T472" i="7"/>
  <c r="U472" i="7" s="1"/>
  <c r="R472" i="7"/>
  <c r="S472" i="7" s="1"/>
  <c r="Q472" i="7"/>
  <c r="P472" i="7"/>
  <c r="N472" i="7"/>
  <c r="O472" i="7" s="1"/>
  <c r="L472" i="7"/>
  <c r="M472" i="7" s="1"/>
  <c r="V471" i="7"/>
  <c r="W471" i="7" s="1"/>
  <c r="U471" i="7"/>
  <c r="T471" i="7"/>
  <c r="R471" i="7"/>
  <c r="S471" i="7" s="1"/>
  <c r="P471" i="7"/>
  <c r="Q471" i="7" s="1"/>
  <c r="N471" i="7"/>
  <c r="O471" i="7" s="1"/>
  <c r="M471" i="7"/>
  <c r="L471" i="7"/>
  <c r="V470" i="7"/>
  <c r="W470" i="7" s="1"/>
  <c r="T470" i="7"/>
  <c r="U470" i="7" s="1"/>
  <c r="R470" i="7"/>
  <c r="S470" i="7" s="1"/>
  <c r="Q470" i="7"/>
  <c r="P470" i="7"/>
  <c r="N470" i="7"/>
  <c r="O470" i="7" s="1"/>
  <c r="L470" i="7"/>
  <c r="M470" i="7" s="1"/>
  <c r="V469" i="7"/>
  <c r="W469" i="7" s="1"/>
  <c r="U469" i="7"/>
  <c r="T469" i="7"/>
  <c r="R469" i="7"/>
  <c r="S469" i="7" s="1"/>
  <c r="P469" i="7"/>
  <c r="Q469" i="7" s="1"/>
  <c r="N469" i="7"/>
  <c r="O469" i="7" s="1"/>
  <c r="M469" i="7"/>
  <c r="L469" i="7"/>
  <c r="V468" i="7"/>
  <c r="W468" i="7" s="1"/>
  <c r="T468" i="7"/>
  <c r="U468" i="7" s="1"/>
  <c r="R468" i="7"/>
  <c r="S468" i="7" s="1"/>
  <c r="Q468" i="7"/>
  <c r="P468" i="7"/>
  <c r="N468" i="7"/>
  <c r="O468" i="7" s="1"/>
  <c r="L468" i="7"/>
  <c r="M468" i="7" s="1"/>
  <c r="V467" i="7"/>
  <c r="W467" i="7" s="1"/>
  <c r="U467" i="7"/>
  <c r="T467" i="7"/>
  <c r="R467" i="7"/>
  <c r="S467" i="7" s="1"/>
  <c r="P467" i="7"/>
  <c r="Q467" i="7" s="1"/>
  <c r="N467" i="7"/>
  <c r="O467" i="7" s="1"/>
  <c r="M467" i="7"/>
  <c r="L467" i="7"/>
  <c r="V466" i="7"/>
  <c r="W466" i="7" s="1"/>
  <c r="T466" i="7"/>
  <c r="U466" i="7" s="1"/>
  <c r="R466" i="7"/>
  <c r="S466" i="7" s="1"/>
  <c r="Q466" i="7"/>
  <c r="P466" i="7"/>
  <c r="N466" i="7"/>
  <c r="O466" i="7" s="1"/>
  <c r="L466" i="7"/>
  <c r="M466" i="7" s="1"/>
  <c r="V465" i="7"/>
  <c r="W465" i="7" s="1"/>
  <c r="U465" i="7"/>
  <c r="T465" i="7"/>
  <c r="R465" i="7"/>
  <c r="S465" i="7" s="1"/>
  <c r="P465" i="7"/>
  <c r="Q465" i="7" s="1"/>
  <c r="N465" i="7"/>
  <c r="O465" i="7" s="1"/>
  <c r="M465" i="7"/>
  <c r="L465" i="7"/>
  <c r="V464" i="7"/>
  <c r="W464" i="7" s="1"/>
  <c r="T464" i="7"/>
  <c r="U464" i="7" s="1"/>
  <c r="R464" i="7"/>
  <c r="S464" i="7" s="1"/>
  <c r="Q464" i="7"/>
  <c r="P464" i="7"/>
  <c r="N464" i="7"/>
  <c r="O464" i="7" s="1"/>
  <c r="L464" i="7"/>
  <c r="M464" i="7" s="1"/>
  <c r="V463" i="7"/>
  <c r="W463" i="7" s="1"/>
  <c r="U463" i="7"/>
  <c r="T463" i="7"/>
  <c r="R463" i="7"/>
  <c r="S463" i="7" s="1"/>
  <c r="P463" i="7"/>
  <c r="Q463" i="7" s="1"/>
  <c r="N463" i="7"/>
  <c r="O463" i="7" s="1"/>
  <c r="M463" i="7"/>
  <c r="L463" i="7"/>
  <c r="V462" i="7"/>
  <c r="W462" i="7" s="1"/>
  <c r="T462" i="7"/>
  <c r="U462" i="7" s="1"/>
  <c r="R462" i="7"/>
  <c r="S462" i="7" s="1"/>
  <c r="Q462" i="7"/>
  <c r="P462" i="7"/>
  <c r="N462" i="7"/>
  <c r="O462" i="7" s="1"/>
  <c r="L462" i="7"/>
  <c r="M462" i="7" s="1"/>
  <c r="V461" i="7"/>
  <c r="W461" i="7" s="1"/>
  <c r="U461" i="7"/>
  <c r="T461" i="7"/>
  <c r="R461" i="7"/>
  <c r="S461" i="7" s="1"/>
  <c r="P461" i="7"/>
  <c r="Q461" i="7" s="1"/>
  <c r="N461" i="7"/>
  <c r="O461" i="7" s="1"/>
  <c r="M461" i="7"/>
  <c r="L461" i="7"/>
  <c r="V460" i="7"/>
  <c r="W460" i="7" s="1"/>
  <c r="T460" i="7"/>
  <c r="U460" i="7" s="1"/>
  <c r="R460" i="7"/>
  <c r="S460" i="7" s="1"/>
  <c r="P460" i="7"/>
  <c r="Q460" i="7" s="1"/>
  <c r="N460" i="7"/>
  <c r="O460" i="7" s="1"/>
  <c r="L460" i="7"/>
  <c r="M460" i="7" s="1"/>
  <c r="V459" i="7"/>
  <c r="W459" i="7" s="1"/>
  <c r="T459" i="7"/>
  <c r="U459" i="7" s="1"/>
  <c r="R459" i="7"/>
  <c r="S459" i="7" s="1"/>
  <c r="P459" i="7"/>
  <c r="Q459" i="7" s="1"/>
  <c r="N459" i="7"/>
  <c r="O459" i="7" s="1"/>
  <c r="L459" i="7"/>
  <c r="M459" i="7" s="1"/>
  <c r="V458" i="7"/>
  <c r="W458" i="7" s="1"/>
  <c r="T458" i="7"/>
  <c r="U458" i="7" s="1"/>
  <c r="R458" i="7"/>
  <c r="S458" i="7" s="1"/>
  <c r="P458" i="7"/>
  <c r="Q458" i="7" s="1"/>
  <c r="N458" i="7"/>
  <c r="O458" i="7" s="1"/>
  <c r="L458" i="7"/>
  <c r="M458" i="7" s="1"/>
  <c r="V457" i="7"/>
  <c r="W457" i="7" s="1"/>
  <c r="T457" i="7"/>
  <c r="U457" i="7" s="1"/>
  <c r="R457" i="7"/>
  <c r="S457" i="7" s="1"/>
  <c r="P457" i="7"/>
  <c r="Q457" i="7" s="1"/>
  <c r="N457" i="7"/>
  <c r="O457" i="7" s="1"/>
  <c r="L457" i="7"/>
  <c r="M457" i="7" s="1"/>
  <c r="V456" i="7"/>
  <c r="W456" i="7" s="1"/>
  <c r="T456" i="7"/>
  <c r="U456" i="7" s="1"/>
  <c r="R456" i="7"/>
  <c r="S456" i="7" s="1"/>
  <c r="P456" i="7"/>
  <c r="Q456" i="7" s="1"/>
  <c r="N456" i="7"/>
  <c r="O456" i="7" s="1"/>
  <c r="L456" i="7"/>
  <c r="M456" i="7" s="1"/>
  <c r="V455" i="7"/>
  <c r="W455" i="7" s="1"/>
  <c r="T455" i="7"/>
  <c r="U455" i="7" s="1"/>
  <c r="R455" i="7"/>
  <c r="S455" i="7" s="1"/>
  <c r="P455" i="7"/>
  <c r="Q455" i="7" s="1"/>
  <c r="N455" i="7"/>
  <c r="O455" i="7" s="1"/>
  <c r="L455" i="7"/>
  <c r="M455" i="7" s="1"/>
  <c r="V454" i="7"/>
  <c r="W454" i="7" s="1"/>
  <c r="T454" i="7"/>
  <c r="U454" i="7" s="1"/>
  <c r="R454" i="7"/>
  <c r="S454" i="7" s="1"/>
  <c r="P454" i="7"/>
  <c r="Q454" i="7" s="1"/>
  <c r="N454" i="7"/>
  <c r="O454" i="7" s="1"/>
  <c r="L454" i="7"/>
  <c r="M454" i="7" s="1"/>
  <c r="V453" i="7"/>
  <c r="W453" i="7" s="1"/>
  <c r="T453" i="7"/>
  <c r="U453" i="7" s="1"/>
  <c r="R453" i="7"/>
  <c r="S453" i="7" s="1"/>
  <c r="P453" i="7"/>
  <c r="Q453" i="7" s="1"/>
  <c r="N453" i="7"/>
  <c r="O453" i="7" s="1"/>
  <c r="L453" i="7"/>
  <c r="M453" i="7" s="1"/>
  <c r="V452" i="7"/>
  <c r="W452" i="7" s="1"/>
  <c r="T452" i="7"/>
  <c r="U452" i="7" s="1"/>
  <c r="R452" i="7"/>
  <c r="S452" i="7" s="1"/>
  <c r="P452" i="7"/>
  <c r="Q452" i="7" s="1"/>
  <c r="N452" i="7"/>
  <c r="O452" i="7" s="1"/>
  <c r="L452" i="7"/>
  <c r="M452" i="7" s="1"/>
  <c r="V451" i="7"/>
  <c r="W451" i="7" s="1"/>
  <c r="T451" i="7"/>
  <c r="U451" i="7" s="1"/>
  <c r="R451" i="7"/>
  <c r="S451" i="7" s="1"/>
  <c r="P451" i="7"/>
  <c r="Q451" i="7" s="1"/>
  <c r="N451" i="7"/>
  <c r="O451" i="7" s="1"/>
  <c r="L451" i="7"/>
  <c r="M451" i="7" s="1"/>
  <c r="V450" i="7"/>
  <c r="W450" i="7" s="1"/>
  <c r="T450" i="7"/>
  <c r="U450" i="7" s="1"/>
  <c r="R450" i="7"/>
  <c r="S450" i="7" s="1"/>
  <c r="P450" i="7"/>
  <c r="Q450" i="7" s="1"/>
  <c r="N450" i="7"/>
  <c r="O450" i="7" s="1"/>
  <c r="L450" i="7"/>
  <c r="M450" i="7" s="1"/>
  <c r="V449" i="7"/>
  <c r="W449" i="7" s="1"/>
  <c r="T449" i="7"/>
  <c r="U449" i="7" s="1"/>
  <c r="R449" i="7"/>
  <c r="S449" i="7" s="1"/>
  <c r="P449" i="7"/>
  <c r="Q449" i="7" s="1"/>
  <c r="N449" i="7"/>
  <c r="O449" i="7" s="1"/>
  <c r="L449" i="7"/>
  <c r="M449" i="7" s="1"/>
  <c r="V448" i="7"/>
  <c r="W448" i="7" s="1"/>
  <c r="T448" i="7"/>
  <c r="U448" i="7" s="1"/>
  <c r="R448" i="7"/>
  <c r="S448" i="7" s="1"/>
  <c r="P448" i="7"/>
  <c r="Q448" i="7" s="1"/>
  <c r="N448" i="7"/>
  <c r="O448" i="7" s="1"/>
  <c r="L448" i="7"/>
  <c r="M448" i="7" s="1"/>
  <c r="V447" i="7"/>
  <c r="W447" i="7" s="1"/>
  <c r="T447" i="7"/>
  <c r="U447" i="7" s="1"/>
  <c r="R447" i="7"/>
  <c r="S447" i="7" s="1"/>
  <c r="P447" i="7"/>
  <c r="Q447" i="7" s="1"/>
  <c r="N447" i="7"/>
  <c r="O447" i="7" s="1"/>
  <c r="L447" i="7"/>
  <c r="M447" i="7" s="1"/>
  <c r="V446" i="7"/>
  <c r="W446" i="7" s="1"/>
  <c r="T446" i="7"/>
  <c r="U446" i="7" s="1"/>
  <c r="R446" i="7"/>
  <c r="S446" i="7" s="1"/>
  <c r="P446" i="7"/>
  <c r="Q446" i="7" s="1"/>
  <c r="N446" i="7"/>
  <c r="O446" i="7" s="1"/>
  <c r="L446" i="7"/>
  <c r="M446" i="7" s="1"/>
  <c r="V445" i="7"/>
  <c r="W445" i="7" s="1"/>
  <c r="T445" i="7"/>
  <c r="U445" i="7" s="1"/>
  <c r="R445" i="7"/>
  <c r="S445" i="7" s="1"/>
  <c r="P445" i="7"/>
  <c r="Q445" i="7" s="1"/>
  <c r="N445" i="7"/>
  <c r="O445" i="7" s="1"/>
  <c r="L445" i="7"/>
  <c r="M445" i="7" s="1"/>
  <c r="V444" i="7"/>
  <c r="W444" i="7" s="1"/>
  <c r="T444" i="7"/>
  <c r="U444" i="7" s="1"/>
  <c r="R444" i="7"/>
  <c r="S444" i="7" s="1"/>
  <c r="P444" i="7"/>
  <c r="Q444" i="7" s="1"/>
  <c r="N444" i="7"/>
  <c r="O444" i="7" s="1"/>
  <c r="L444" i="7"/>
  <c r="M444" i="7" s="1"/>
  <c r="V443" i="7"/>
  <c r="W443" i="7" s="1"/>
  <c r="T443" i="7"/>
  <c r="U443" i="7" s="1"/>
  <c r="R443" i="7"/>
  <c r="S443" i="7" s="1"/>
  <c r="P443" i="7"/>
  <c r="Q443" i="7" s="1"/>
  <c r="N443" i="7"/>
  <c r="O443" i="7" s="1"/>
  <c r="L443" i="7"/>
  <c r="M443" i="7" s="1"/>
  <c r="V442" i="7"/>
  <c r="W442" i="7" s="1"/>
  <c r="T442" i="7"/>
  <c r="U442" i="7" s="1"/>
  <c r="R442" i="7"/>
  <c r="S442" i="7" s="1"/>
  <c r="P442" i="7"/>
  <c r="Q442" i="7" s="1"/>
  <c r="N442" i="7"/>
  <c r="O442" i="7" s="1"/>
  <c r="L442" i="7"/>
  <c r="M442" i="7" s="1"/>
  <c r="V441" i="7"/>
  <c r="W441" i="7" s="1"/>
  <c r="T441" i="7"/>
  <c r="U441" i="7" s="1"/>
  <c r="R441" i="7"/>
  <c r="S441" i="7" s="1"/>
  <c r="P441" i="7"/>
  <c r="Q441" i="7" s="1"/>
  <c r="N441" i="7"/>
  <c r="O441" i="7" s="1"/>
  <c r="L441" i="7"/>
  <c r="M441" i="7" s="1"/>
  <c r="V440" i="7"/>
  <c r="W440" i="7" s="1"/>
  <c r="T440" i="7"/>
  <c r="U440" i="7" s="1"/>
  <c r="R440" i="7"/>
  <c r="S440" i="7" s="1"/>
  <c r="P440" i="7"/>
  <c r="Q440" i="7" s="1"/>
  <c r="N440" i="7"/>
  <c r="O440" i="7" s="1"/>
  <c r="L440" i="7"/>
  <c r="M440" i="7" s="1"/>
  <c r="V439" i="7"/>
  <c r="W439" i="7" s="1"/>
  <c r="T439" i="7"/>
  <c r="U439" i="7" s="1"/>
  <c r="R439" i="7"/>
  <c r="S439" i="7" s="1"/>
  <c r="P439" i="7"/>
  <c r="Q439" i="7" s="1"/>
  <c r="N439" i="7"/>
  <c r="O439" i="7" s="1"/>
  <c r="L439" i="7"/>
  <c r="M439" i="7" s="1"/>
  <c r="V438" i="7"/>
  <c r="W438" i="7" s="1"/>
  <c r="T438" i="7"/>
  <c r="U438" i="7" s="1"/>
  <c r="R438" i="7"/>
  <c r="S438" i="7" s="1"/>
  <c r="P438" i="7"/>
  <c r="Q438" i="7" s="1"/>
  <c r="N438" i="7"/>
  <c r="O438" i="7" s="1"/>
  <c r="L438" i="7"/>
  <c r="M438" i="7" s="1"/>
  <c r="V437" i="7"/>
  <c r="W437" i="7" s="1"/>
  <c r="T437" i="7"/>
  <c r="U437" i="7" s="1"/>
  <c r="R437" i="7"/>
  <c r="S437" i="7" s="1"/>
  <c r="P437" i="7"/>
  <c r="Q437" i="7" s="1"/>
  <c r="N437" i="7"/>
  <c r="O437" i="7" s="1"/>
  <c r="L437" i="7"/>
  <c r="M437" i="7" s="1"/>
  <c r="V436" i="7"/>
  <c r="W436" i="7" s="1"/>
  <c r="T436" i="7"/>
  <c r="U436" i="7" s="1"/>
  <c r="R436" i="7"/>
  <c r="S436" i="7" s="1"/>
  <c r="P436" i="7"/>
  <c r="Q436" i="7" s="1"/>
  <c r="N436" i="7"/>
  <c r="O436" i="7" s="1"/>
  <c r="L436" i="7"/>
  <c r="M436" i="7" s="1"/>
  <c r="V435" i="7"/>
  <c r="W435" i="7" s="1"/>
  <c r="T435" i="7"/>
  <c r="U435" i="7" s="1"/>
  <c r="R435" i="7"/>
  <c r="S435" i="7" s="1"/>
  <c r="P435" i="7"/>
  <c r="Q435" i="7" s="1"/>
  <c r="N435" i="7"/>
  <c r="O435" i="7" s="1"/>
  <c r="L435" i="7"/>
  <c r="M435" i="7" s="1"/>
  <c r="V434" i="7"/>
  <c r="W434" i="7" s="1"/>
  <c r="T434" i="7"/>
  <c r="U434" i="7" s="1"/>
  <c r="R434" i="7"/>
  <c r="S434" i="7" s="1"/>
  <c r="P434" i="7"/>
  <c r="Q434" i="7" s="1"/>
  <c r="N434" i="7"/>
  <c r="O434" i="7" s="1"/>
  <c r="L434" i="7"/>
  <c r="M434" i="7" s="1"/>
  <c r="V433" i="7"/>
  <c r="W433" i="7" s="1"/>
  <c r="T433" i="7"/>
  <c r="U433" i="7" s="1"/>
  <c r="R433" i="7"/>
  <c r="S433" i="7" s="1"/>
  <c r="P433" i="7"/>
  <c r="Q433" i="7" s="1"/>
  <c r="N433" i="7"/>
  <c r="O433" i="7" s="1"/>
  <c r="L433" i="7"/>
  <c r="M433" i="7" s="1"/>
  <c r="V432" i="7"/>
  <c r="W432" i="7" s="1"/>
  <c r="T432" i="7"/>
  <c r="U432" i="7" s="1"/>
  <c r="R432" i="7"/>
  <c r="S432" i="7" s="1"/>
  <c r="P432" i="7"/>
  <c r="Q432" i="7" s="1"/>
  <c r="N432" i="7"/>
  <c r="O432" i="7" s="1"/>
  <c r="L432" i="7"/>
  <c r="M432" i="7" s="1"/>
  <c r="V431" i="7"/>
  <c r="W431" i="7" s="1"/>
  <c r="T431" i="7"/>
  <c r="U431" i="7" s="1"/>
  <c r="R431" i="7"/>
  <c r="S431" i="7" s="1"/>
  <c r="P431" i="7"/>
  <c r="Q431" i="7" s="1"/>
  <c r="N431" i="7"/>
  <c r="O431" i="7" s="1"/>
  <c r="L431" i="7"/>
  <c r="M431" i="7" s="1"/>
  <c r="V430" i="7"/>
  <c r="W430" i="7" s="1"/>
  <c r="T430" i="7"/>
  <c r="U430" i="7" s="1"/>
  <c r="R430" i="7"/>
  <c r="S430" i="7" s="1"/>
  <c r="P430" i="7"/>
  <c r="Q430" i="7" s="1"/>
  <c r="N430" i="7"/>
  <c r="O430" i="7" s="1"/>
  <c r="L430" i="7"/>
  <c r="M430" i="7" s="1"/>
  <c r="V429" i="7"/>
  <c r="W429" i="7" s="1"/>
  <c r="T429" i="7"/>
  <c r="U429" i="7" s="1"/>
  <c r="R429" i="7"/>
  <c r="S429" i="7" s="1"/>
  <c r="P429" i="7"/>
  <c r="Q429" i="7" s="1"/>
  <c r="N429" i="7"/>
  <c r="O429" i="7" s="1"/>
  <c r="L429" i="7"/>
  <c r="M429" i="7" s="1"/>
  <c r="V428" i="7"/>
  <c r="W428" i="7" s="1"/>
  <c r="T428" i="7"/>
  <c r="U428" i="7" s="1"/>
  <c r="R428" i="7"/>
  <c r="S428" i="7" s="1"/>
  <c r="P428" i="7"/>
  <c r="Q428" i="7" s="1"/>
  <c r="N428" i="7"/>
  <c r="O428" i="7" s="1"/>
  <c r="L428" i="7"/>
  <c r="M428" i="7" s="1"/>
  <c r="V427" i="7"/>
  <c r="W427" i="7" s="1"/>
  <c r="T427" i="7"/>
  <c r="U427" i="7" s="1"/>
  <c r="R427" i="7"/>
  <c r="S427" i="7" s="1"/>
  <c r="P427" i="7"/>
  <c r="Q427" i="7" s="1"/>
  <c r="N427" i="7"/>
  <c r="O427" i="7" s="1"/>
  <c r="L427" i="7"/>
  <c r="M427" i="7" s="1"/>
  <c r="V426" i="7"/>
  <c r="W426" i="7" s="1"/>
  <c r="T426" i="7"/>
  <c r="U426" i="7" s="1"/>
  <c r="R426" i="7"/>
  <c r="S426" i="7" s="1"/>
  <c r="P426" i="7"/>
  <c r="Q426" i="7" s="1"/>
  <c r="N426" i="7"/>
  <c r="O426" i="7" s="1"/>
  <c r="L426" i="7"/>
  <c r="M426" i="7" s="1"/>
  <c r="V425" i="7"/>
  <c r="W425" i="7" s="1"/>
  <c r="T425" i="7"/>
  <c r="U425" i="7" s="1"/>
  <c r="R425" i="7"/>
  <c r="S425" i="7" s="1"/>
  <c r="P425" i="7"/>
  <c r="Q425" i="7" s="1"/>
  <c r="N425" i="7"/>
  <c r="O425" i="7" s="1"/>
  <c r="L425" i="7"/>
  <c r="M425" i="7" s="1"/>
  <c r="V424" i="7"/>
  <c r="W424" i="7" s="1"/>
  <c r="T424" i="7"/>
  <c r="U424" i="7" s="1"/>
  <c r="R424" i="7"/>
  <c r="S424" i="7" s="1"/>
  <c r="P424" i="7"/>
  <c r="Q424" i="7" s="1"/>
  <c r="N424" i="7"/>
  <c r="O424" i="7" s="1"/>
  <c r="L424" i="7"/>
  <c r="M424" i="7" s="1"/>
  <c r="V423" i="7"/>
  <c r="W423" i="7" s="1"/>
  <c r="T423" i="7"/>
  <c r="U423" i="7" s="1"/>
  <c r="R423" i="7"/>
  <c r="S423" i="7" s="1"/>
  <c r="P423" i="7"/>
  <c r="Q423" i="7" s="1"/>
  <c r="N423" i="7"/>
  <c r="O423" i="7" s="1"/>
  <c r="L423" i="7"/>
  <c r="M423" i="7" s="1"/>
  <c r="V422" i="7"/>
  <c r="W422" i="7" s="1"/>
  <c r="T422" i="7"/>
  <c r="U422" i="7" s="1"/>
  <c r="R422" i="7"/>
  <c r="S422" i="7" s="1"/>
  <c r="P422" i="7"/>
  <c r="Q422" i="7" s="1"/>
  <c r="N422" i="7"/>
  <c r="O422" i="7" s="1"/>
  <c r="L422" i="7"/>
  <c r="M422" i="7" s="1"/>
  <c r="V421" i="7"/>
  <c r="W421" i="7" s="1"/>
  <c r="T421" i="7"/>
  <c r="U421" i="7" s="1"/>
  <c r="R421" i="7"/>
  <c r="S421" i="7" s="1"/>
  <c r="P421" i="7"/>
  <c r="Q421" i="7" s="1"/>
  <c r="N421" i="7"/>
  <c r="O421" i="7" s="1"/>
  <c r="L421" i="7"/>
  <c r="M421" i="7" s="1"/>
  <c r="V420" i="7"/>
  <c r="W420" i="7" s="1"/>
  <c r="T420" i="7"/>
  <c r="U420" i="7" s="1"/>
  <c r="R420" i="7"/>
  <c r="S420" i="7" s="1"/>
  <c r="P420" i="7"/>
  <c r="Q420" i="7" s="1"/>
  <c r="N420" i="7"/>
  <c r="O420" i="7" s="1"/>
  <c r="L420" i="7"/>
  <c r="M420" i="7" s="1"/>
  <c r="V419" i="7"/>
  <c r="W419" i="7" s="1"/>
  <c r="T419" i="7"/>
  <c r="U419" i="7" s="1"/>
  <c r="R419" i="7"/>
  <c r="S419" i="7" s="1"/>
  <c r="P419" i="7"/>
  <c r="Q419" i="7" s="1"/>
  <c r="N419" i="7"/>
  <c r="O419" i="7" s="1"/>
  <c r="L419" i="7"/>
  <c r="M419" i="7" s="1"/>
  <c r="V418" i="7"/>
  <c r="W418" i="7" s="1"/>
  <c r="T418" i="7"/>
  <c r="U418" i="7" s="1"/>
  <c r="R418" i="7"/>
  <c r="S418" i="7" s="1"/>
  <c r="P418" i="7"/>
  <c r="Q418" i="7" s="1"/>
  <c r="N418" i="7"/>
  <c r="O418" i="7" s="1"/>
  <c r="L418" i="7"/>
  <c r="M418" i="7" s="1"/>
  <c r="V417" i="7"/>
  <c r="W417" i="7" s="1"/>
  <c r="T417" i="7"/>
  <c r="U417" i="7" s="1"/>
  <c r="R417" i="7"/>
  <c r="S417" i="7" s="1"/>
  <c r="P417" i="7"/>
  <c r="Q417" i="7" s="1"/>
  <c r="N417" i="7"/>
  <c r="O417" i="7" s="1"/>
  <c r="L417" i="7"/>
  <c r="M417" i="7" s="1"/>
  <c r="V416" i="7"/>
  <c r="W416" i="7" s="1"/>
  <c r="T416" i="7"/>
  <c r="U416" i="7" s="1"/>
  <c r="R416" i="7"/>
  <c r="S416" i="7" s="1"/>
  <c r="P416" i="7"/>
  <c r="Q416" i="7" s="1"/>
  <c r="N416" i="7"/>
  <c r="O416" i="7" s="1"/>
  <c r="L416" i="7"/>
  <c r="M416" i="7" s="1"/>
  <c r="V415" i="7"/>
  <c r="W415" i="7" s="1"/>
  <c r="T415" i="7"/>
  <c r="U415" i="7" s="1"/>
  <c r="R415" i="7"/>
  <c r="S415" i="7" s="1"/>
  <c r="P415" i="7"/>
  <c r="Q415" i="7" s="1"/>
  <c r="N415" i="7"/>
  <c r="O415" i="7" s="1"/>
  <c r="L415" i="7"/>
  <c r="M415" i="7" s="1"/>
  <c r="V414" i="7"/>
  <c r="W414" i="7" s="1"/>
  <c r="T414" i="7"/>
  <c r="U414" i="7" s="1"/>
  <c r="R414" i="7"/>
  <c r="S414" i="7" s="1"/>
  <c r="P414" i="7"/>
  <c r="Q414" i="7" s="1"/>
  <c r="N414" i="7"/>
  <c r="O414" i="7" s="1"/>
  <c r="L414" i="7"/>
  <c r="M414" i="7" s="1"/>
  <c r="V413" i="7"/>
  <c r="W413" i="7" s="1"/>
  <c r="T413" i="7"/>
  <c r="U413" i="7" s="1"/>
  <c r="R413" i="7"/>
  <c r="S413" i="7" s="1"/>
  <c r="P413" i="7"/>
  <c r="Q413" i="7" s="1"/>
  <c r="N413" i="7"/>
  <c r="O413" i="7" s="1"/>
  <c r="L413" i="7"/>
  <c r="M413" i="7" s="1"/>
  <c r="V412" i="7"/>
  <c r="W412" i="7" s="1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P323" i="7"/>
  <c r="Q323" i="7" s="1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V320" i="7"/>
  <c r="W320" i="7" s="1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R319" i="7"/>
  <c r="S319" i="7" s="1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N318" i="7"/>
  <c r="O318" i="7" s="1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V316" i="7"/>
  <c r="W316" i="7" s="1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R315" i="7"/>
  <c r="S315" i="7" s="1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N314" i="7"/>
  <c r="O314" i="7" s="1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V312" i="7"/>
  <c r="W312" i="7" s="1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R311" i="7"/>
  <c r="S311" i="7" s="1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N310" i="7"/>
  <c r="O310" i="7" s="1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V308" i="7"/>
  <c r="W308" i="7" s="1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R307" i="7"/>
  <c r="S307" i="7" s="1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N306" i="7"/>
  <c r="O306" i="7" s="1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V304" i="7"/>
  <c r="W304" i="7" s="1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R303" i="7"/>
  <c r="S303" i="7" s="1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N302" i="7"/>
  <c r="O302" i="7" s="1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V300" i="7"/>
  <c r="W300" i="7" s="1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R299" i="7"/>
  <c r="S299" i="7" s="1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N298" i="7"/>
  <c r="O298" i="7" s="1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V296" i="7"/>
  <c r="W296" i="7" s="1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R295" i="7"/>
  <c r="S295" i="7" s="1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N294" i="7"/>
  <c r="O294" i="7" s="1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V292" i="7"/>
  <c r="W292" i="7" s="1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R291" i="7"/>
  <c r="S291" i="7" s="1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N290" i="7"/>
  <c r="O290" i="7" s="1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V288" i="7"/>
  <c r="W288" i="7" s="1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R287" i="7"/>
  <c r="S287" i="7" s="1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N286" i="7"/>
  <c r="O286" i="7" s="1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V284" i="7"/>
  <c r="W284" i="7" s="1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R283" i="7"/>
  <c r="S283" i="7" s="1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N282" i="7"/>
  <c r="O282" i="7" s="1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V280" i="7"/>
  <c r="W280" i="7" s="1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R279" i="7"/>
  <c r="S279" i="7" s="1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N278" i="7"/>
  <c r="O278" i="7" s="1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V276" i="7"/>
  <c r="W276" i="7" s="1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R275" i="7"/>
  <c r="S275" i="7" s="1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N274" i="7"/>
  <c r="O274" i="7" s="1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V272" i="7"/>
  <c r="W272" i="7" s="1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R271" i="7"/>
  <c r="S271" i="7" s="1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N270" i="7"/>
  <c r="O270" i="7" s="1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V268" i="7"/>
  <c r="W268" i="7" s="1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R267" i="7"/>
  <c r="S267" i="7" s="1"/>
  <c r="P267" i="7"/>
  <c r="Q267" i="7" s="1"/>
  <c r="O267" i="7"/>
  <c r="N267" i="7"/>
  <c r="L267" i="7"/>
  <c r="M267" i="7" s="1"/>
  <c r="V266" i="7"/>
  <c r="W266" i="7" s="1"/>
  <c r="T266" i="7"/>
  <c r="U266" i="7" s="1"/>
  <c r="R266" i="7"/>
  <c r="S266" i="7" s="1"/>
  <c r="P266" i="7"/>
  <c r="Q266" i="7" s="1"/>
  <c r="N266" i="7"/>
  <c r="O266" i="7" s="1"/>
  <c r="L266" i="7"/>
  <c r="M266" i="7" s="1"/>
  <c r="W265" i="7"/>
  <c r="V265" i="7"/>
  <c r="T265" i="7"/>
  <c r="U265" i="7" s="1"/>
  <c r="R265" i="7"/>
  <c r="S265" i="7" s="1"/>
  <c r="P265" i="7"/>
  <c r="Q265" i="7" s="1"/>
  <c r="N265" i="7"/>
  <c r="O265" i="7" s="1"/>
  <c r="L265" i="7"/>
  <c r="M265" i="7" s="1"/>
  <c r="V264" i="7"/>
  <c r="W264" i="7" s="1"/>
  <c r="T264" i="7"/>
  <c r="U264" i="7" s="1"/>
  <c r="S264" i="7"/>
  <c r="R264" i="7"/>
  <c r="P264" i="7"/>
  <c r="Q264" i="7" s="1"/>
  <c r="N264" i="7"/>
  <c r="O264" i="7" s="1"/>
  <c r="L264" i="7"/>
  <c r="M264" i="7" s="1"/>
  <c r="V263" i="7"/>
  <c r="W263" i="7" s="1"/>
  <c r="T263" i="7"/>
  <c r="U263" i="7" s="1"/>
  <c r="R263" i="7"/>
  <c r="S263" i="7" s="1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N262" i="7"/>
  <c r="O262" i="7" s="1"/>
  <c r="L262" i="7"/>
  <c r="M262" i="7" s="1"/>
  <c r="W261" i="7"/>
  <c r="V261" i="7"/>
  <c r="T261" i="7"/>
  <c r="U261" i="7" s="1"/>
  <c r="R261" i="7"/>
  <c r="S261" i="7" s="1"/>
  <c r="P261" i="7"/>
  <c r="Q261" i="7" s="1"/>
  <c r="N261" i="7"/>
  <c r="O261" i="7" s="1"/>
  <c r="L261" i="7"/>
  <c r="M261" i="7" s="1"/>
  <c r="V260" i="7"/>
  <c r="W260" i="7" s="1"/>
  <c r="T260" i="7"/>
  <c r="U260" i="7" s="1"/>
  <c r="S260" i="7"/>
  <c r="R260" i="7"/>
  <c r="P260" i="7"/>
  <c r="Q260" i="7" s="1"/>
  <c r="N260" i="7"/>
  <c r="O260" i="7" s="1"/>
  <c r="L260" i="7"/>
  <c r="M260" i="7" s="1"/>
  <c r="V259" i="7"/>
  <c r="W259" i="7" s="1"/>
  <c r="T259" i="7"/>
  <c r="U259" i="7" s="1"/>
  <c r="R259" i="7"/>
  <c r="S259" i="7" s="1"/>
  <c r="P259" i="7"/>
  <c r="Q259" i="7" s="1"/>
  <c r="O259" i="7"/>
  <c r="N259" i="7"/>
  <c r="L259" i="7"/>
  <c r="M259" i="7" s="1"/>
  <c r="V258" i="7"/>
  <c r="W258" i="7" s="1"/>
  <c r="T258" i="7"/>
  <c r="U258" i="7" s="1"/>
  <c r="R258" i="7"/>
  <c r="S258" i="7" s="1"/>
  <c r="P258" i="7"/>
  <c r="Q258" i="7" s="1"/>
  <c r="N258" i="7"/>
  <c r="O258" i="7" s="1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V256" i="7"/>
  <c r="W256" i="7" s="1"/>
  <c r="T256" i="7"/>
  <c r="U256" i="7" s="1"/>
  <c r="S256" i="7"/>
  <c r="R256" i="7"/>
  <c r="P256" i="7"/>
  <c r="Q256" i="7" s="1"/>
  <c r="N256" i="7"/>
  <c r="O256" i="7" s="1"/>
  <c r="L256" i="7"/>
  <c r="M256" i="7" s="1"/>
  <c r="V255" i="7"/>
  <c r="W255" i="7" s="1"/>
  <c r="T255" i="7"/>
  <c r="U255" i="7" s="1"/>
  <c r="R255" i="7"/>
  <c r="S255" i="7" s="1"/>
  <c r="P255" i="7"/>
  <c r="Q255" i="7" s="1"/>
  <c r="O255" i="7"/>
  <c r="N255" i="7"/>
  <c r="L255" i="7"/>
  <c r="M255" i="7" s="1"/>
  <c r="V254" i="7"/>
  <c r="W254" i="7" s="1"/>
  <c r="T254" i="7"/>
  <c r="U254" i="7" s="1"/>
  <c r="R254" i="7"/>
  <c r="S254" i="7" s="1"/>
  <c r="P254" i="7"/>
  <c r="Q254" i="7" s="1"/>
  <c r="N254" i="7"/>
  <c r="O254" i="7" s="1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V252" i="7"/>
  <c r="W252" i="7" s="1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R251" i="7"/>
  <c r="S251" i="7" s="1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N250" i="7"/>
  <c r="O250" i="7" s="1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V248" i="7"/>
  <c r="W248" i="7" s="1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R247" i="7"/>
  <c r="S247" i="7" s="1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N246" i="7"/>
  <c r="O246" i="7" s="1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V244" i="7"/>
  <c r="W244" i="7" s="1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R243" i="7"/>
  <c r="S243" i="7" s="1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N242" i="7"/>
  <c r="O242" i="7" s="1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V240" i="7"/>
  <c r="W240" i="7" s="1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R239" i="7"/>
  <c r="S239" i="7" s="1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N238" i="7"/>
  <c r="O238" i="7" s="1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V236" i="7"/>
  <c r="W236" i="7" s="1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R235" i="7"/>
  <c r="S235" i="7" s="1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N234" i="7"/>
  <c r="O234" i="7" s="1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V232" i="7"/>
  <c r="W232" i="7" s="1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R231" i="7"/>
  <c r="S231" i="7" s="1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N230" i="7"/>
  <c r="O230" i="7" s="1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V228" i="7"/>
  <c r="W228" i="7" s="1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R227" i="7"/>
  <c r="S227" i="7" s="1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N226" i="7"/>
  <c r="O226" i="7" s="1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V224" i="7"/>
  <c r="W224" i="7" s="1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R223" i="7"/>
  <c r="S223" i="7" s="1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N222" i="7"/>
  <c r="O222" i="7" s="1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V220" i="7"/>
  <c r="W220" i="7" s="1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R219" i="7"/>
  <c r="S219" i="7" s="1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N218" i="7"/>
  <c r="O218" i="7" s="1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V216" i="7"/>
  <c r="W216" i="7" s="1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R215" i="7"/>
  <c r="S215" i="7" s="1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N214" i="7"/>
  <c r="O214" i="7" s="1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V212" i="7"/>
  <c r="W212" i="7" s="1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R211" i="7"/>
  <c r="S211" i="7" s="1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N210" i="7"/>
  <c r="O210" i="7" s="1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V208" i="7"/>
  <c r="W208" i="7" s="1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R207" i="7"/>
  <c r="S207" i="7" s="1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N206" i="7"/>
  <c r="O206" i="7" s="1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V204" i="7"/>
  <c r="W204" i="7" s="1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R49" i="7"/>
  <c r="S49" i="7" s="1"/>
  <c r="P49" i="7"/>
  <c r="Q49" i="7" s="1"/>
  <c r="N49" i="7"/>
  <c r="O49" i="7" s="1"/>
  <c r="L49" i="7"/>
  <c r="M49" i="7" s="1"/>
  <c r="V48" i="7"/>
  <c r="W48" i="7" s="1"/>
  <c r="T48" i="7"/>
  <c r="U48" i="7" s="1"/>
  <c r="R48" i="7"/>
  <c r="S48" i="7" s="1"/>
  <c r="P48" i="7"/>
  <c r="Q48" i="7" s="1"/>
  <c r="N48" i="7"/>
  <c r="O48" i="7" s="1"/>
  <c r="L48" i="7"/>
  <c r="M48" i="7" s="1"/>
  <c r="V47" i="7"/>
  <c r="W47" i="7" s="1"/>
  <c r="T47" i="7"/>
  <c r="U47" i="7" s="1"/>
  <c r="R47" i="7"/>
  <c r="S47" i="7" s="1"/>
  <c r="P47" i="7"/>
  <c r="Q47" i="7" s="1"/>
  <c r="N47" i="7"/>
  <c r="O47" i="7" s="1"/>
  <c r="L47" i="7"/>
  <c r="M47" i="7" s="1"/>
  <c r="V46" i="7"/>
  <c r="W46" i="7" s="1"/>
  <c r="T46" i="7"/>
  <c r="U46" i="7" s="1"/>
  <c r="R46" i="7"/>
  <c r="S46" i="7" s="1"/>
  <c r="P46" i="7"/>
  <c r="Q46" i="7" s="1"/>
  <c r="N46" i="7"/>
  <c r="O46" i="7" s="1"/>
  <c r="L46" i="7"/>
  <c r="M46" i="7" s="1"/>
  <c r="V45" i="7"/>
  <c r="W45" i="7" s="1"/>
  <c r="T45" i="7"/>
  <c r="U45" i="7" s="1"/>
  <c r="R45" i="7"/>
  <c r="S45" i="7" s="1"/>
  <c r="P45" i="7"/>
  <c r="Q45" i="7" s="1"/>
  <c r="N45" i="7"/>
  <c r="O45" i="7" s="1"/>
  <c r="L45" i="7"/>
  <c r="M45" i="7" s="1"/>
  <c r="V44" i="7"/>
  <c r="W44" i="7" s="1"/>
  <c r="T44" i="7"/>
  <c r="U44" i="7" s="1"/>
  <c r="R44" i="7"/>
  <c r="S44" i="7" s="1"/>
  <c r="P44" i="7"/>
  <c r="Q44" i="7" s="1"/>
  <c r="N44" i="7"/>
  <c r="O44" i="7" s="1"/>
  <c r="L44" i="7"/>
  <c r="M44" i="7" s="1"/>
  <c r="V43" i="7"/>
  <c r="W43" i="7" s="1"/>
  <c r="T43" i="7"/>
  <c r="U43" i="7" s="1"/>
  <c r="R43" i="7"/>
  <c r="S43" i="7" s="1"/>
  <c r="P43" i="7"/>
  <c r="Q43" i="7" s="1"/>
  <c r="N43" i="7"/>
  <c r="O43" i="7" s="1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N34" i="7"/>
  <c r="O34" i="7" s="1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V32" i="7"/>
  <c r="W32" i="7" s="1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R31" i="7"/>
  <c r="S31" i="7" s="1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N30" i="7"/>
  <c r="O30" i="7" s="1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N21" i="7"/>
  <c r="O21" i="7" s="1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V19" i="7"/>
  <c r="W19" i="7" s="1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R18" i="7"/>
  <c r="S18" i="7" s="1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N17" i="7"/>
  <c r="O17" i="7" s="1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V15" i="7"/>
  <c r="W15" i="7" s="1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T384" i="2"/>
  <c r="T385" i="2"/>
  <c r="T386" i="2"/>
  <c r="T387" i="2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T416" i="2"/>
  <c r="T417" i="2"/>
  <c r="T418" i="2"/>
  <c r="T419" i="2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T448" i="2"/>
  <c r="T449" i="2"/>
  <c r="T450" i="2"/>
  <c r="T451" i="2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T464" i="2"/>
  <c r="T465" i="2"/>
  <c r="T466" i="2"/>
  <c r="T467" i="2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T480" i="2"/>
  <c r="T481" i="2"/>
  <c r="T482" i="2"/>
  <c r="T483" i="2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T496" i="2"/>
  <c r="T497" i="2"/>
  <c r="T498" i="2"/>
  <c r="T499" i="2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T512" i="2"/>
  <c r="T513" i="2"/>
  <c r="T514" i="2"/>
  <c r="T515" i="2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T544" i="2"/>
  <c r="T545" i="2"/>
  <c r="T546" i="2"/>
  <c r="T547" i="2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T576" i="2"/>
  <c r="T577" i="2"/>
  <c r="T578" i="2"/>
  <c r="T579" i="2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T592" i="2"/>
  <c r="T593" i="2"/>
  <c r="T594" i="2"/>
  <c r="T595" i="2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T608" i="2"/>
  <c r="T609" i="2"/>
  <c r="T610" i="2"/>
  <c r="T611" i="2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T624" i="2"/>
  <c r="T625" i="2"/>
  <c r="T626" i="2"/>
  <c r="T627" i="2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T640" i="2"/>
  <c r="T641" i="2"/>
  <c r="T642" i="2"/>
  <c r="T643" i="2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T672" i="2"/>
  <c r="T673" i="2"/>
  <c r="T674" i="2"/>
  <c r="T675" i="2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T704" i="2"/>
  <c r="T705" i="2"/>
  <c r="T706" i="2"/>
  <c r="T707" i="2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T720" i="2"/>
  <c r="T721" i="2"/>
  <c r="T722" i="2"/>
  <c r="T723" i="2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T736" i="2"/>
  <c r="T737" i="2"/>
  <c r="T738" i="2"/>
  <c r="T739" i="2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T752" i="2"/>
  <c r="T753" i="2"/>
  <c r="T754" i="2"/>
  <c r="T755" i="2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T768" i="2"/>
  <c r="T769" i="2"/>
  <c r="T770" i="2"/>
  <c r="T771" i="2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T800" i="2"/>
  <c r="T801" i="2"/>
  <c r="T802" i="2"/>
  <c r="T803" i="2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T832" i="2"/>
  <c r="T833" i="2"/>
  <c r="T834" i="2"/>
  <c r="T835" i="2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T848" i="2"/>
  <c r="T849" i="2"/>
  <c r="T850" i="2"/>
  <c r="T851" i="2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14" i="2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BD274" i="3" l="1"/>
  <c r="BG274" i="3" s="1"/>
  <c r="BD214" i="3"/>
  <c r="BG214" i="3" s="1"/>
  <c r="BD210" i="3"/>
  <c r="BG210" i="3" s="1"/>
  <c r="BD138" i="3"/>
  <c r="BG138" i="3" s="1"/>
  <c r="BD106" i="3"/>
  <c r="BG106" i="3" s="1"/>
  <c r="BD78" i="3"/>
  <c r="BG78" i="3" s="1"/>
  <c r="BD346" i="3"/>
  <c r="BG346" i="3" s="1"/>
  <c r="BD338" i="3"/>
  <c r="BG338" i="3" s="1"/>
  <c r="BD333" i="3"/>
  <c r="BG333" i="3" s="1"/>
  <c r="BD205" i="3"/>
  <c r="BG205" i="3" s="1"/>
  <c r="BD125" i="3"/>
  <c r="BG125" i="3" s="1"/>
  <c r="BD65" i="3"/>
  <c r="BG65" i="3" s="1"/>
  <c r="BD1143" i="3"/>
  <c r="BG1143" i="3" s="1"/>
  <c r="BD1131" i="3"/>
  <c r="BG1131" i="3" s="1"/>
  <c r="BD1063" i="3"/>
  <c r="BG1063" i="3" s="1"/>
  <c r="BD999" i="3"/>
  <c r="BG999" i="3" s="1"/>
  <c r="BD987" i="3"/>
  <c r="BG987" i="3" s="1"/>
  <c r="BD843" i="3"/>
  <c r="BG843" i="3" s="1"/>
  <c r="BD839" i="3"/>
  <c r="BG839" i="3" s="1"/>
  <c r="BD699" i="3"/>
  <c r="BG699" i="3" s="1"/>
  <c r="BD240" i="3"/>
  <c r="BG240" i="3" s="1"/>
  <c r="BD64" i="3"/>
  <c r="BG64" i="3" s="1"/>
  <c r="BD52" i="3"/>
  <c r="BG52" i="3" s="1"/>
  <c r="BD359" i="3"/>
  <c r="BG359" i="3" s="1"/>
  <c r="BD327" i="3"/>
  <c r="BG327" i="3" s="1"/>
  <c r="BD323" i="3"/>
  <c r="BG323" i="3" s="1"/>
  <c r="BD263" i="3"/>
  <c r="BG263" i="3" s="1"/>
  <c r="BD259" i="3"/>
  <c r="BG259" i="3" s="1"/>
  <c r="BD199" i="3"/>
  <c r="BG199" i="3" s="1"/>
  <c r="BD183" i="3"/>
  <c r="BG183" i="3" s="1"/>
  <c r="BD119" i="3"/>
  <c r="BG119" i="3" s="1"/>
  <c r="BD59" i="3"/>
  <c r="BG59" i="3" s="1"/>
  <c r="BD55" i="3"/>
  <c r="BG55" i="3" s="1"/>
  <c r="BD19" i="3"/>
  <c r="BG19" i="3" s="1"/>
  <c r="AY306" i="3"/>
  <c r="BB306" i="3" s="1"/>
  <c r="AY254" i="3"/>
  <c r="BB254" i="3" s="1"/>
  <c r="AY246" i="3"/>
  <c r="BB246" i="3" s="1"/>
  <c r="AY178" i="3"/>
  <c r="BB178" i="3" s="1"/>
  <c r="AY122" i="3"/>
  <c r="BB122" i="3" s="1"/>
  <c r="AY70" i="3"/>
  <c r="BB70" i="3" s="1"/>
  <c r="AY325" i="3"/>
  <c r="BB325" i="3" s="1"/>
  <c r="AY213" i="3"/>
  <c r="BB213" i="3" s="1"/>
  <c r="AY101" i="3"/>
  <c r="BB101" i="3" s="1"/>
  <c r="AY77" i="3"/>
  <c r="BB77" i="3" s="1"/>
  <c r="AY13" i="3"/>
  <c r="BB13" i="3" s="1"/>
  <c r="AY318" i="3"/>
  <c r="BB318" i="3" s="1"/>
  <c r="AY310" i="3"/>
  <c r="BB310" i="3" s="1"/>
  <c r="AY242" i="3"/>
  <c r="BB242" i="3" s="1"/>
  <c r="AY162" i="3"/>
  <c r="BB162" i="3" s="1"/>
  <c r="AY102" i="3"/>
  <c r="BB102" i="3" s="1"/>
  <c r="AY94" i="3"/>
  <c r="BB94" i="3" s="1"/>
  <c r="AY357" i="3"/>
  <c r="BB357" i="3" s="1"/>
  <c r="AY229" i="3"/>
  <c r="BB229" i="3" s="1"/>
  <c r="AY17" i="3"/>
  <c r="BB17" i="3" s="1"/>
  <c r="AY280" i="3"/>
  <c r="BB280" i="3" s="1"/>
  <c r="AY208" i="3"/>
  <c r="BB208" i="3" s="1"/>
  <c r="AY128" i="3"/>
  <c r="BB128" i="3" s="1"/>
  <c r="AY52" i="3"/>
  <c r="BB52" i="3" s="1"/>
  <c r="AY351" i="3"/>
  <c r="BB351" i="3" s="1"/>
  <c r="AY319" i="3"/>
  <c r="BB319" i="3" s="1"/>
  <c r="AY287" i="3"/>
  <c r="BB287" i="3" s="1"/>
  <c r="AY255" i="3"/>
  <c r="BB255" i="3" s="1"/>
  <c r="AY227" i="3"/>
  <c r="BB227" i="3" s="1"/>
  <c r="AY207" i="3"/>
  <c r="BB207" i="3" s="1"/>
  <c r="AY175" i="3"/>
  <c r="BB175" i="3" s="1"/>
  <c r="AY159" i="3"/>
  <c r="BB159" i="3" s="1"/>
  <c r="AY151" i="3"/>
  <c r="BB151" i="3" s="1"/>
  <c r="AY135" i="3"/>
  <c r="BB135" i="3" s="1"/>
  <c r="AY131" i="3"/>
  <c r="BB131" i="3" s="1"/>
  <c r="AY111" i="3"/>
  <c r="BB111" i="3" s="1"/>
  <c r="AY95" i="3"/>
  <c r="BB95" i="3" s="1"/>
  <c r="AY87" i="3"/>
  <c r="BB87" i="3" s="1"/>
  <c r="AY71" i="3"/>
  <c r="BB71" i="3" s="1"/>
  <c r="AY67" i="3"/>
  <c r="BB67" i="3" s="1"/>
  <c r="AT253" i="3"/>
  <c r="AW253" i="3" s="1"/>
  <c r="AT141" i="3"/>
  <c r="AW141" i="3" s="1"/>
  <c r="AT117" i="3"/>
  <c r="AW117" i="3" s="1"/>
  <c r="AT257" i="3"/>
  <c r="AW257" i="3" s="1"/>
  <c r="AT113" i="3"/>
  <c r="AW113" i="3" s="1"/>
  <c r="AT340" i="3"/>
  <c r="AW340" i="3" s="1"/>
  <c r="AT308" i="3"/>
  <c r="AW308" i="3" s="1"/>
  <c r="AT276" i="3"/>
  <c r="AW276" i="3" s="1"/>
  <c r="AT244" i="3"/>
  <c r="AW244" i="3" s="1"/>
  <c r="AT212" i="3"/>
  <c r="AW212" i="3" s="1"/>
  <c r="AT180" i="3"/>
  <c r="AW180" i="3" s="1"/>
  <c r="AT148" i="3"/>
  <c r="AW148" i="3" s="1"/>
  <c r="AT136" i="3"/>
  <c r="AW136" i="3" s="1"/>
  <c r="AT104" i="3"/>
  <c r="AW104" i="3" s="1"/>
  <c r="AT68" i="3"/>
  <c r="AW68" i="3" s="1"/>
  <c r="AT32" i="3"/>
  <c r="AW32" i="3" s="1"/>
  <c r="AT307" i="3"/>
  <c r="AW307" i="3" s="1"/>
  <c r="AT243" i="3"/>
  <c r="AW243" i="3" s="1"/>
  <c r="AT155" i="3"/>
  <c r="AW155" i="3" s="1"/>
  <c r="AO1037" i="3"/>
  <c r="AR1037" i="3" s="1"/>
  <c r="AO941" i="3"/>
  <c r="AR941" i="3" s="1"/>
  <c r="AO334" i="3"/>
  <c r="AR334" i="3" s="1"/>
  <c r="O237" i="2"/>
  <c r="AO238" i="3" s="1"/>
  <c r="AR238" i="3" s="1"/>
  <c r="AO315" i="3"/>
  <c r="AR315" i="3" s="1"/>
  <c r="AO155" i="3"/>
  <c r="AR155" i="3" s="1"/>
  <c r="AO87" i="3"/>
  <c r="AR87" i="3" s="1"/>
  <c r="AO330" i="3"/>
  <c r="AR330" i="3" s="1"/>
  <c r="AO210" i="3"/>
  <c r="AR210" i="3" s="1"/>
  <c r="O617" i="2"/>
  <c r="AO913" i="3" s="1"/>
  <c r="AR913" i="3" s="1"/>
  <c r="O364" i="2"/>
  <c r="AO365" i="3"/>
  <c r="AR365" i="3" s="1"/>
  <c r="O356" i="2"/>
  <c r="AO357" i="3" s="1"/>
  <c r="AR357" i="3" s="1"/>
  <c r="O348" i="2"/>
  <c r="AO349" i="3"/>
  <c r="AR349" i="3" s="1"/>
  <c r="O344" i="2"/>
  <c r="AO345" i="3" s="1"/>
  <c r="AR345" i="3" s="1"/>
  <c r="O340" i="2"/>
  <c r="AO341" i="3"/>
  <c r="AR341" i="3" s="1"/>
  <c r="O336" i="2"/>
  <c r="AO337" i="3" s="1"/>
  <c r="AR337" i="3" s="1"/>
  <c r="O332" i="2"/>
  <c r="AO333" i="3"/>
  <c r="AR333" i="3" s="1"/>
  <c r="O328" i="2"/>
  <c r="AO329" i="3" s="1"/>
  <c r="AR329" i="3" s="1"/>
  <c r="O324" i="2"/>
  <c r="AO325" i="3"/>
  <c r="AR325" i="3" s="1"/>
  <c r="O320" i="2"/>
  <c r="AO321" i="3" s="1"/>
  <c r="AR321" i="3" s="1"/>
  <c r="O316" i="2"/>
  <c r="AO317" i="3"/>
  <c r="AR317" i="3" s="1"/>
  <c r="O312" i="2"/>
  <c r="AO313" i="3" s="1"/>
  <c r="AR313" i="3" s="1"/>
  <c r="O308" i="2"/>
  <c r="AO309" i="3"/>
  <c r="AR309" i="3" s="1"/>
  <c r="O304" i="2"/>
  <c r="AO305" i="3" s="1"/>
  <c r="AR305" i="3" s="1"/>
  <c r="O300" i="2"/>
  <c r="AO301" i="3"/>
  <c r="AR301" i="3" s="1"/>
  <c r="O296" i="2"/>
  <c r="AO297" i="3" s="1"/>
  <c r="AR297" i="3" s="1"/>
  <c r="O292" i="2"/>
  <c r="AO293" i="3"/>
  <c r="AR293" i="3" s="1"/>
  <c r="O288" i="2"/>
  <c r="AO289" i="3" s="1"/>
  <c r="AR289" i="3" s="1"/>
  <c r="O284" i="2"/>
  <c r="AO285" i="3"/>
  <c r="AR285" i="3" s="1"/>
  <c r="O276" i="2"/>
  <c r="AO277" i="3" s="1"/>
  <c r="AR277" i="3" s="1"/>
  <c r="O272" i="2"/>
  <c r="AO273" i="3"/>
  <c r="AR273" i="3" s="1"/>
  <c r="O268" i="2"/>
  <c r="AO269" i="3" s="1"/>
  <c r="AR269" i="3" s="1"/>
  <c r="O264" i="2"/>
  <c r="AO265" i="3"/>
  <c r="AR265" i="3" s="1"/>
  <c r="O260" i="2"/>
  <c r="AO261" i="3" s="1"/>
  <c r="AR261" i="3" s="1"/>
  <c r="O252" i="2"/>
  <c r="AO253" i="3"/>
  <c r="AR253" i="3" s="1"/>
  <c r="O248" i="2"/>
  <c r="AO249" i="3" s="1"/>
  <c r="AR249" i="3" s="1"/>
  <c r="O244" i="2"/>
  <c r="AO245" i="3"/>
  <c r="AR245" i="3" s="1"/>
  <c r="O240" i="2"/>
  <c r="AO241" i="3" s="1"/>
  <c r="AR241" i="3" s="1"/>
  <c r="O236" i="2"/>
  <c r="AO237" i="3"/>
  <c r="AR237" i="3" s="1"/>
  <c r="O232" i="2"/>
  <c r="AO233" i="3" s="1"/>
  <c r="AR233" i="3" s="1"/>
  <c r="O228" i="2"/>
  <c r="AO229" i="3"/>
  <c r="AR229" i="3" s="1"/>
  <c r="O224" i="2"/>
  <c r="AO225" i="3" s="1"/>
  <c r="AR225" i="3" s="1"/>
  <c r="O220" i="2"/>
  <c r="AO221" i="3"/>
  <c r="AR221" i="3" s="1"/>
  <c r="O216" i="2"/>
  <c r="AO217" i="3" s="1"/>
  <c r="AR217" i="3" s="1"/>
  <c r="O212" i="2"/>
  <c r="AO213" i="3"/>
  <c r="AR213" i="3" s="1"/>
  <c r="O208" i="2"/>
  <c r="AO209" i="3" s="1"/>
  <c r="AR209" i="3" s="1"/>
  <c r="O204" i="2"/>
  <c r="AO205" i="3"/>
  <c r="AR205" i="3" s="1"/>
  <c r="O200" i="2"/>
  <c r="AO201" i="3" s="1"/>
  <c r="AR201" i="3" s="1"/>
  <c r="O196" i="2"/>
  <c r="AO379" i="3" s="1"/>
  <c r="AR379" i="3" s="1"/>
  <c r="AO197" i="3"/>
  <c r="AR197" i="3" s="1"/>
  <c r="O192" i="2"/>
  <c r="AO193" i="3"/>
  <c r="AR193" i="3" s="1"/>
  <c r="AO375" i="3"/>
  <c r="AR375" i="3" s="1"/>
  <c r="O188" i="2"/>
  <c r="AO189" i="3" s="1"/>
  <c r="AR189" i="3" s="1"/>
  <c r="AO371" i="3"/>
  <c r="AR371" i="3" s="1"/>
  <c r="O184" i="2"/>
  <c r="AO185" i="3" s="1"/>
  <c r="AR185" i="3" s="1"/>
  <c r="O180" i="2"/>
  <c r="AO181" i="3"/>
  <c r="AR181" i="3" s="1"/>
  <c r="O176" i="2"/>
  <c r="AO177" i="3" s="1"/>
  <c r="AR177" i="3" s="1"/>
  <c r="O172" i="2"/>
  <c r="AO173" i="3"/>
  <c r="AR173" i="3" s="1"/>
  <c r="O168" i="2"/>
  <c r="AO169" i="3" s="1"/>
  <c r="AR169" i="3" s="1"/>
  <c r="O164" i="2"/>
  <c r="AO165" i="3"/>
  <c r="AR165" i="3" s="1"/>
  <c r="O160" i="2"/>
  <c r="AO161" i="3" s="1"/>
  <c r="AR161" i="3" s="1"/>
  <c r="O156" i="2"/>
  <c r="AO157" i="3"/>
  <c r="AR157" i="3" s="1"/>
  <c r="O152" i="2"/>
  <c r="AO153" i="3" s="1"/>
  <c r="AR153" i="3" s="1"/>
  <c r="O148" i="2"/>
  <c r="AO149" i="3"/>
  <c r="AR149" i="3" s="1"/>
  <c r="O144" i="2"/>
  <c r="AO145" i="3" s="1"/>
  <c r="AR145" i="3" s="1"/>
  <c r="O140" i="2"/>
  <c r="AO141" i="3"/>
  <c r="AR141" i="3" s="1"/>
  <c r="O136" i="2"/>
  <c r="AO137" i="3" s="1"/>
  <c r="AR137" i="3" s="1"/>
  <c r="O132" i="2"/>
  <c r="AO133" i="3"/>
  <c r="AR133" i="3" s="1"/>
  <c r="O128" i="2"/>
  <c r="AO129" i="3" s="1"/>
  <c r="AR129" i="3" s="1"/>
  <c r="O124" i="2"/>
  <c r="AO125" i="3"/>
  <c r="AR125" i="3" s="1"/>
  <c r="O120" i="2"/>
  <c r="AO121" i="3" s="1"/>
  <c r="AR121" i="3" s="1"/>
  <c r="O116" i="2"/>
  <c r="AO117" i="3"/>
  <c r="AR117" i="3" s="1"/>
  <c r="O112" i="2"/>
  <c r="AO113" i="3" s="1"/>
  <c r="AR113" i="3" s="1"/>
  <c r="O108" i="2"/>
  <c r="AO109" i="3"/>
  <c r="AR109" i="3" s="1"/>
  <c r="O104" i="2"/>
  <c r="AO105" i="3" s="1"/>
  <c r="AR105" i="3" s="1"/>
  <c r="O100" i="2"/>
  <c r="AO101" i="3"/>
  <c r="AR101" i="3" s="1"/>
  <c r="O96" i="2"/>
  <c r="AO97" i="3" s="1"/>
  <c r="AR97" i="3" s="1"/>
  <c r="O92" i="2"/>
  <c r="AO93" i="3"/>
  <c r="AR93" i="3" s="1"/>
  <c r="O84" i="2"/>
  <c r="AO85" i="3" s="1"/>
  <c r="AR85" i="3" s="1"/>
  <c r="O80" i="2"/>
  <c r="AO81" i="3"/>
  <c r="AR81" i="3" s="1"/>
  <c r="O76" i="2"/>
  <c r="AO77" i="3" s="1"/>
  <c r="AR77" i="3" s="1"/>
  <c r="O72" i="2"/>
  <c r="AO73" i="3"/>
  <c r="AR73" i="3" s="1"/>
  <c r="O68" i="2"/>
  <c r="AO69" i="3" s="1"/>
  <c r="AR69" i="3" s="1"/>
  <c r="O64" i="2"/>
  <c r="AO65" i="3"/>
  <c r="AR65" i="3" s="1"/>
  <c r="O60" i="2"/>
  <c r="AO61" i="3" s="1"/>
  <c r="AR61" i="3" s="1"/>
  <c r="O56" i="2"/>
  <c r="AO57" i="3"/>
  <c r="AR57" i="3" s="1"/>
  <c r="O52" i="2"/>
  <c r="AO53" i="3" s="1"/>
  <c r="AR53" i="3" s="1"/>
  <c r="O48" i="2"/>
  <c r="AO49" i="3"/>
  <c r="AR49" i="3" s="1"/>
  <c r="O44" i="2"/>
  <c r="AO45" i="3" s="1"/>
  <c r="AR45" i="3" s="1"/>
  <c r="O40" i="2"/>
  <c r="AO41" i="3"/>
  <c r="AR41" i="3" s="1"/>
  <c r="O36" i="2"/>
  <c r="AO37" i="3" s="1"/>
  <c r="AR37" i="3" s="1"/>
  <c r="O28" i="2"/>
  <c r="AO29" i="3"/>
  <c r="AR29" i="3" s="1"/>
  <c r="O24" i="2"/>
  <c r="AO25" i="3" s="1"/>
  <c r="AR25" i="3" s="1"/>
  <c r="O20" i="2"/>
  <c r="AO21" i="3"/>
  <c r="AR21" i="3" s="1"/>
  <c r="AT188" i="3"/>
  <c r="AW188" i="3" s="1"/>
  <c r="Q71" i="2"/>
  <c r="AT72" i="3"/>
  <c r="AW72" i="3" s="1"/>
  <c r="Q39" i="2"/>
  <c r="AT40" i="3" s="1"/>
  <c r="AW40" i="3" s="1"/>
  <c r="AY368" i="3"/>
  <c r="BB368" i="3" s="1"/>
  <c r="S363" i="2"/>
  <c r="AY364" i="3" s="1"/>
  <c r="BB364" i="3" s="1"/>
  <c r="S355" i="2"/>
  <c r="AY356" i="3"/>
  <c r="BB356" i="3" s="1"/>
  <c r="S347" i="2"/>
  <c r="AY348" i="3"/>
  <c r="BB348" i="3" s="1"/>
  <c r="S339" i="2"/>
  <c r="AY340" i="3"/>
  <c r="BB340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S299" i="2"/>
  <c r="AY300" i="3"/>
  <c r="BB300" i="3" s="1"/>
  <c r="S291" i="2"/>
  <c r="AY292" i="3"/>
  <c r="BB292" i="3" s="1"/>
  <c r="AY288" i="3"/>
  <c r="BB288" i="3" s="1"/>
  <c r="S283" i="2"/>
  <c r="AY284" i="3"/>
  <c r="BB284" i="3" s="1"/>
  <c r="AY276" i="3"/>
  <c r="BB276" i="3" s="1"/>
  <c r="S267" i="2"/>
  <c r="AY268" i="3" s="1"/>
  <c r="BB268" i="3" s="1"/>
  <c r="S259" i="2"/>
  <c r="AY260" i="3"/>
  <c r="BB260" i="3" s="1"/>
  <c r="AY547" i="3"/>
  <c r="BB547" i="3" s="1"/>
  <c r="S235" i="2"/>
  <c r="AY236" i="3"/>
  <c r="BB236" i="3" s="1"/>
  <c r="S227" i="2"/>
  <c r="AY228" i="3"/>
  <c r="BB228" i="3" s="1"/>
  <c r="AY224" i="3"/>
  <c r="BB224" i="3" s="1"/>
  <c r="S211" i="2"/>
  <c r="AY212" i="3"/>
  <c r="BB212" i="3" s="1"/>
  <c r="S203" i="2"/>
  <c r="AY204" i="3"/>
  <c r="BB204" i="3" s="1"/>
  <c r="S195" i="2"/>
  <c r="AY378" i="3" s="1"/>
  <c r="BB378" i="3" s="1"/>
  <c r="AY196" i="3"/>
  <c r="BB196" i="3" s="1"/>
  <c r="AY487" i="3"/>
  <c r="BB487" i="3" s="1"/>
  <c r="AY188" i="3"/>
  <c r="BB188" i="3" s="1"/>
  <c r="AY370" i="3"/>
  <c r="BB370" i="3" s="1"/>
  <c r="S179" i="2"/>
  <c r="AY180" i="3" s="1"/>
  <c r="BB180" i="3" s="1"/>
  <c r="S171" i="2"/>
  <c r="AY172" i="3"/>
  <c r="BB172" i="3" s="1"/>
  <c r="S155" i="2"/>
  <c r="AY156" i="3" s="1"/>
  <c r="BB156" i="3" s="1"/>
  <c r="S147" i="2"/>
  <c r="AY148" i="3" s="1"/>
  <c r="BB148" i="3" s="1"/>
  <c r="S139" i="2"/>
  <c r="AY140" i="3" s="1"/>
  <c r="BB140" i="3" s="1"/>
  <c r="S123" i="2"/>
  <c r="AY124" i="3"/>
  <c r="BB124" i="3" s="1"/>
  <c r="S115" i="2"/>
  <c r="AY116" i="3" s="1"/>
  <c r="BB116" i="3" s="1"/>
  <c r="S107" i="2"/>
  <c r="AY108" i="3" s="1"/>
  <c r="BB108" i="3" s="1"/>
  <c r="AY399" i="3"/>
  <c r="BB399" i="3" s="1"/>
  <c r="S99" i="2"/>
  <c r="AY100" i="3" s="1"/>
  <c r="BB100" i="3" s="1"/>
  <c r="S91" i="2"/>
  <c r="AY387" i="3" s="1"/>
  <c r="BB387" i="3" s="1"/>
  <c r="AY92" i="3"/>
  <c r="BB92" i="3" s="1"/>
  <c r="S83" i="2"/>
  <c r="AY84" i="3" s="1"/>
  <c r="BB84" i="3" s="1"/>
  <c r="S75" i="2"/>
  <c r="AY76" i="3"/>
  <c r="BB76" i="3" s="1"/>
  <c r="S59" i="2"/>
  <c r="AY60" i="3" s="1"/>
  <c r="BB60" i="3" s="1"/>
  <c r="S43" i="2"/>
  <c r="AY44" i="3"/>
  <c r="BB44" i="3" s="1"/>
  <c r="S35" i="2"/>
  <c r="AY36" i="3" s="1"/>
  <c r="BB36" i="3" s="1"/>
  <c r="S27" i="2"/>
  <c r="AY28" i="3" s="1"/>
  <c r="BB28" i="3" s="1"/>
  <c r="S23" i="2"/>
  <c r="AY24" i="3" s="1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 s="1"/>
  <c r="BG360" i="3" s="1"/>
  <c r="BD356" i="3"/>
  <c r="BG356" i="3" s="1"/>
  <c r="U347" i="2"/>
  <c r="BD348" i="3"/>
  <c r="BG348" i="3" s="1"/>
  <c r="U343" i="2"/>
  <c r="U331" i="2"/>
  <c r="BD332" i="3" s="1"/>
  <c r="BG332" i="3" s="1"/>
  <c r="U327" i="2"/>
  <c r="BD328" i="3"/>
  <c r="BG328" i="3" s="1"/>
  <c r="U315" i="2"/>
  <c r="BD316" i="3" s="1"/>
  <c r="BG316" i="3" s="1"/>
  <c r="U311" i="2"/>
  <c r="BD312" i="3" s="1"/>
  <c r="BG312" i="3" s="1"/>
  <c r="U299" i="2"/>
  <c r="BD595" i="3" s="1"/>
  <c r="BG595" i="3" s="1"/>
  <c r="BD300" i="3"/>
  <c r="BG300" i="3" s="1"/>
  <c r="U295" i="2"/>
  <c r="BD296" i="3" s="1"/>
  <c r="BG296" i="3" s="1"/>
  <c r="BD292" i="3"/>
  <c r="BG292" i="3" s="1"/>
  <c r="BD583" i="3"/>
  <c r="BG583" i="3" s="1"/>
  <c r="U283" i="2"/>
  <c r="BD284" i="3"/>
  <c r="BG284" i="3" s="1"/>
  <c r="U279" i="2"/>
  <c r="BD280" i="3" s="1"/>
  <c r="BG280" i="3" s="1"/>
  <c r="BD571" i="3"/>
  <c r="BG571" i="3" s="1"/>
  <c r="U267" i="2"/>
  <c r="BD268" i="3" s="1"/>
  <c r="BG268" i="3" s="1"/>
  <c r="U263" i="2"/>
  <c r="BD264" i="3"/>
  <c r="BG264" i="3" s="1"/>
  <c r="BD256" i="3"/>
  <c r="BG256" i="3" s="1"/>
  <c r="U251" i="2"/>
  <c r="BD252" i="3" s="1"/>
  <c r="BG252" i="3" s="1"/>
  <c r="U247" i="2"/>
  <c r="BD248" i="3"/>
  <c r="BG248" i="3" s="1"/>
  <c r="U235" i="2"/>
  <c r="U231" i="2"/>
  <c r="BD232" i="3" s="1"/>
  <c r="BG232" i="3" s="1"/>
  <c r="BD523" i="3"/>
  <c r="BG523" i="3" s="1"/>
  <c r="BD228" i="3"/>
  <c r="BG228" i="3" s="1"/>
  <c r="U219" i="2"/>
  <c r="BD220" i="3"/>
  <c r="BG220" i="3" s="1"/>
  <c r="U215" i="2"/>
  <c r="U203" i="2"/>
  <c r="BD204" i="3" s="1"/>
  <c r="BG204" i="3" s="1"/>
  <c r="U199" i="2"/>
  <c r="U187" i="2"/>
  <c r="BD370" i="3" s="1"/>
  <c r="BG370" i="3" s="1"/>
  <c r="U183" i="2"/>
  <c r="BD184" i="3"/>
  <c r="BG184" i="3" s="1"/>
  <c r="BD475" i="3"/>
  <c r="BG475" i="3" s="1"/>
  <c r="U171" i="2"/>
  <c r="BD172" i="3"/>
  <c r="BG172" i="3" s="1"/>
  <c r="U167" i="2"/>
  <c r="BD164" i="3"/>
  <c r="BG164" i="3" s="1"/>
  <c r="BD455" i="3"/>
  <c r="BG455" i="3" s="1"/>
  <c r="U155" i="2"/>
  <c r="BD156" i="3"/>
  <c r="BG156" i="3" s="1"/>
  <c r="U151" i="2"/>
  <c r="BD152" i="3" s="1"/>
  <c r="BG152" i="3" s="1"/>
  <c r="BD148" i="3"/>
  <c r="BG148" i="3" s="1"/>
  <c r="U139" i="2"/>
  <c r="BD140" i="3" s="1"/>
  <c r="BG140" i="3" s="1"/>
  <c r="U135" i="2"/>
  <c r="BD136" i="3"/>
  <c r="BG136" i="3" s="1"/>
  <c r="BD128" i="3"/>
  <c r="BG128" i="3" s="1"/>
  <c r="U123" i="2"/>
  <c r="BD124" i="3" s="1"/>
  <c r="BG124" i="3" s="1"/>
  <c r="U119" i="2"/>
  <c r="BD120" i="3"/>
  <c r="BG120" i="3" s="1"/>
  <c r="U107" i="2"/>
  <c r="BD108" i="3"/>
  <c r="BG108" i="3" s="1"/>
  <c r="U103" i="2"/>
  <c r="BD100" i="3"/>
  <c r="BG100" i="3" s="1"/>
  <c r="U91" i="2"/>
  <c r="BD92" i="3"/>
  <c r="BG92" i="3" s="1"/>
  <c r="U87" i="2"/>
  <c r="U75" i="2"/>
  <c r="BD76" i="3"/>
  <c r="BG76" i="3" s="1"/>
  <c r="U71" i="2"/>
  <c r="BD72" i="3" s="1"/>
  <c r="BG72" i="3" s="1"/>
  <c r="U59" i="2"/>
  <c r="BD60" i="3"/>
  <c r="BG60" i="3" s="1"/>
  <c r="U55" i="2"/>
  <c r="BD56" i="3" s="1"/>
  <c r="BG56" i="3" s="1"/>
  <c r="U43" i="2"/>
  <c r="BD44" i="3"/>
  <c r="BG44" i="3" s="1"/>
  <c r="U39" i="2"/>
  <c r="BD40" i="3" s="1"/>
  <c r="BG40" i="3" s="1"/>
  <c r="U27" i="2"/>
  <c r="BD28" i="3"/>
  <c r="BG28" i="3" s="1"/>
  <c r="U23" i="2"/>
  <c r="BD24" i="3" s="1"/>
  <c r="BG24" i="3" s="1"/>
  <c r="U19" i="2"/>
  <c r="BD20" i="3"/>
  <c r="BG20" i="3" s="1"/>
  <c r="U11" i="2"/>
  <c r="BD12" i="3" s="1"/>
  <c r="BG12" i="3" s="1"/>
  <c r="U751" i="2"/>
  <c r="BD1047" i="3" s="1"/>
  <c r="BG1047" i="3" s="1"/>
  <c r="U623" i="2"/>
  <c r="BD919" i="3" s="1"/>
  <c r="BG919" i="3" s="1"/>
  <c r="U495" i="2"/>
  <c r="BD791" i="3" s="1"/>
  <c r="BG791" i="3" s="1"/>
  <c r="U367" i="2"/>
  <c r="BD368" i="3" s="1"/>
  <c r="BG368" i="3" s="1"/>
  <c r="U239" i="2"/>
  <c r="U111" i="2"/>
  <c r="BD112" i="3" s="1"/>
  <c r="BG112" i="3" s="1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 s="1"/>
  <c r="AR364" i="3" s="1"/>
  <c r="O359" i="2"/>
  <c r="AO360" i="3"/>
  <c r="AR360" i="3" s="1"/>
  <c r="O355" i="2"/>
  <c r="AO356" i="3" s="1"/>
  <c r="AR356" i="3" s="1"/>
  <c r="O351" i="2"/>
  <c r="AO352" i="3"/>
  <c r="AR352" i="3" s="1"/>
  <c r="O347" i="2"/>
  <c r="AO348" i="3" s="1"/>
  <c r="AR348" i="3" s="1"/>
  <c r="O343" i="2"/>
  <c r="AO344" i="3"/>
  <c r="AR344" i="3" s="1"/>
  <c r="O339" i="2"/>
  <c r="AO340" i="3" s="1"/>
  <c r="AR340" i="3" s="1"/>
  <c r="O335" i="2"/>
  <c r="AO336" i="3"/>
  <c r="AR336" i="3" s="1"/>
  <c r="O331" i="2"/>
  <c r="AO332" i="3" s="1"/>
  <c r="AR332" i="3" s="1"/>
  <c r="O327" i="2"/>
  <c r="AO328" i="3"/>
  <c r="AR328" i="3" s="1"/>
  <c r="O323" i="2"/>
  <c r="AO324" i="3" s="1"/>
  <c r="AR324" i="3" s="1"/>
  <c r="O319" i="2"/>
  <c r="AO320" i="3"/>
  <c r="AR320" i="3" s="1"/>
  <c r="O315" i="2"/>
  <c r="AO316" i="3" s="1"/>
  <c r="AR316" i="3" s="1"/>
  <c r="O311" i="2"/>
  <c r="AO312" i="3"/>
  <c r="AR312" i="3" s="1"/>
  <c r="O307" i="2"/>
  <c r="AO308" i="3" s="1"/>
  <c r="AR308" i="3" s="1"/>
  <c r="O303" i="2"/>
  <c r="AO304" i="3"/>
  <c r="AR304" i="3" s="1"/>
  <c r="O299" i="2"/>
  <c r="AO300" i="3" s="1"/>
  <c r="AR300" i="3" s="1"/>
  <c r="O295" i="2"/>
  <c r="AO296" i="3"/>
  <c r="AR296" i="3" s="1"/>
  <c r="O291" i="2"/>
  <c r="AO292" i="3" s="1"/>
  <c r="AR292" i="3" s="1"/>
  <c r="O287" i="2"/>
  <c r="AO288" i="3"/>
  <c r="AR288" i="3" s="1"/>
  <c r="O283" i="2"/>
  <c r="AO284" i="3" s="1"/>
  <c r="AR284" i="3" s="1"/>
  <c r="O279" i="2"/>
  <c r="AO280" i="3"/>
  <c r="AR280" i="3" s="1"/>
  <c r="O275" i="2"/>
  <c r="AO276" i="3" s="1"/>
  <c r="AR276" i="3" s="1"/>
  <c r="O271" i="2"/>
  <c r="AO272" i="3"/>
  <c r="AR272" i="3" s="1"/>
  <c r="O267" i="2"/>
  <c r="AO268" i="3" s="1"/>
  <c r="AR268" i="3" s="1"/>
  <c r="O263" i="2"/>
  <c r="AO264" i="3"/>
  <c r="AR264" i="3" s="1"/>
  <c r="O259" i="2"/>
  <c r="AO260" i="3" s="1"/>
  <c r="AR260" i="3" s="1"/>
  <c r="O255" i="2"/>
  <c r="AO256" i="3"/>
  <c r="AR256" i="3" s="1"/>
  <c r="O251" i="2"/>
  <c r="AO252" i="3" s="1"/>
  <c r="AR252" i="3" s="1"/>
  <c r="O247" i="2"/>
  <c r="AO543" i="3" s="1"/>
  <c r="AR543" i="3" s="1"/>
  <c r="O243" i="2"/>
  <c r="AO244" i="3" s="1"/>
  <c r="AR244" i="3" s="1"/>
  <c r="O239" i="2"/>
  <c r="AO240" i="3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/>
  <c r="AR224" i="3" s="1"/>
  <c r="O219" i="2"/>
  <c r="AO220" i="3" s="1"/>
  <c r="AR220" i="3" s="1"/>
  <c r="O215" i="2"/>
  <c r="AO511" i="3" s="1"/>
  <c r="AR511" i="3" s="1"/>
  <c r="O211" i="2"/>
  <c r="AO212" i="3" s="1"/>
  <c r="AR212" i="3" s="1"/>
  <c r="O207" i="2"/>
  <c r="AO208" i="3"/>
  <c r="AR208" i="3" s="1"/>
  <c r="O203" i="2"/>
  <c r="AO204" i="3" s="1"/>
  <c r="AR204" i="3" s="1"/>
  <c r="O199" i="2"/>
  <c r="AO200" i="3" s="1"/>
  <c r="AR200" i="3" s="1"/>
  <c r="O195" i="2"/>
  <c r="AO196" i="3" s="1"/>
  <c r="AR196" i="3" s="1"/>
  <c r="AO378" i="3"/>
  <c r="AR378" i="3" s="1"/>
  <c r="O191" i="2"/>
  <c r="O187" i="2"/>
  <c r="AO370" i="3" s="1"/>
  <c r="AR370" i="3" s="1"/>
  <c r="AO188" i="3"/>
  <c r="AR188" i="3" s="1"/>
  <c r="O183" i="2"/>
  <c r="AO184" i="3"/>
  <c r="AR184" i="3" s="1"/>
  <c r="O179" i="2"/>
  <c r="AO180" i="3" s="1"/>
  <c r="AR180" i="3" s="1"/>
  <c r="O175" i="2"/>
  <c r="AO176" i="3"/>
  <c r="AR176" i="3" s="1"/>
  <c r="O171" i="2"/>
  <c r="AO172" i="3" s="1"/>
  <c r="AR172" i="3" s="1"/>
  <c r="O167" i="2"/>
  <c r="AO168" i="3"/>
  <c r="AR168" i="3" s="1"/>
  <c r="O163" i="2"/>
  <c r="AO164" i="3" s="1"/>
  <c r="AR164" i="3" s="1"/>
  <c r="O159" i="2"/>
  <c r="AO160" i="3"/>
  <c r="AR160" i="3" s="1"/>
  <c r="O155" i="2"/>
  <c r="AO156" i="3" s="1"/>
  <c r="AR156" i="3" s="1"/>
  <c r="O151" i="2"/>
  <c r="AO152" i="3"/>
  <c r="AR152" i="3" s="1"/>
  <c r="O147" i="2"/>
  <c r="AO148" i="3" s="1"/>
  <c r="AR148" i="3" s="1"/>
  <c r="O143" i="2"/>
  <c r="AO144" i="3"/>
  <c r="AR144" i="3" s="1"/>
  <c r="O139" i="2"/>
  <c r="AO140" i="3" s="1"/>
  <c r="AR140" i="3" s="1"/>
  <c r="O135" i="2"/>
  <c r="AO136" i="3"/>
  <c r="AR136" i="3" s="1"/>
  <c r="O131" i="2"/>
  <c r="AO132" i="3" s="1"/>
  <c r="AR132" i="3" s="1"/>
  <c r="O127" i="2"/>
  <c r="AO128" i="3"/>
  <c r="AR128" i="3" s="1"/>
  <c r="O123" i="2"/>
  <c r="AO124" i="3" s="1"/>
  <c r="AR124" i="3" s="1"/>
  <c r="O119" i="2"/>
  <c r="AO120" i="3"/>
  <c r="AR120" i="3" s="1"/>
  <c r="O115" i="2"/>
  <c r="AO116" i="3" s="1"/>
  <c r="AR116" i="3" s="1"/>
  <c r="O111" i="2"/>
  <c r="AO112" i="3"/>
  <c r="AR112" i="3" s="1"/>
  <c r="O107" i="2"/>
  <c r="AO108" i="3" s="1"/>
  <c r="AR108" i="3" s="1"/>
  <c r="O103" i="2"/>
  <c r="AO104" i="3"/>
  <c r="AR104" i="3" s="1"/>
  <c r="O99" i="2"/>
  <c r="AO100" i="3" s="1"/>
  <c r="AR100" i="3" s="1"/>
  <c r="O95" i="2"/>
  <c r="AO96" i="3"/>
  <c r="AR96" i="3" s="1"/>
  <c r="O91" i="2"/>
  <c r="AO92" i="3" s="1"/>
  <c r="AR92" i="3" s="1"/>
  <c r="O87" i="2"/>
  <c r="AO88" i="3"/>
  <c r="AR88" i="3" s="1"/>
  <c r="O83" i="2"/>
  <c r="AO84" i="3" s="1"/>
  <c r="AR84" i="3" s="1"/>
  <c r="O79" i="2"/>
  <c r="AO80" i="3"/>
  <c r="AR80" i="3" s="1"/>
  <c r="O75" i="2"/>
  <c r="AO76" i="3" s="1"/>
  <c r="AR76" i="3" s="1"/>
  <c r="O71" i="2"/>
  <c r="AO72" i="3"/>
  <c r="AR72" i="3" s="1"/>
  <c r="O67" i="2"/>
  <c r="AO68" i="3" s="1"/>
  <c r="AR68" i="3" s="1"/>
  <c r="O63" i="2"/>
  <c r="AO64" i="3"/>
  <c r="AR64" i="3" s="1"/>
  <c r="O59" i="2"/>
  <c r="AO60" i="3" s="1"/>
  <c r="AR60" i="3" s="1"/>
  <c r="O55" i="2"/>
  <c r="AO56" i="3"/>
  <c r="AR56" i="3" s="1"/>
  <c r="O51" i="2"/>
  <c r="AO52" i="3" s="1"/>
  <c r="AR52" i="3" s="1"/>
  <c r="O47" i="2"/>
  <c r="AO48" i="3"/>
  <c r="AR48" i="3" s="1"/>
  <c r="O43" i="2"/>
  <c r="AO44" i="3" s="1"/>
  <c r="AR44" i="3" s="1"/>
  <c r="O39" i="2"/>
  <c r="AO40" i="3"/>
  <c r="AR40" i="3" s="1"/>
  <c r="O35" i="2"/>
  <c r="AO36" i="3" s="1"/>
  <c r="AR36" i="3" s="1"/>
  <c r="O31" i="2"/>
  <c r="AO32" i="3"/>
  <c r="AR32" i="3" s="1"/>
  <c r="O27" i="2"/>
  <c r="AO28" i="3" s="1"/>
  <c r="AR28" i="3" s="1"/>
  <c r="O23" i="2"/>
  <c r="AO24" i="3"/>
  <c r="AR24" i="3" s="1"/>
  <c r="O19" i="2"/>
  <c r="AO20" i="3" s="1"/>
  <c r="AR20" i="3" s="1"/>
  <c r="O15" i="2"/>
  <c r="AO16" i="3"/>
  <c r="AR16" i="3" s="1"/>
  <c r="O11" i="2"/>
  <c r="AO12" i="3" s="1"/>
  <c r="AR12" i="3" s="1"/>
  <c r="AT369" i="3"/>
  <c r="AW369" i="3" s="1"/>
  <c r="Q70" i="2"/>
  <c r="AT71" i="3" s="1"/>
  <c r="AW71" i="3" s="1"/>
  <c r="Q66" i="2"/>
  <c r="AT67" i="3"/>
  <c r="AW67" i="3" s="1"/>
  <c r="Q62" i="2"/>
  <c r="AT63" i="3" s="1"/>
  <c r="AW63" i="3" s="1"/>
  <c r="Q58" i="2"/>
  <c r="AT59" i="3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/>
  <c r="AW35" i="3" s="1"/>
  <c r="Q30" i="2"/>
  <c r="AT31" i="3" s="1"/>
  <c r="AW31" i="3" s="1"/>
  <c r="Q26" i="2"/>
  <c r="AT27" i="3"/>
  <c r="AW27" i="3" s="1"/>
  <c r="Q22" i="2"/>
  <c r="AT23" i="3" s="1"/>
  <c r="AW23" i="3" s="1"/>
  <c r="Q14" i="2"/>
  <c r="AT15" i="3" s="1"/>
  <c r="AW15" i="3" s="1"/>
  <c r="AY191" i="3"/>
  <c r="BB191" i="3" s="1"/>
  <c r="S22" i="2"/>
  <c r="AY23" i="3" s="1"/>
  <c r="BB23" i="3" s="1"/>
  <c r="S14" i="2"/>
  <c r="AY15" i="3"/>
  <c r="BB15" i="3" s="1"/>
  <c r="U22" i="2"/>
  <c r="BD23" i="3"/>
  <c r="BG23" i="3" s="1"/>
  <c r="U14" i="2"/>
  <c r="BD15" i="3" s="1"/>
  <c r="BG15" i="3" s="1"/>
  <c r="U847" i="2"/>
  <c r="U719" i="2"/>
  <c r="BD1015" i="3" s="1"/>
  <c r="BG1015" i="3" s="1"/>
  <c r="U591" i="2"/>
  <c r="BD887" i="3" s="1"/>
  <c r="BG887" i="3" s="1"/>
  <c r="U463" i="2"/>
  <c r="BD759" i="3" s="1"/>
  <c r="BG759" i="3" s="1"/>
  <c r="U335" i="2"/>
  <c r="BD336" i="3" s="1"/>
  <c r="BG336" i="3" s="1"/>
  <c r="U207" i="2"/>
  <c r="U79" i="2"/>
  <c r="BD80" i="3" s="1"/>
  <c r="BG80" i="3" s="1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 s="1"/>
  <c r="AR363" i="3" s="1"/>
  <c r="O358" i="2"/>
  <c r="AO359" i="3"/>
  <c r="AR359" i="3" s="1"/>
  <c r="O354" i="2"/>
  <c r="AO355" i="3" s="1"/>
  <c r="AR355" i="3" s="1"/>
  <c r="O350" i="2"/>
  <c r="AO351" i="3" s="1"/>
  <c r="AR351" i="3" s="1"/>
  <c r="O346" i="2"/>
  <c r="AO347" i="3"/>
  <c r="AR347" i="3" s="1"/>
  <c r="O342" i="2"/>
  <c r="AO343" i="3" s="1"/>
  <c r="AR343" i="3" s="1"/>
  <c r="O338" i="2"/>
  <c r="AO339" i="3"/>
  <c r="AR339" i="3" s="1"/>
  <c r="O334" i="2"/>
  <c r="AO335" i="3" s="1"/>
  <c r="AR335" i="3" s="1"/>
  <c r="O330" i="2"/>
  <c r="AO331" i="3"/>
  <c r="AR331" i="3" s="1"/>
  <c r="O326" i="2"/>
  <c r="AO327" i="3" s="1"/>
  <c r="AR327" i="3" s="1"/>
  <c r="O322" i="2"/>
  <c r="AO323" i="3"/>
  <c r="AR323" i="3" s="1"/>
  <c r="O318" i="2"/>
  <c r="AO319" i="3" s="1"/>
  <c r="AR319" i="3" s="1"/>
  <c r="O306" i="2"/>
  <c r="AO307" i="3"/>
  <c r="AR307" i="3" s="1"/>
  <c r="O302" i="2"/>
  <c r="AO303" i="3" s="1"/>
  <c r="AR303" i="3" s="1"/>
  <c r="O298" i="2"/>
  <c r="AO299" i="3"/>
  <c r="AR299" i="3" s="1"/>
  <c r="O294" i="2"/>
  <c r="AO295" i="3" s="1"/>
  <c r="AR295" i="3" s="1"/>
  <c r="O290" i="2"/>
  <c r="AO291" i="3"/>
  <c r="AR291" i="3" s="1"/>
  <c r="O286" i="2"/>
  <c r="AO287" i="3" s="1"/>
  <c r="AR287" i="3" s="1"/>
  <c r="O282" i="2"/>
  <c r="AO283" i="3"/>
  <c r="AR283" i="3" s="1"/>
  <c r="O278" i="2"/>
  <c r="AO279" i="3" s="1"/>
  <c r="AR279" i="3" s="1"/>
  <c r="O274" i="2"/>
  <c r="AO275" i="3"/>
  <c r="AR275" i="3" s="1"/>
  <c r="O270" i="2"/>
  <c r="AO271" i="3" s="1"/>
  <c r="AR271" i="3" s="1"/>
  <c r="O266" i="2"/>
  <c r="AO267" i="3"/>
  <c r="AR267" i="3" s="1"/>
  <c r="O262" i="2"/>
  <c r="AO263" i="3" s="1"/>
  <c r="AR263" i="3" s="1"/>
  <c r="O258" i="2"/>
  <c r="AO259" i="3"/>
  <c r="AR259" i="3" s="1"/>
  <c r="O254" i="2"/>
  <c r="AO255" i="3" s="1"/>
  <c r="AR255" i="3" s="1"/>
  <c r="O250" i="2"/>
  <c r="AO251" i="3"/>
  <c r="AR251" i="3" s="1"/>
  <c r="O246" i="2"/>
  <c r="AO247" i="3" s="1"/>
  <c r="AR247" i="3" s="1"/>
  <c r="O242" i="2"/>
  <c r="AO243" i="3"/>
  <c r="AR243" i="3" s="1"/>
  <c r="O238" i="2"/>
  <c r="AO239" i="3" s="1"/>
  <c r="AR239" i="3" s="1"/>
  <c r="O234" i="2"/>
  <c r="AO235" i="3"/>
  <c r="AR235" i="3" s="1"/>
  <c r="O230" i="2"/>
  <c r="AO231" i="3" s="1"/>
  <c r="AR231" i="3" s="1"/>
  <c r="O226" i="2"/>
  <c r="AO227" i="3"/>
  <c r="AR227" i="3" s="1"/>
  <c r="O222" i="2"/>
  <c r="AO223" i="3" s="1"/>
  <c r="AR223" i="3" s="1"/>
  <c r="O218" i="2"/>
  <c r="AO219" i="3"/>
  <c r="AR219" i="3" s="1"/>
  <c r="O214" i="2"/>
  <c r="AO215" i="3" s="1"/>
  <c r="AR215" i="3" s="1"/>
  <c r="O210" i="2"/>
  <c r="AO211" i="3"/>
  <c r="AR211" i="3" s="1"/>
  <c r="O206" i="2"/>
  <c r="AO207" i="3" s="1"/>
  <c r="AR207" i="3" s="1"/>
  <c r="O202" i="2"/>
  <c r="AO203" i="3"/>
  <c r="AR203" i="3" s="1"/>
  <c r="O198" i="2"/>
  <c r="AO199" i="3" s="1"/>
  <c r="AR199" i="3" s="1"/>
  <c r="O194" i="2"/>
  <c r="AO377" i="3" s="1"/>
  <c r="AR377" i="3" s="1"/>
  <c r="AO195" i="3"/>
  <c r="AR195" i="3" s="1"/>
  <c r="O190" i="2"/>
  <c r="AO191" i="3"/>
  <c r="AR191" i="3" s="1"/>
  <c r="AO373" i="3"/>
  <c r="AR373" i="3" s="1"/>
  <c r="O186" i="2"/>
  <c r="AO187" i="3" s="1"/>
  <c r="AR187" i="3" s="1"/>
  <c r="AO369" i="3"/>
  <c r="AR369" i="3" s="1"/>
  <c r="O182" i="2"/>
  <c r="AO478" i="3" s="1"/>
  <c r="AR478" i="3" s="1"/>
  <c r="O178" i="2"/>
  <c r="AO179" i="3"/>
  <c r="AR179" i="3" s="1"/>
  <c r="O174" i="2"/>
  <c r="AO175" i="3" s="1"/>
  <c r="AR175" i="3" s="1"/>
  <c r="O170" i="2"/>
  <c r="AO171" i="3"/>
  <c r="AR171" i="3" s="1"/>
  <c r="O166" i="2"/>
  <c r="AO167" i="3" s="1"/>
  <c r="AR167" i="3" s="1"/>
  <c r="O162" i="2"/>
  <c r="AO163" i="3"/>
  <c r="AR163" i="3" s="1"/>
  <c r="O118" i="2"/>
  <c r="AO119" i="3" s="1"/>
  <c r="AR119" i="3" s="1"/>
  <c r="Q365" i="2"/>
  <c r="AT366" i="3"/>
  <c r="AW366" i="3" s="1"/>
  <c r="Q361" i="2"/>
  <c r="AT362" i="3" s="1"/>
  <c r="AW362" i="3" s="1"/>
  <c r="Q357" i="2"/>
  <c r="AT358" i="3"/>
  <c r="AW358" i="3" s="1"/>
  <c r="Q353" i="2"/>
  <c r="Q349" i="2"/>
  <c r="AT350" i="3"/>
  <c r="AW350" i="3" s="1"/>
  <c r="Q345" i="2"/>
  <c r="Q341" i="2"/>
  <c r="AT342" i="3"/>
  <c r="AW342" i="3" s="1"/>
  <c r="Q337" i="2"/>
  <c r="AT338" i="3" s="1"/>
  <c r="AW338" i="3" s="1"/>
  <c r="Q333" i="2"/>
  <c r="AT334" i="3"/>
  <c r="AW334" i="3" s="1"/>
  <c r="Q329" i="2"/>
  <c r="AT330" i="3" s="1"/>
  <c r="AW330" i="3" s="1"/>
  <c r="Q325" i="2"/>
  <c r="AT326" i="3"/>
  <c r="AW326" i="3" s="1"/>
  <c r="Q321" i="2"/>
  <c r="Q317" i="2"/>
  <c r="AT318" i="3"/>
  <c r="AW318" i="3" s="1"/>
  <c r="Q313" i="2"/>
  <c r="Q309" i="2"/>
  <c r="AT310" i="3"/>
  <c r="AW310" i="3" s="1"/>
  <c r="Q305" i="2"/>
  <c r="AT306" i="3" s="1"/>
  <c r="AW306" i="3" s="1"/>
  <c r="Q301" i="2"/>
  <c r="AT302" i="3"/>
  <c r="AW302" i="3" s="1"/>
  <c r="Q297" i="2"/>
  <c r="AT298" i="3" s="1"/>
  <c r="AW298" i="3" s="1"/>
  <c r="Q293" i="2"/>
  <c r="AT294" i="3"/>
  <c r="AW294" i="3" s="1"/>
  <c r="Q289" i="2"/>
  <c r="Q285" i="2"/>
  <c r="AT286" i="3"/>
  <c r="AW286" i="3" s="1"/>
  <c r="Q281" i="2"/>
  <c r="AT282" i="3" s="1"/>
  <c r="AW282" i="3" s="1"/>
  <c r="Q277" i="2"/>
  <c r="AT278" i="3"/>
  <c r="AW278" i="3" s="1"/>
  <c r="Q273" i="2"/>
  <c r="AT274" i="3" s="1"/>
  <c r="AW274" i="3" s="1"/>
  <c r="Q269" i="2"/>
  <c r="AT270" i="3"/>
  <c r="AW270" i="3" s="1"/>
  <c r="Q265" i="2"/>
  <c r="AT266" i="3" s="1"/>
  <c r="AW266" i="3" s="1"/>
  <c r="Q261" i="2"/>
  <c r="AT262" i="3"/>
  <c r="AW262" i="3" s="1"/>
  <c r="Q257" i="2"/>
  <c r="AT258" i="3" s="1"/>
  <c r="AW258" i="3" s="1"/>
  <c r="Q253" i="2"/>
  <c r="AT254" i="3"/>
  <c r="AW254" i="3" s="1"/>
  <c r="Q249" i="2"/>
  <c r="Q245" i="2"/>
  <c r="AT246" i="3"/>
  <c r="AW246" i="3" s="1"/>
  <c r="Q241" i="2"/>
  <c r="AT242" i="3" s="1"/>
  <c r="AW242" i="3" s="1"/>
  <c r="Q237" i="2"/>
  <c r="AT238" i="3"/>
  <c r="AW238" i="3" s="1"/>
  <c r="Q233" i="2"/>
  <c r="AT234" i="3" s="1"/>
  <c r="AW234" i="3" s="1"/>
  <c r="Q229" i="2"/>
  <c r="AT230" i="3"/>
  <c r="AW230" i="3" s="1"/>
  <c r="Q225" i="2"/>
  <c r="AT226" i="3" s="1"/>
  <c r="AW226" i="3" s="1"/>
  <c r="Q221" i="2"/>
  <c r="AT222" i="3"/>
  <c r="AW222" i="3" s="1"/>
  <c r="Q217" i="2"/>
  <c r="Q213" i="2"/>
  <c r="AT214" i="3"/>
  <c r="AW214" i="3" s="1"/>
  <c r="Q209" i="2"/>
  <c r="AT210" i="3" s="1"/>
  <c r="AW210" i="3" s="1"/>
  <c r="Q205" i="2"/>
  <c r="Q201" i="2"/>
  <c r="AT202" i="3" s="1"/>
  <c r="AW202" i="3" s="1"/>
  <c r="Q197" i="2"/>
  <c r="AT198" i="3"/>
  <c r="AW198" i="3" s="1"/>
  <c r="Q193" i="2"/>
  <c r="Q189" i="2"/>
  <c r="AT372" i="3" s="1"/>
  <c r="AW372" i="3" s="1"/>
  <c r="AT190" i="3"/>
  <c r="AW190" i="3" s="1"/>
  <c r="Q185" i="2"/>
  <c r="Q181" i="2"/>
  <c r="AT182" i="3"/>
  <c r="AW182" i="3" s="1"/>
  <c r="Q177" i="2"/>
  <c r="AT178" i="3" s="1"/>
  <c r="AW178" i="3" s="1"/>
  <c r="Q173" i="2"/>
  <c r="AT174" i="3"/>
  <c r="AW174" i="3" s="1"/>
  <c r="Q169" i="2"/>
  <c r="AT170" i="3" s="1"/>
  <c r="AW170" i="3" s="1"/>
  <c r="Q165" i="2"/>
  <c r="AT166" i="3"/>
  <c r="AW166" i="3" s="1"/>
  <c r="Q161" i="2"/>
  <c r="Q157" i="2"/>
  <c r="AT158" i="3"/>
  <c r="AW158" i="3" s="1"/>
  <c r="Q153" i="2"/>
  <c r="Q149" i="2"/>
  <c r="AT150" i="3"/>
  <c r="AW150" i="3" s="1"/>
  <c r="Q145" i="2"/>
  <c r="Q141" i="2"/>
  <c r="AT142" i="3"/>
  <c r="AW142" i="3" s="1"/>
  <c r="Q137" i="2"/>
  <c r="Q133" i="2"/>
  <c r="AT134" i="3"/>
  <c r="AW134" i="3" s="1"/>
  <c r="Q129" i="2"/>
  <c r="AT130" i="3" s="1"/>
  <c r="AW130" i="3" s="1"/>
  <c r="Q125" i="2"/>
  <c r="AT126" i="3"/>
  <c r="AW126" i="3" s="1"/>
  <c r="Q121" i="2"/>
  <c r="AT122" i="3" s="1"/>
  <c r="AW122" i="3" s="1"/>
  <c r="Q117" i="2"/>
  <c r="AT118" i="3"/>
  <c r="AW118" i="3" s="1"/>
  <c r="Q113" i="2"/>
  <c r="Q109" i="2"/>
  <c r="AT110" i="3"/>
  <c r="AW110" i="3" s="1"/>
  <c r="Q105" i="2"/>
  <c r="Q101" i="2"/>
  <c r="AT102" i="3"/>
  <c r="AW102" i="3" s="1"/>
  <c r="Q97" i="2"/>
  <c r="AT98" i="3" s="1"/>
  <c r="AW98" i="3" s="1"/>
  <c r="Q93" i="2"/>
  <c r="AT94" i="3"/>
  <c r="AW94" i="3" s="1"/>
  <c r="Q89" i="2"/>
  <c r="Q85" i="2"/>
  <c r="AT86" i="3"/>
  <c r="AW86" i="3" s="1"/>
  <c r="Q81" i="2"/>
  <c r="AT82" i="3" s="1"/>
  <c r="AW82" i="3" s="1"/>
  <c r="Q77" i="2"/>
  <c r="AT78" i="3"/>
  <c r="AW78" i="3" s="1"/>
  <c r="Q73" i="2"/>
  <c r="AT74" i="3" s="1"/>
  <c r="AW74" i="3" s="1"/>
  <c r="Q69" i="2"/>
  <c r="AT70" i="3"/>
  <c r="AW70" i="3" s="1"/>
  <c r="Q65" i="2"/>
  <c r="AT66" i="3" s="1"/>
  <c r="AW66" i="3" s="1"/>
  <c r="Q61" i="2"/>
  <c r="AT62" i="3"/>
  <c r="AW62" i="3" s="1"/>
  <c r="Q57" i="2"/>
  <c r="AT58" i="3" s="1"/>
  <c r="AW58" i="3" s="1"/>
  <c r="Q53" i="2"/>
  <c r="AT54" i="3"/>
  <c r="AW54" i="3" s="1"/>
  <c r="Q49" i="2"/>
  <c r="AT50" i="3" s="1"/>
  <c r="AW50" i="3" s="1"/>
  <c r="Q45" i="2"/>
  <c r="AT46" i="3"/>
  <c r="AW46" i="3" s="1"/>
  <c r="Q41" i="2"/>
  <c r="AT42" i="3" s="1"/>
  <c r="AW42" i="3" s="1"/>
  <c r="Q37" i="2"/>
  <c r="AT38" i="3"/>
  <c r="AW38" i="3" s="1"/>
  <c r="Q33" i="2"/>
  <c r="AT34" i="3" s="1"/>
  <c r="AW34" i="3" s="1"/>
  <c r="Q29" i="2"/>
  <c r="AT30" i="3"/>
  <c r="AW30" i="3" s="1"/>
  <c r="Q25" i="2"/>
  <c r="AT26" i="3" s="1"/>
  <c r="AW26" i="3" s="1"/>
  <c r="Q21" i="2"/>
  <c r="AT22" i="3"/>
  <c r="AW22" i="3" s="1"/>
  <c r="Q17" i="2"/>
  <c r="AT18" i="3" s="1"/>
  <c r="AW18" i="3" s="1"/>
  <c r="Q13" i="2"/>
  <c r="AT14" i="3"/>
  <c r="AW14" i="3" s="1"/>
  <c r="AY194" i="3"/>
  <c r="BB194" i="3" s="1"/>
  <c r="AY372" i="3"/>
  <c r="BB372" i="3" s="1"/>
  <c r="S25" i="2"/>
  <c r="AY26" i="3" s="1"/>
  <c r="BB26" i="3" s="1"/>
  <c r="S21" i="2"/>
  <c r="AY22" i="3"/>
  <c r="BB22" i="3" s="1"/>
  <c r="S17" i="2"/>
  <c r="AY18" i="3" s="1"/>
  <c r="BB18" i="3" s="1"/>
  <c r="S13" i="2"/>
  <c r="AY14" i="3"/>
  <c r="BB14" i="3" s="1"/>
  <c r="U21" i="2"/>
  <c r="BD22" i="3" s="1"/>
  <c r="BG22" i="3" s="1"/>
  <c r="U303" i="2"/>
  <c r="BD304" i="3" s="1"/>
  <c r="BG304" i="3" s="1"/>
  <c r="U175" i="2"/>
  <c r="U47" i="2"/>
  <c r="BD48" i="3" s="1"/>
  <c r="BG48" i="3" s="1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/>
  <c r="AR358" i="3" s="1"/>
  <c r="O353" i="2"/>
  <c r="AO354" i="3" s="1"/>
  <c r="AR354" i="3" s="1"/>
  <c r="O341" i="2"/>
  <c r="AO342" i="3"/>
  <c r="AR342" i="3" s="1"/>
  <c r="O337" i="2"/>
  <c r="AO338" i="3" s="1"/>
  <c r="AR338" i="3" s="1"/>
  <c r="O325" i="2"/>
  <c r="AO326" i="3"/>
  <c r="AR326" i="3" s="1"/>
  <c r="O317" i="2"/>
  <c r="AO318" i="3" s="1"/>
  <c r="AR318" i="3" s="1"/>
  <c r="O313" i="2"/>
  <c r="AO314" i="3"/>
  <c r="AR314" i="3" s="1"/>
  <c r="O309" i="2"/>
  <c r="AO310" i="3" s="1"/>
  <c r="AR310" i="3" s="1"/>
  <c r="O293" i="2"/>
  <c r="AO294" i="3"/>
  <c r="AR294" i="3" s="1"/>
  <c r="O289" i="2"/>
  <c r="AO290" i="3" s="1"/>
  <c r="AR290" i="3" s="1"/>
  <c r="O277" i="2"/>
  <c r="AO278" i="3"/>
  <c r="AR278" i="3" s="1"/>
  <c r="O273" i="2"/>
  <c r="AO274" i="3" s="1"/>
  <c r="AR274" i="3" s="1"/>
  <c r="O261" i="2"/>
  <c r="AO262" i="3"/>
  <c r="AR262" i="3" s="1"/>
  <c r="O257" i="2"/>
  <c r="AO258" i="3" s="1"/>
  <c r="AR258" i="3" s="1"/>
  <c r="O245" i="2"/>
  <c r="AO246" i="3"/>
  <c r="AR246" i="3" s="1"/>
  <c r="O233" i="2"/>
  <c r="AO234" i="3" s="1"/>
  <c r="AR234" i="3" s="1"/>
  <c r="O221" i="2"/>
  <c r="AO222" i="3"/>
  <c r="AR222" i="3" s="1"/>
  <c r="O217" i="2"/>
  <c r="AO218" i="3" s="1"/>
  <c r="AR218" i="3" s="1"/>
  <c r="O213" i="2"/>
  <c r="AO214" i="3"/>
  <c r="AR214" i="3" s="1"/>
  <c r="O201" i="2"/>
  <c r="AO202" i="3" s="1"/>
  <c r="AR202" i="3" s="1"/>
  <c r="AO376" i="3"/>
  <c r="AR376" i="3" s="1"/>
  <c r="O189" i="2"/>
  <c r="AO190" i="3" s="1"/>
  <c r="AR190" i="3" s="1"/>
  <c r="AO372" i="3"/>
  <c r="AR372" i="3" s="1"/>
  <c r="O185" i="2"/>
  <c r="AO481" i="3" s="1"/>
  <c r="AR481" i="3" s="1"/>
  <c r="O181" i="2"/>
  <c r="AO182" i="3"/>
  <c r="AR182" i="3" s="1"/>
  <c r="O169" i="2"/>
  <c r="AO170" i="3" s="1"/>
  <c r="AR170" i="3" s="1"/>
  <c r="O165" i="2"/>
  <c r="AO166" i="3"/>
  <c r="AR166" i="3" s="1"/>
  <c r="O153" i="2"/>
  <c r="AO449" i="3" s="1"/>
  <c r="AR449" i="3" s="1"/>
  <c r="O149" i="2"/>
  <c r="AO150" i="3"/>
  <c r="AR150" i="3" s="1"/>
  <c r="O141" i="2"/>
  <c r="AO437" i="3" s="1"/>
  <c r="AR437" i="3" s="1"/>
  <c r="O137" i="2"/>
  <c r="AO138" i="3"/>
  <c r="AR138" i="3" s="1"/>
  <c r="O133" i="2"/>
  <c r="AO134" i="3" s="1"/>
  <c r="AR134" i="3" s="1"/>
  <c r="O121" i="2"/>
  <c r="AO122" i="3"/>
  <c r="AR122" i="3" s="1"/>
  <c r="O117" i="2"/>
  <c r="AO413" i="3" s="1"/>
  <c r="AR413" i="3" s="1"/>
  <c r="O113" i="2"/>
  <c r="AO114" i="3"/>
  <c r="AR114" i="3" s="1"/>
  <c r="O109" i="2"/>
  <c r="AO110" i="3" s="1"/>
  <c r="AR110" i="3" s="1"/>
  <c r="O105" i="2"/>
  <c r="AO106" i="3"/>
  <c r="AR106" i="3" s="1"/>
  <c r="O101" i="2"/>
  <c r="AO397" i="3" s="1"/>
  <c r="AR397" i="3" s="1"/>
  <c r="O93" i="2"/>
  <c r="AO94" i="3"/>
  <c r="AR94" i="3" s="1"/>
  <c r="O89" i="2"/>
  <c r="AO385" i="3" s="1"/>
  <c r="AR385" i="3" s="1"/>
  <c r="O85" i="2"/>
  <c r="AO86" i="3"/>
  <c r="AR86" i="3" s="1"/>
  <c r="O77" i="2"/>
  <c r="AO78" i="3" s="1"/>
  <c r="AR78" i="3" s="1"/>
  <c r="O73" i="2"/>
  <c r="AO74" i="3"/>
  <c r="AR74" i="3" s="1"/>
  <c r="O69" i="2"/>
  <c r="AO70" i="3" s="1"/>
  <c r="AR70" i="3" s="1"/>
  <c r="O61" i="2"/>
  <c r="AO62" i="3"/>
  <c r="AR62" i="3" s="1"/>
  <c r="O53" i="2"/>
  <c r="AO54" i="3" s="1"/>
  <c r="AR54" i="3" s="1"/>
  <c r="O49" i="2"/>
  <c r="AO50" i="3"/>
  <c r="AR50" i="3" s="1"/>
  <c r="O45" i="2"/>
  <c r="AO46" i="3" s="1"/>
  <c r="AR46" i="3" s="1"/>
  <c r="O41" i="2"/>
  <c r="AO42" i="3"/>
  <c r="AR42" i="3" s="1"/>
  <c r="O37" i="2"/>
  <c r="AO38" i="3" s="1"/>
  <c r="AR38" i="3" s="1"/>
  <c r="O29" i="2"/>
  <c r="AO30" i="3"/>
  <c r="AR30" i="3" s="1"/>
  <c r="O25" i="2"/>
  <c r="AO26" i="3" s="1"/>
  <c r="AR26" i="3" s="1"/>
  <c r="O13" i="2"/>
  <c r="AO14" i="3"/>
  <c r="AR14" i="3" s="1"/>
  <c r="Q72" i="2"/>
  <c r="AT73" i="3" s="1"/>
  <c r="AW73" i="3" s="1"/>
  <c r="Q68" i="2"/>
  <c r="AT69" i="3"/>
  <c r="AW69" i="3" s="1"/>
  <c r="Q64" i="2"/>
  <c r="AT65" i="3" s="1"/>
  <c r="AW65" i="3" s="1"/>
  <c r="Q60" i="2"/>
  <c r="AT61" i="3"/>
  <c r="AW61" i="3" s="1"/>
  <c r="Q56" i="2"/>
  <c r="AT57" i="3" s="1"/>
  <c r="AW57" i="3" s="1"/>
  <c r="Q52" i="2"/>
  <c r="AT53" i="3"/>
  <c r="AW53" i="3" s="1"/>
  <c r="Q48" i="2"/>
  <c r="AT49" i="3" s="1"/>
  <c r="AW49" i="3" s="1"/>
  <c r="Q44" i="2"/>
  <c r="AT45" i="3"/>
  <c r="AW45" i="3" s="1"/>
  <c r="Q40" i="2"/>
  <c r="AT41" i="3" s="1"/>
  <c r="AW41" i="3" s="1"/>
  <c r="Q36" i="2"/>
  <c r="AT37" i="3"/>
  <c r="AW37" i="3" s="1"/>
  <c r="Q32" i="2"/>
  <c r="AT33" i="3" s="1"/>
  <c r="AW33" i="3" s="1"/>
  <c r="Q28" i="2"/>
  <c r="AT29" i="3"/>
  <c r="AW29" i="3" s="1"/>
  <c r="Q24" i="2"/>
  <c r="AT25" i="3" s="1"/>
  <c r="AW25" i="3" s="1"/>
  <c r="Q20" i="2"/>
  <c r="AT21" i="3"/>
  <c r="AW21" i="3" s="1"/>
  <c r="Q16" i="2"/>
  <c r="AT17" i="3" s="1"/>
  <c r="AW17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/>
  <c r="BB337" i="3" s="1"/>
  <c r="S328" i="2"/>
  <c r="AY329" i="3" s="1"/>
  <c r="BB329" i="3" s="1"/>
  <c r="S320" i="2"/>
  <c r="AY321" i="3"/>
  <c r="BB321" i="3" s="1"/>
  <c r="S312" i="2"/>
  <c r="AY313" i="3" s="1"/>
  <c r="BB313" i="3" s="1"/>
  <c r="S304" i="2"/>
  <c r="AY305" i="3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/>
  <c r="BB273" i="3" s="1"/>
  <c r="S264" i="2"/>
  <c r="AY265" i="3" s="1"/>
  <c r="BB265" i="3" s="1"/>
  <c r="S256" i="2"/>
  <c r="AY257" i="3"/>
  <c r="BB257" i="3" s="1"/>
  <c r="S248" i="2"/>
  <c r="AY249" i="3" s="1"/>
  <c r="BB249" i="3" s="1"/>
  <c r="S240" i="2"/>
  <c r="AY241" i="3"/>
  <c r="BB241" i="3" s="1"/>
  <c r="S232" i="2"/>
  <c r="AY233" i="3" s="1"/>
  <c r="BB233" i="3" s="1"/>
  <c r="S224" i="2"/>
  <c r="AY225" i="3"/>
  <c r="BB225" i="3" s="1"/>
  <c r="S216" i="2"/>
  <c r="AY217" i="3" s="1"/>
  <c r="BB217" i="3" s="1"/>
  <c r="S208" i="2"/>
  <c r="AY209" i="3"/>
  <c r="BB209" i="3" s="1"/>
  <c r="S200" i="2"/>
  <c r="AY201" i="3" s="1"/>
  <c r="BB201" i="3" s="1"/>
  <c r="S192" i="2"/>
  <c r="AY193" i="3" s="1"/>
  <c r="BB193" i="3" s="1"/>
  <c r="AY189" i="3"/>
  <c r="BB189" i="3" s="1"/>
  <c r="AY371" i="3"/>
  <c r="BB371" i="3" s="1"/>
  <c r="S184" i="2"/>
  <c r="AY185" i="3"/>
  <c r="BB185" i="3" s="1"/>
  <c r="S176" i="2"/>
  <c r="AY472" i="3" s="1"/>
  <c r="BB472" i="3" s="1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440" i="3" s="1"/>
  <c r="BB440" i="3" s="1"/>
  <c r="AY145" i="3"/>
  <c r="BB145" i="3" s="1"/>
  <c r="S136" i="2"/>
  <c r="AY137" i="3"/>
  <c r="BB137" i="3" s="1"/>
  <c r="S128" i="2"/>
  <c r="AY424" i="3" s="1"/>
  <c r="BB424" i="3" s="1"/>
  <c r="AY129" i="3"/>
  <c r="BB129" i="3" s="1"/>
  <c r="S120" i="2"/>
  <c r="AY121" i="3"/>
  <c r="BB121" i="3" s="1"/>
  <c r="S112" i="2"/>
  <c r="AY408" i="3" s="1"/>
  <c r="BB408" i="3" s="1"/>
  <c r="AY113" i="3"/>
  <c r="BB113" i="3" s="1"/>
  <c r="S104" i="2"/>
  <c r="AY105" i="3"/>
  <c r="BB105" i="3" s="1"/>
  <c r="S96" i="2"/>
  <c r="AY392" i="3" s="1"/>
  <c r="BB392" i="3" s="1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375" i="3"/>
  <c r="BG375" i="3" s="1"/>
  <c r="U271" i="2"/>
  <c r="BD272" i="3" s="1"/>
  <c r="BG272" i="3" s="1"/>
  <c r="U143" i="2"/>
  <c r="BD144" i="3" s="1"/>
  <c r="BG144" i="3" s="1"/>
  <c r="U15" i="2"/>
  <c r="BD16" i="3" s="1"/>
  <c r="BG16" i="3" s="1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O12" i="2"/>
  <c r="AO13" i="3" s="1"/>
  <c r="AR13" i="3" s="1"/>
  <c r="U835" i="2"/>
  <c r="U771" i="2"/>
  <c r="BD1067" i="3" s="1"/>
  <c r="BG1067" i="3" s="1"/>
  <c r="U707" i="2"/>
  <c r="BD1003" i="3" s="1"/>
  <c r="BG1003" i="3" s="1"/>
  <c r="U643" i="2"/>
  <c r="BD939" i="3" s="1"/>
  <c r="BG939" i="3" s="1"/>
  <c r="U579" i="2"/>
  <c r="BD875" i="3" s="1"/>
  <c r="BG875" i="3" s="1"/>
  <c r="U515" i="2"/>
  <c r="BD811" i="3" s="1"/>
  <c r="BG811" i="3" s="1"/>
  <c r="U419" i="2"/>
  <c r="BD715" i="3" s="1"/>
  <c r="BG715" i="3" s="1"/>
  <c r="U355" i="2"/>
  <c r="BD651" i="3" s="1"/>
  <c r="BG651" i="3" s="1"/>
  <c r="U259" i="2"/>
  <c r="U131" i="2"/>
  <c r="BD132" i="3" s="1"/>
  <c r="BG132" i="3" s="1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31" i="3"/>
  <c r="BG431" i="3" s="1"/>
  <c r="Q18" i="2"/>
  <c r="AT19" i="3" s="1"/>
  <c r="AW19" i="3" s="1"/>
  <c r="Q10" i="2"/>
  <c r="S18" i="2"/>
  <c r="AY19" i="3" s="1"/>
  <c r="BB19" i="3" s="1"/>
  <c r="S10" i="2"/>
  <c r="AY10" i="3" s="1"/>
  <c r="BB10" i="3" s="1"/>
  <c r="U18" i="2"/>
  <c r="U10" i="2"/>
  <c r="U863" i="2"/>
  <c r="BD1159" i="3" s="1"/>
  <c r="BG1159" i="3" s="1"/>
  <c r="U831" i="2"/>
  <c r="BD1127" i="3" s="1"/>
  <c r="BG1127" i="3" s="1"/>
  <c r="U799" i="2"/>
  <c r="BD1095" i="3" s="1"/>
  <c r="BG1095" i="3" s="1"/>
  <c r="U767" i="2"/>
  <c r="U735" i="2"/>
  <c r="BD1031" i="3" s="1"/>
  <c r="BG1031" i="3" s="1"/>
  <c r="U703" i="2"/>
  <c r="U671" i="2"/>
  <c r="BD967" i="3" s="1"/>
  <c r="BG967" i="3" s="1"/>
  <c r="U639" i="2"/>
  <c r="BD935" i="3" s="1"/>
  <c r="BG935" i="3" s="1"/>
  <c r="U607" i="2"/>
  <c r="BD903" i="3" s="1"/>
  <c r="BG903" i="3" s="1"/>
  <c r="U575" i="2"/>
  <c r="BD871" i="3" s="1"/>
  <c r="BG871" i="3" s="1"/>
  <c r="U543" i="2"/>
  <c r="U511" i="2"/>
  <c r="BD807" i="3" s="1"/>
  <c r="BG807" i="3" s="1"/>
  <c r="U479" i="2"/>
  <c r="BD775" i="3" s="1"/>
  <c r="BG775" i="3" s="1"/>
  <c r="U447" i="2"/>
  <c r="BD743" i="3" s="1"/>
  <c r="BG743" i="3" s="1"/>
  <c r="U415" i="2"/>
  <c r="BD711" i="3" s="1"/>
  <c r="BG711" i="3" s="1"/>
  <c r="U383" i="2"/>
  <c r="BD679" i="3" s="1"/>
  <c r="BG679" i="3" s="1"/>
  <c r="U351" i="2"/>
  <c r="U319" i="2"/>
  <c r="U287" i="2"/>
  <c r="BD288" i="3" s="1"/>
  <c r="BG288" i="3" s="1"/>
  <c r="U255" i="2"/>
  <c r="BD551" i="3" s="1"/>
  <c r="BG551" i="3" s="1"/>
  <c r="U223" i="2"/>
  <c r="U191" i="2"/>
  <c r="BD487" i="3" s="1"/>
  <c r="BG487" i="3" s="1"/>
  <c r="U159" i="2"/>
  <c r="BD160" i="3" s="1"/>
  <c r="BG160" i="3" s="1"/>
  <c r="U127" i="2"/>
  <c r="BD423" i="3" s="1"/>
  <c r="BG423" i="3" s="1"/>
  <c r="U95" i="2"/>
  <c r="U63" i="2"/>
  <c r="U31" i="2"/>
  <c r="BD32" i="3" s="1"/>
  <c r="BG32" i="3" s="1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U803" i="2"/>
  <c r="BD1099" i="3" s="1"/>
  <c r="BG1099" i="3" s="1"/>
  <c r="U739" i="2"/>
  <c r="BD1035" i="3" s="1"/>
  <c r="BG1035" i="3" s="1"/>
  <c r="U675" i="2"/>
  <c r="BD971" i="3" s="1"/>
  <c r="BG971" i="3" s="1"/>
  <c r="U611" i="2"/>
  <c r="BD907" i="3" s="1"/>
  <c r="BG907" i="3" s="1"/>
  <c r="U547" i="2"/>
  <c r="U483" i="2"/>
  <c r="BD779" i="3" s="1"/>
  <c r="BG779" i="3" s="1"/>
  <c r="U451" i="2"/>
  <c r="BD747" i="3" s="1"/>
  <c r="BG747" i="3" s="1"/>
  <c r="U387" i="2"/>
  <c r="BD683" i="3" s="1"/>
  <c r="BG683" i="3" s="1"/>
  <c r="U323" i="2"/>
  <c r="U291" i="2"/>
  <c r="BD587" i="3" s="1"/>
  <c r="BG587" i="3" s="1"/>
  <c r="U227" i="2"/>
  <c r="U195" i="2"/>
  <c r="U163" i="2"/>
  <c r="BD459" i="3" s="1"/>
  <c r="BG459" i="3" s="1"/>
  <c r="U99" i="2"/>
  <c r="BD395" i="3" s="1"/>
  <c r="BG395" i="3" s="1"/>
  <c r="U67" i="2"/>
  <c r="BD68" i="3" s="1"/>
  <c r="BG68" i="3" s="1"/>
  <c r="U35" i="2"/>
  <c r="BD36" i="3" s="1"/>
  <c r="BG36" i="3" s="1"/>
  <c r="U851" i="2"/>
  <c r="BD1147" i="3" s="1"/>
  <c r="BG1147" i="3" s="1"/>
  <c r="U819" i="2"/>
  <c r="BD1115" i="3" s="1"/>
  <c r="BG1115" i="3" s="1"/>
  <c r="U787" i="2"/>
  <c r="BD1083" i="3" s="1"/>
  <c r="BG1083" i="3" s="1"/>
  <c r="U755" i="2"/>
  <c r="BD1051" i="3" s="1"/>
  <c r="BG1051" i="3" s="1"/>
  <c r="U723" i="2"/>
  <c r="BD1019" i="3" s="1"/>
  <c r="BG1019" i="3" s="1"/>
  <c r="U691" i="2"/>
  <c r="U659" i="2"/>
  <c r="BD955" i="3" s="1"/>
  <c r="BG955" i="3" s="1"/>
  <c r="U627" i="2"/>
  <c r="BD923" i="3" s="1"/>
  <c r="BG923" i="3" s="1"/>
  <c r="U595" i="2"/>
  <c r="BD891" i="3" s="1"/>
  <c r="BG891" i="3" s="1"/>
  <c r="U563" i="2"/>
  <c r="BD859" i="3" s="1"/>
  <c r="BG859" i="3" s="1"/>
  <c r="U531" i="2"/>
  <c r="BD827" i="3" s="1"/>
  <c r="BG827" i="3" s="1"/>
  <c r="U499" i="2"/>
  <c r="BD795" i="3" s="1"/>
  <c r="BG795" i="3" s="1"/>
  <c r="U467" i="2"/>
  <c r="BD763" i="3" s="1"/>
  <c r="BG763" i="3" s="1"/>
  <c r="U435" i="2"/>
  <c r="BD731" i="3" s="1"/>
  <c r="BG731" i="3" s="1"/>
  <c r="U403" i="2"/>
  <c r="U371" i="2"/>
  <c r="BD667" i="3" s="1"/>
  <c r="BG667" i="3" s="1"/>
  <c r="U339" i="2"/>
  <c r="U307" i="2"/>
  <c r="BD308" i="3" s="1"/>
  <c r="BG308" i="3" s="1"/>
  <c r="U275" i="2"/>
  <c r="BD276" i="3" s="1"/>
  <c r="BG276" i="3" s="1"/>
  <c r="U243" i="2"/>
  <c r="BD244" i="3" s="1"/>
  <c r="BG244" i="3" s="1"/>
  <c r="U211" i="2"/>
  <c r="U179" i="2"/>
  <c r="BD180" i="3" s="1"/>
  <c r="BG180" i="3" s="1"/>
  <c r="U147" i="2"/>
  <c r="BD443" i="3" s="1"/>
  <c r="BG443" i="3" s="1"/>
  <c r="U115" i="2"/>
  <c r="U83" i="2"/>
  <c r="BD84" i="3" s="1"/>
  <c r="BG84" i="3" s="1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07" i="3"/>
  <c r="BG607" i="3" s="1"/>
  <c r="BD575" i="3"/>
  <c r="BG575" i="3" s="1"/>
  <c r="BD543" i="3"/>
  <c r="BG543" i="3" s="1"/>
  <c r="BD479" i="3"/>
  <c r="BG479" i="3" s="1"/>
  <c r="BD415" i="3"/>
  <c r="BG415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569" i="3"/>
  <c r="AR569" i="3" s="1"/>
  <c r="AO533" i="3"/>
  <c r="AR533" i="3" s="1"/>
  <c r="AO517" i="3"/>
  <c r="AR517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613" i="3"/>
  <c r="AR613" i="3" s="1"/>
  <c r="AO585" i="3"/>
  <c r="AR585" i="3" s="1"/>
  <c r="AO553" i="3"/>
  <c r="AR553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AO552" i="3" s="1"/>
  <c r="AR552" i="3" s="1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553" i="3"/>
  <c r="AW553" i="3" s="1"/>
  <c r="AT521" i="3"/>
  <c r="AW521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O16" i="2"/>
  <c r="AO17" i="3" s="1"/>
  <c r="AR17" i="3" s="1"/>
  <c r="O280" i="2"/>
  <c r="AO576" i="3" s="1"/>
  <c r="AR576" i="3" s="1"/>
  <c r="AO409" i="3"/>
  <c r="AR409" i="3" s="1"/>
  <c r="AO389" i="3"/>
  <c r="AR38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625" i="3" s="1"/>
  <c r="AR625" i="3" s="1"/>
  <c r="O305" i="2"/>
  <c r="O285" i="2"/>
  <c r="O269" i="2"/>
  <c r="O253" i="2"/>
  <c r="O229" i="2"/>
  <c r="O205" i="2"/>
  <c r="AO501" i="3" s="1"/>
  <c r="AR501" i="3" s="1"/>
  <c r="O177" i="2"/>
  <c r="O157" i="2"/>
  <c r="O129" i="2"/>
  <c r="AO425" i="3" s="1"/>
  <c r="AR425" i="3" s="1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AO33" i="3" s="1"/>
  <c r="AR33" i="3" s="1"/>
  <c r="O360" i="2"/>
  <c r="AO361" i="3" s="1"/>
  <c r="AR361" i="3" s="1"/>
  <c r="AO429" i="3"/>
  <c r="AR429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O281" i="2"/>
  <c r="O265" i="2"/>
  <c r="AO561" i="3" s="1"/>
  <c r="AR561" i="3" s="1"/>
  <c r="O249" i="2"/>
  <c r="O225" i="2"/>
  <c r="O197" i="2"/>
  <c r="O173" i="2"/>
  <c r="O145" i="2"/>
  <c r="O125" i="2"/>
  <c r="O97" i="2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AO474" i="3"/>
  <c r="AR474" i="3" s="1"/>
  <c r="Q859" i="2"/>
  <c r="AT1155" i="3" s="1"/>
  <c r="AW1155" i="3" s="1"/>
  <c r="Q851" i="2"/>
  <c r="AT1147" i="3"/>
  <c r="AW1147" i="3" s="1"/>
  <c r="Q839" i="2"/>
  <c r="AT1135" i="3" s="1"/>
  <c r="AW1135" i="3" s="1"/>
  <c r="Q831" i="2"/>
  <c r="AT1127" i="3"/>
  <c r="AW1127" i="3" s="1"/>
  <c r="Q823" i="2"/>
  <c r="AT1119" i="3" s="1"/>
  <c r="AW1119" i="3" s="1"/>
  <c r="Q815" i="2"/>
  <c r="AT1111" i="3"/>
  <c r="AW1111" i="3" s="1"/>
  <c r="Q803" i="2"/>
  <c r="AT1099" i="3" s="1"/>
  <c r="AW1099" i="3" s="1"/>
  <c r="Q795" i="2"/>
  <c r="AT1091" i="3"/>
  <c r="AW1091" i="3" s="1"/>
  <c r="Q787" i="2"/>
  <c r="AT1083" i="3" s="1"/>
  <c r="AW1083" i="3" s="1"/>
  <c r="Q779" i="2"/>
  <c r="AT1075" i="3"/>
  <c r="AW1075" i="3" s="1"/>
  <c r="Q771" i="2"/>
  <c r="AT1067" i="3" s="1"/>
  <c r="AW1067" i="3" s="1"/>
  <c r="Q763" i="2"/>
  <c r="AT1059" i="3"/>
  <c r="AW1059" i="3" s="1"/>
  <c r="Q755" i="2"/>
  <c r="AT1051" i="3" s="1"/>
  <c r="AW1051" i="3" s="1"/>
  <c r="Q747" i="2"/>
  <c r="AT1043" i="3"/>
  <c r="AW1043" i="3" s="1"/>
  <c r="Q739" i="2"/>
  <c r="AT1035" i="3" s="1"/>
  <c r="AW1035" i="3" s="1"/>
  <c r="Q731" i="2"/>
  <c r="AT1027" i="3"/>
  <c r="AW1027" i="3" s="1"/>
  <c r="Q723" i="2"/>
  <c r="AT1019" i="3" s="1"/>
  <c r="AW1019" i="3" s="1"/>
  <c r="Q715" i="2"/>
  <c r="AT1011" i="3"/>
  <c r="AW1011" i="3" s="1"/>
  <c r="Q707" i="2"/>
  <c r="AT1003" i="3" s="1"/>
  <c r="AW1003" i="3" s="1"/>
  <c r="Q695" i="2"/>
  <c r="AT991" i="3"/>
  <c r="AW991" i="3" s="1"/>
  <c r="Q687" i="2"/>
  <c r="AT983" i="3" s="1"/>
  <c r="AW983" i="3" s="1"/>
  <c r="Q679" i="2"/>
  <c r="AT975" i="3"/>
  <c r="AW975" i="3" s="1"/>
  <c r="Q671" i="2"/>
  <c r="AT967" i="3" s="1"/>
  <c r="AW967" i="3" s="1"/>
  <c r="Q663" i="2"/>
  <c r="AT959" i="3"/>
  <c r="AW959" i="3" s="1"/>
  <c r="Q655" i="2"/>
  <c r="AT951" i="3" s="1"/>
  <c r="AW951" i="3" s="1"/>
  <c r="Q647" i="2"/>
  <c r="AT943" i="3"/>
  <c r="AW943" i="3" s="1"/>
  <c r="Q639" i="2"/>
  <c r="AT935" i="3" s="1"/>
  <c r="AW935" i="3" s="1"/>
  <c r="Q631" i="2"/>
  <c r="AT927" i="3"/>
  <c r="AW927" i="3" s="1"/>
  <c r="Q627" i="2"/>
  <c r="AT923" i="3" s="1"/>
  <c r="AW923" i="3" s="1"/>
  <c r="Q623" i="2"/>
  <c r="AT919" i="3"/>
  <c r="AW919" i="3" s="1"/>
  <c r="Q619" i="2"/>
  <c r="AT915" i="3" s="1"/>
  <c r="AW915" i="3" s="1"/>
  <c r="Q615" i="2"/>
  <c r="AT911" i="3"/>
  <c r="AW911" i="3" s="1"/>
  <c r="Q611" i="2"/>
  <c r="AT907" i="3" s="1"/>
  <c r="AW907" i="3" s="1"/>
  <c r="Q607" i="2"/>
  <c r="AT903" i="3"/>
  <c r="AW903" i="3" s="1"/>
  <c r="Q603" i="2"/>
  <c r="AT899" i="3" s="1"/>
  <c r="AW899" i="3" s="1"/>
  <c r="Q599" i="2"/>
  <c r="AT895" i="3"/>
  <c r="AW895" i="3" s="1"/>
  <c r="Q595" i="2"/>
  <c r="AT891" i="3" s="1"/>
  <c r="AW891" i="3" s="1"/>
  <c r="Q591" i="2"/>
  <c r="AT887" i="3"/>
  <c r="AW887" i="3" s="1"/>
  <c r="Q587" i="2"/>
  <c r="AT883" i="3" s="1"/>
  <c r="AW883" i="3" s="1"/>
  <c r="Q583" i="2"/>
  <c r="AT879" i="3"/>
  <c r="AW879" i="3" s="1"/>
  <c r="Q579" i="2"/>
  <c r="AT875" i="3" s="1"/>
  <c r="AW875" i="3" s="1"/>
  <c r="Q575" i="2"/>
  <c r="AT871" i="3"/>
  <c r="AW871" i="3" s="1"/>
  <c r="Q567" i="2"/>
  <c r="AT863" i="3" s="1"/>
  <c r="AW863" i="3" s="1"/>
  <c r="Q563" i="2"/>
  <c r="AT859" i="3"/>
  <c r="AW859" i="3" s="1"/>
  <c r="Q559" i="2"/>
  <c r="AT855" i="3" s="1"/>
  <c r="AW855" i="3" s="1"/>
  <c r="Q555" i="2"/>
  <c r="AT851" i="3"/>
  <c r="AW851" i="3" s="1"/>
  <c r="Q551" i="2"/>
  <c r="AT847" i="3" s="1"/>
  <c r="AW847" i="3" s="1"/>
  <c r="Q547" i="2"/>
  <c r="AT843" i="3"/>
  <c r="AW843" i="3" s="1"/>
  <c r="Q543" i="2"/>
  <c r="AT839" i="3" s="1"/>
  <c r="AW839" i="3" s="1"/>
  <c r="Q539" i="2"/>
  <c r="AT835" i="3"/>
  <c r="AW835" i="3" s="1"/>
  <c r="Q535" i="2"/>
  <c r="AT831" i="3" s="1"/>
  <c r="AW831" i="3" s="1"/>
  <c r="Q531" i="2"/>
  <c r="AT827" i="3"/>
  <c r="AW827" i="3" s="1"/>
  <c r="Q527" i="2"/>
  <c r="AT823" i="3" s="1"/>
  <c r="AW823" i="3" s="1"/>
  <c r="Q523" i="2"/>
  <c r="AT819" i="3"/>
  <c r="AW819" i="3" s="1"/>
  <c r="Q519" i="2"/>
  <c r="AT815" i="3" s="1"/>
  <c r="AW815" i="3" s="1"/>
  <c r="Q515" i="2"/>
  <c r="AT811" i="3"/>
  <c r="AW811" i="3" s="1"/>
  <c r="Q511" i="2"/>
  <c r="AT807" i="3" s="1"/>
  <c r="AW807" i="3" s="1"/>
  <c r="Q507" i="2"/>
  <c r="AT803" i="3"/>
  <c r="AW803" i="3" s="1"/>
  <c r="Q503" i="2"/>
  <c r="AT799" i="3" s="1"/>
  <c r="AW799" i="3" s="1"/>
  <c r="Q499" i="2"/>
  <c r="AT795" i="3"/>
  <c r="AW795" i="3" s="1"/>
  <c r="Q495" i="2"/>
  <c r="AT791" i="3" s="1"/>
  <c r="AW791" i="3" s="1"/>
  <c r="Q491" i="2"/>
  <c r="AT787" i="3"/>
  <c r="AW787" i="3" s="1"/>
  <c r="Q487" i="2"/>
  <c r="AT783" i="3" s="1"/>
  <c r="AW783" i="3" s="1"/>
  <c r="Q483" i="2"/>
  <c r="AT779" i="3"/>
  <c r="AW779" i="3" s="1"/>
  <c r="Q479" i="2"/>
  <c r="AT775" i="3" s="1"/>
  <c r="AW775" i="3" s="1"/>
  <c r="Q475" i="2"/>
  <c r="AT771" i="3"/>
  <c r="AW771" i="3" s="1"/>
  <c r="Q471" i="2"/>
  <c r="AT767" i="3" s="1"/>
  <c r="AW767" i="3" s="1"/>
  <c r="Q467" i="2"/>
  <c r="AT763" i="3"/>
  <c r="AW763" i="3" s="1"/>
  <c r="Q463" i="2"/>
  <c r="AT759" i="3" s="1"/>
  <c r="AW759" i="3" s="1"/>
  <c r="Q459" i="2"/>
  <c r="AT755" i="3"/>
  <c r="AW755" i="3" s="1"/>
  <c r="Q455" i="2"/>
  <c r="AT751" i="3" s="1"/>
  <c r="AW751" i="3" s="1"/>
  <c r="Q451" i="2"/>
  <c r="AT747" i="3"/>
  <c r="AW747" i="3" s="1"/>
  <c r="Q447" i="2"/>
  <c r="AT743" i="3" s="1"/>
  <c r="AW743" i="3" s="1"/>
  <c r="Q443" i="2"/>
  <c r="AT739" i="3"/>
  <c r="AW739" i="3" s="1"/>
  <c r="Q439" i="2"/>
  <c r="AT735" i="3" s="1"/>
  <c r="AW735" i="3" s="1"/>
  <c r="Q435" i="2"/>
  <c r="AT731" i="3"/>
  <c r="AW731" i="3" s="1"/>
  <c r="Q431" i="2"/>
  <c r="AT727" i="3" s="1"/>
  <c r="AW727" i="3" s="1"/>
  <c r="Q427" i="2"/>
  <c r="AT723" i="3"/>
  <c r="AW723" i="3" s="1"/>
  <c r="Q423" i="2"/>
  <c r="AT719" i="3" s="1"/>
  <c r="AW719" i="3" s="1"/>
  <c r="Q419" i="2"/>
  <c r="AT715" i="3"/>
  <c r="AW715" i="3" s="1"/>
  <c r="Q415" i="2"/>
  <c r="AT711" i="3" s="1"/>
  <c r="AW711" i="3" s="1"/>
  <c r="Q411" i="2"/>
  <c r="AT707" i="3"/>
  <c r="AW707" i="3" s="1"/>
  <c r="Q407" i="2"/>
  <c r="AT703" i="3" s="1"/>
  <c r="AW703" i="3" s="1"/>
  <c r="Q403" i="2"/>
  <c r="AT699" i="3"/>
  <c r="AW699" i="3" s="1"/>
  <c r="Q399" i="2"/>
  <c r="AT695" i="3" s="1"/>
  <c r="AW695" i="3" s="1"/>
  <c r="Q395" i="2"/>
  <c r="AT691" i="3"/>
  <c r="AW691" i="3" s="1"/>
  <c r="Q391" i="2"/>
  <c r="AT687" i="3" s="1"/>
  <c r="AW687" i="3" s="1"/>
  <c r="Q387" i="2"/>
  <c r="AT683" i="3"/>
  <c r="AW683" i="3" s="1"/>
  <c r="Q383" i="2"/>
  <c r="AT679" i="3" s="1"/>
  <c r="AW679" i="3" s="1"/>
  <c r="Q379" i="2"/>
  <c r="AT675" i="3"/>
  <c r="AW675" i="3" s="1"/>
  <c r="Q375" i="2"/>
  <c r="AT671" i="3" s="1"/>
  <c r="AW671" i="3" s="1"/>
  <c r="Q371" i="2"/>
  <c r="AT667" i="3"/>
  <c r="AW667" i="3" s="1"/>
  <c r="Q367" i="2"/>
  <c r="Q363" i="2"/>
  <c r="AT364" i="3" s="1"/>
  <c r="AW364" i="3" s="1"/>
  <c r="AT659" i="3"/>
  <c r="AW659" i="3" s="1"/>
  <c r="Q359" i="2"/>
  <c r="Q355" i="2"/>
  <c r="AT356" i="3" s="1"/>
  <c r="AW356" i="3" s="1"/>
  <c r="AT651" i="3"/>
  <c r="AW651" i="3" s="1"/>
  <c r="Q351" i="2"/>
  <c r="Q347" i="2"/>
  <c r="AT348" i="3" s="1"/>
  <c r="AW348" i="3" s="1"/>
  <c r="AT643" i="3"/>
  <c r="AW643" i="3" s="1"/>
  <c r="Q343" i="2"/>
  <c r="Q339" i="2"/>
  <c r="AT635" i="3"/>
  <c r="AW635" i="3" s="1"/>
  <c r="Q335" i="2"/>
  <c r="Q331" i="2"/>
  <c r="AT332" i="3" s="1"/>
  <c r="AW332" i="3" s="1"/>
  <c r="AT627" i="3"/>
  <c r="AW627" i="3" s="1"/>
  <c r="Q327" i="2"/>
  <c r="Q323" i="2"/>
  <c r="AT324" i="3" s="1"/>
  <c r="AW324" i="3" s="1"/>
  <c r="AT619" i="3"/>
  <c r="AW619" i="3" s="1"/>
  <c r="Q319" i="2"/>
  <c r="Q315" i="2"/>
  <c r="AT316" i="3" s="1"/>
  <c r="AW316" i="3" s="1"/>
  <c r="AT611" i="3"/>
  <c r="AW611" i="3" s="1"/>
  <c r="Q311" i="2"/>
  <c r="Q307" i="2"/>
  <c r="AT603" i="3"/>
  <c r="AW603" i="3" s="1"/>
  <c r="Q303" i="2"/>
  <c r="Q299" i="2"/>
  <c r="AT300" i="3" s="1"/>
  <c r="AW300" i="3" s="1"/>
  <c r="AT595" i="3"/>
  <c r="AW595" i="3" s="1"/>
  <c r="Q295" i="2"/>
  <c r="Q291" i="2"/>
  <c r="AT292" i="3" s="1"/>
  <c r="AW292" i="3" s="1"/>
  <c r="AT587" i="3"/>
  <c r="AW587" i="3" s="1"/>
  <c r="Q287" i="2"/>
  <c r="Q283" i="2"/>
  <c r="AT284" i="3" s="1"/>
  <c r="AW284" i="3" s="1"/>
  <c r="AT579" i="3"/>
  <c r="AW579" i="3" s="1"/>
  <c r="Q279" i="2"/>
  <c r="Q275" i="2"/>
  <c r="AT571" i="3"/>
  <c r="AW571" i="3" s="1"/>
  <c r="Q271" i="2"/>
  <c r="Q267" i="2"/>
  <c r="AT268" i="3" s="1"/>
  <c r="AW268" i="3" s="1"/>
  <c r="AT563" i="3"/>
  <c r="AW563" i="3" s="1"/>
  <c r="Q263" i="2"/>
  <c r="Q259" i="2"/>
  <c r="AT260" i="3" s="1"/>
  <c r="AW260" i="3" s="1"/>
  <c r="AT555" i="3"/>
  <c r="AW555" i="3" s="1"/>
  <c r="Q255" i="2"/>
  <c r="Q251" i="2"/>
  <c r="AT252" i="3" s="1"/>
  <c r="AW252" i="3" s="1"/>
  <c r="AT547" i="3"/>
  <c r="AW547" i="3" s="1"/>
  <c r="Q247" i="2"/>
  <c r="Q243" i="2"/>
  <c r="AT539" i="3"/>
  <c r="AW539" i="3" s="1"/>
  <c r="Q239" i="2"/>
  <c r="Q235" i="2"/>
  <c r="AT236" i="3" s="1"/>
  <c r="AW236" i="3" s="1"/>
  <c r="AT531" i="3"/>
  <c r="AW531" i="3" s="1"/>
  <c r="Q231" i="2"/>
  <c r="Q227" i="2"/>
  <c r="AT228" i="3" s="1"/>
  <c r="AW228" i="3" s="1"/>
  <c r="AT523" i="3"/>
  <c r="AW523" i="3" s="1"/>
  <c r="Q223" i="2"/>
  <c r="Q219" i="2"/>
  <c r="AT220" i="3" s="1"/>
  <c r="AW220" i="3" s="1"/>
  <c r="AT515" i="3"/>
  <c r="AW515" i="3" s="1"/>
  <c r="Q215" i="2"/>
  <c r="Q211" i="2"/>
  <c r="AT507" i="3"/>
  <c r="AW507" i="3" s="1"/>
  <c r="Q207" i="2"/>
  <c r="Q203" i="2"/>
  <c r="AT204" i="3" s="1"/>
  <c r="AW204" i="3" s="1"/>
  <c r="AT499" i="3"/>
  <c r="AW499" i="3" s="1"/>
  <c r="Q199" i="2"/>
  <c r="Q195" i="2"/>
  <c r="AT378" i="3" s="1"/>
  <c r="AW378" i="3" s="1"/>
  <c r="AT491" i="3"/>
  <c r="AW491" i="3" s="1"/>
  <c r="Q191" i="2"/>
  <c r="AT374" i="3" s="1"/>
  <c r="AW374" i="3" s="1"/>
  <c r="Q187" i="2"/>
  <c r="AT370" i="3" s="1"/>
  <c r="AW370" i="3" s="1"/>
  <c r="AT483" i="3"/>
  <c r="AW483" i="3" s="1"/>
  <c r="Q183" i="2"/>
  <c r="Q179" i="2"/>
  <c r="AT475" i="3"/>
  <c r="AW475" i="3" s="1"/>
  <c r="Q175" i="2"/>
  <c r="Q171" i="2"/>
  <c r="AT172" i="3" s="1"/>
  <c r="AW172" i="3" s="1"/>
  <c r="AT467" i="3"/>
  <c r="AW467" i="3" s="1"/>
  <c r="Q167" i="2"/>
  <c r="Q163" i="2"/>
  <c r="AT164" i="3" s="1"/>
  <c r="AW164" i="3" s="1"/>
  <c r="AT459" i="3"/>
  <c r="AW459" i="3" s="1"/>
  <c r="Q159" i="2"/>
  <c r="Q155" i="2"/>
  <c r="AT156" i="3" s="1"/>
  <c r="AW156" i="3" s="1"/>
  <c r="AT451" i="3"/>
  <c r="AW451" i="3" s="1"/>
  <c r="Q151" i="2"/>
  <c r="Q147" i="2"/>
  <c r="AT443" i="3"/>
  <c r="AW443" i="3" s="1"/>
  <c r="Q143" i="2"/>
  <c r="Q139" i="2"/>
  <c r="Q135" i="2"/>
  <c r="AT431" i="3" s="1"/>
  <c r="AW431" i="3" s="1"/>
  <c r="Q131" i="2"/>
  <c r="AT427" i="3" s="1"/>
  <c r="AW427" i="3" s="1"/>
  <c r="Q127" i="2"/>
  <c r="Q123" i="2"/>
  <c r="Q119" i="2"/>
  <c r="AT415" i="3" s="1"/>
  <c r="AW415" i="3" s="1"/>
  <c r="Q115" i="2"/>
  <c r="Q111" i="2"/>
  <c r="Q107" i="2"/>
  <c r="Q103" i="2"/>
  <c r="AT399" i="3" s="1"/>
  <c r="AW399" i="3" s="1"/>
  <c r="Q99" i="2"/>
  <c r="Q95" i="2"/>
  <c r="Q91" i="2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/>
  <c r="AW1107" i="3" s="1"/>
  <c r="Q807" i="2"/>
  <c r="AT1103" i="3" s="1"/>
  <c r="AW1103" i="3" s="1"/>
  <c r="Q799" i="2"/>
  <c r="AT1095" i="3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/>
  <c r="AW987" i="3" s="1"/>
  <c r="Q683" i="2"/>
  <c r="AT979" i="3" s="1"/>
  <c r="AW979" i="3" s="1"/>
  <c r="Q675" i="2"/>
  <c r="AT971" i="3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/>
  <c r="AW931" i="3" s="1"/>
  <c r="Q571" i="2"/>
  <c r="AT867" i="3" s="1"/>
  <c r="AW867" i="3" s="1"/>
  <c r="Q864" i="2"/>
  <c r="AT1160" i="3"/>
  <c r="AW1160" i="3" s="1"/>
  <c r="Q860" i="2"/>
  <c r="AT1156" i="3" s="1"/>
  <c r="AW1156" i="3" s="1"/>
  <c r="Q856" i="2"/>
  <c r="AT1152" i="3"/>
  <c r="AW1152" i="3" s="1"/>
  <c r="Q852" i="2"/>
  <c r="AT1148" i="3" s="1"/>
  <c r="AW1148" i="3" s="1"/>
  <c r="Q848" i="2"/>
  <c r="AT1144" i="3"/>
  <c r="AW1144" i="3" s="1"/>
  <c r="Q844" i="2"/>
  <c r="AT1140" i="3" s="1"/>
  <c r="AW1140" i="3" s="1"/>
  <c r="Q840" i="2"/>
  <c r="AT1136" i="3"/>
  <c r="AW1136" i="3" s="1"/>
  <c r="Q836" i="2"/>
  <c r="AT1132" i="3" s="1"/>
  <c r="AW1132" i="3" s="1"/>
  <c r="Q832" i="2"/>
  <c r="AT1128" i="3"/>
  <c r="AW1128" i="3" s="1"/>
  <c r="Q828" i="2"/>
  <c r="AT1124" i="3" s="1"/>
  <c r="AW1124" i="3" s="1"/>
  <c r="Q824" i="2"/>
  <c r="AT1120" i="3"/>
  <c r="AW1120" i="3" s="1"/>
  <c r="Q820" i="2"/>
  <c r="AT1116" i="3" s="1"/>
  <c r="AW1116" i="3" s="1"/>
  <c r="Q816" i="2"/>
  <c r="AT1112" i="3"/>
  <c r="AW1112" i="3" s="1"/>
  <c r="Q812" i="2"/>
  <c r="AT1108" i="3" s="1"/>
  <c r="AW1108" i="3" s="1"/>
  <c r="Q808" i="2"/>
  <c r="AT1104" i="3"/>
  <c r="AW1104" i="3" s="1"/>
  <c r="Q804" i="2"/>
  <c r="AT1100" i="3" s="1"/>
  <c r="AW1100" i="3" s="1"/>
  <c r="Q800" i="2"/>
  <c r="AT1096" i="3"/>
  <c r="AW1096" i="3" s="1"/>
  <c r="Q796" i="2"/>
  <c r="AT1092" i="3" s="1"/>
  <c r="AW1092" i="3" s="1"/>
  <c r="Q792" i="2"/>
  <c r="AT1088" i="3"/>
  <c r="AW1088" i="3" s="1"/>
  <c r="Q788" i="2"/>
  <c r="AT1084" i="3" s="1"/>
  <c r="AW1084" i="3" s="1"/>
  <c r="Q784" i="2"/>
  <c r="AT1080" i="3"/>
  <c r="AW1080" i="3" s="1"/>
  <c r="Q780" i="2"/>
  <c r="AT1076" i="3" s="1"/>
  <c r="AW1076" i="3" s="1"/>
  <c r="Q776" i="2"/>
  <c r="AT1072" i="3"/>
  <c r="AW1072" i="3" s="1"/>
  <c r="Q772" i="2"/>
  <c r="AT1068" i="3" s="1"/>
  <c r="AW1068" i="3" s="1"/>
  <c r="Q768" i="2"/>
  <c r="AT1064" i="3"/>
  <c r="AW1064" i="3" s="1"/>
  <c r="Q764" i="2"/>
  <c r="AT1060" i="3" s="1"/>
  <c r="AW1060" i="3" s="1"/>
  <c r="Q760" i="2"/>
  <c r="AT1056" i="3"/>
  <c r="AW1056" i="3" s="1"/>
  <c r="Q756" i="2"/>
  <c r="AT1052" i="3" s="1"/>
  <c r="AW1052" i="3" s="1"/>
  <c r="Q752" i="2"/>
  <c r="AT1048" i="3"/>
  <c r="AW1048" i="3" s="1"/>
  <c r="Q748" i="2"/>
  <c r="AT1044" i="3" s="1"/>
  <c r="AW1044" i="3" s="1"/>
  <c r="Q744" i="2"/>
  <c r="AT1040" i="3"/>
  <c r="AW1040" i="3" s="1"/>
  <c r="Q740" i="2"/>
  <c r="AT1036" i="3" s="1"/>
  <c r="AW1036" i="3" s="1"/>
  <c r="Q736" i="2"/>
  <c r="AT1032" i="3"/>
  <c r="AW1032" i="3" s="1"/>
  <c r="Q732" i="2"/>
  <c r="AT1028" i="3" s="1"/>
  <c r="AW1028" i="3" s="1"/>
  <c r="Q728" i="2"/>
  <c r="AT1024" i="3"/>
  <c r="AW1024" i="3" s="1"/>
  <c r="Q724" i="2"/>
  <c r="AT1020" i="3" s="1"/>
  <c r="AW1020" i="3" s="1"/>
  <c r="Q720" i="2"/>
  <c r="AT1016" i="3"/>
  <c r="AW1016" i="3" s="1"/>
  <c r="Q716" i="2"/>
  <c r="AT1012" i="3" s="1"/>
  <c r="AW1012" i="3" s="1"/>
  <c r="Q712" i="2"/>
  <c r="AT1008" i="3"/>
  <c r="AW1008" i="3" s="1"/>
  <c r="Q708" i="2"/>
  <c r="AT1004" i="3" s="1"/>
  <c r="AW1004" i="3" s="1"/>
  <c r="Q704" i="2"/>
  <c r="AT1000" i="3"/>
  <c r="AW1000" i="3" s="1"/>
  <c r="Q700" i="2"/>
  <c r="AT996" i="3" s="1"/>
  <c r="AW996" i="3" s="1"/>
  <c r="Q696" i="2"/>
  <c r="AT992" i="3"/>
  <c r="AW992" i="3" s="1"/>
  <c r="Q692" i="2"/>
  <c r="AT988" i="3" s="1"/>
  <c r="AW988" i="3" s="1"/>
  <c r="Q688" i="2"/>
  <c r="AT984" i="3"/>
  <c r="AW984" i="3" s="1"/>
  <c r="Q684" i="2"/>
  <c r="AT980" i="3" s="1"/>
  <c r="AW980" i="3" s="1"/>
  <c r="Q680" i="2"/>
  <c r="AT976" i="3"/>
  <c r="AW976" i="3" s="1"/>
  <c r="Q676" i="2"/>
  <c r="AT972" i="3" s="1"/>
  <c r="AW972" i="3" s="1"/>
  <c r="Q672" i="2"/>
  <c r="AT968" i="3"/>
  <c r="AW968" i="3" s="1"/>
  <c r="Q668" i="2"/>
  <c r="AT964" i="3" s="1"/>
  <c r="AW964" i="3" s="1"/>
  <c r="Q664" i="2"/>
  <c r="AT960" i="3"/>
  <c r="AW960" i="3" s="1"/>
  <c r="Q660" i="2"/>
  <c r="AT956" i="3" s="1"/>
  <c r="AW956" i="3" s="1"/>
  <c r="Q656" i="2"/>
  <c r="AT952" i="3"/>
  <c r="AW952" i="3" s="1"/>
  <c r="Q652" i="2"/>
  <c r="AT948" i="3" s="1"/>
  <c r="AW948" i="3" s="1"/>
  <c r="Q648" i="2"/>
  <c r="AT944" i="3"/>
  <c r="AW944" i="3" s="1"/>
  <c r="Q644" i="2"/>
  <c r="AT940" i="3" s="1"/>
  <c r="AW940" i="3" s="1"/>
  <c r="Q640" i="2"/>
  <c r="AT936" i="3"/>
  <c r="AW936" i="3" s="1"/>
  <c r="Q636" i="2"/>
  <c r="AT932" i="3" s="1"/>
  <c r="AW932" i="3" s="1"/>
  <c r="Q632" i="2"/>
  <c r="AT928" i="3"/>
  <c r="AW928" i="3" s="1"/>
  <c r="Q628" i="2"/>
  <c r="AT924" i="3" s="1"/>
  <c r="AW924" i="3" s="1"/>
  <c r="Q624" i="2"/>
  <c r="AT920" i="3"/>
  <c r="AW920" i="3" s="1"/>
  <c r="Q620" i="2"/>
  <c r="AT916" i="3" s="1"/>
  <c r="AW916" i="3" s="1"/>
  <c r="Q616" i="2"/>
  <c r="AT912" i="3"/>
  <c r="AW912" i="3" s="1"/>
  <c r="Q612" i="2"/>
  <c r="AT908" i="3" s="1"/>
  <c r="AW908" i="3" s="1"/>
  <c r="Q608" i="2"/>
  <c r="AT904" i="3"/>
  <c r="AW904" i="3" s="1"/>
  <c r="Q604" i="2"/>
  <c r="AT900" i="3" s="1"/>
  <c r="AW900" i="3" s="1"/>
  <c r="Q600" i="2"/>
  <c r="AT896" i="3"/>
  <c r="AW896" i="3" s="1"/>
  <c r="Q596" i="2"/>
  <c r="AT892" i="3" s="1"/>
  <c r="AW892" i="3" s="1"/>
  <c r="Q592" i="2"/>
  <c r="AT888" i="3"/>
  <c r="AW888" i="3" s="1"/>
  <c r="Q588" i="2"/>
  <c r="AT884" i="3" s="1"/>
  <c r="AW884" i="3" s="1"/>
  <c r="Q584" i="2"/>
  <c r="AT880" i="3"/>
  <c r="AW880" i="3" s="1"/>
  <c r="Q580" i="2"/>
  <c r="AT876" i="3" s="1"/>
  <c r="AW876" i="3" s="1"/>
  <c r="Q576" i="2"/>
  <c r="AT872" i="3"/>
  <c r="AW872" i="3" s="1"/>
  <c r="Q572" i="2"/>
  <c r="AT868" i="3" s="1"/>
  <c r="AW868" i="3" s="1"/>
  <c r="Q568" i="2"/>
  <c r="AT864" i="3"/>
  <c r="AW864" i="3" s="1"/>
  <c r="Q564" i="2"/>
  <c r="AT860" i="3" s="1"/>
  <c r="AW860" i="3" s="1"/>
  <c r="Q560" i="2"/>
  <c r="AT856" i="3"/>
  <c r="AW856" i="3" s="1"/>
  <c r="Q556" i="2"/>
  <c r="AT852" i="3" s="1"/>
  <c r="AW852" i="3" s="1"/>
  <c r="Q552" i="2"/>
  <c r="AT848" i="3"/>
  <c r="AW848" i="3" s="1"/>
  <c r="Q548" i="2"/>
  <c r="AT844" i="3" s="1"/>
  <c r="AW844" i="3" s="1"/>
  <c r="Q540" i="2"/>
  <c r="AT836" i="3"/>
  <c r="AW836" i="3" s="1"/>
  <c r="Q532" i="2"/>
  <c r="AT828" i="3" s="1"/>
  <c r="AW828" i="3" s="1"/>
  <c r="Q524" i="2"/>
  <c r="AT820" i="3"/>
  <c r="AW820" i="3" s="1"/>
  <c r="Q516" i="2"/>
  <c r="AT812" i="3" s="1"/>
  <c r="AW812" i="3" s="1"/>
  <c r="Q508" i="2"/>
  <c r="AT804" i="3"/>
  <c r="AW804" i="3" s="1"/>
  <c r="Q500" i="2"/>
  <c r="AT796" i="3" s="1"/>
  <c r="AW796" i="3" s="1"/>
  <c r="Q492" i="2"/>
  <c r="AT788" i="3"/>
  <c r="AW788" i="3" s="1"/>
  <c r="Q484" i="2"/>
  <c r="AT780" i="3" s="1"/>
  <c r="AW780" i="3" s="1"/>
  <c r="Q476" i="2"/>
  <c r="AT772" i="3"/>
  <c r="AW772" i="3" s="1"/>
  <c r="Q468" i="2"/>
  <c r="AT764" i="3" s="1"/>
  <c r="AW764" i="3" s="1"/>
  <c r="Q460" i="2"/>
  <c r="AT756" i="3"/>
  <c r="AW756" i="3" s="1"/>
  <c r="Q452" i="2"/>
  <c r="AT748" i="3" s="1"/>
  <c r="AW748" i="3" s="1"/>
  <c r="Q444" i="2"/>
  <c r="AT740" i="3"/>
  <c r="AW740" i="3" s="1"/>
  <c r="Q436" i="2"/>
  <c r="AT732" i="3" s="1"/>
  <c r="AW732" i="3" s="1"/>
  <c r="Q428" i="2"/>
  <c r="AT724" i="3"/>
  <c r="AW724" i="3" s="1"/>
  <c r="Q420" i="2"/>
  <c r="AT716" i="3" s="1"/>
  <c r="AW716" i="3" s="1"/>
  <c r="Q412" i="2"/>
  <c r="AT708" i="3"/>
  <c r="AW708" i="3" s="1"/>
  <c r="Q404" i="2"/>
  <c r="AT700" i="3" s="1"/>
  <c r="AW700" i="3" s="1"/>
  <c r="Q396" i="2"/>
  <c r="AT692" i="3"/>
  <c r="AW692" i="3" s="1"/>
  <c r="Q388" i="2"/>
  <c r="AT684" i="3" s="1"/>
  <c r="AW684" i="3" s="1"/>
  <c r="Q380" i="2"/>
  <c r="AT676" i="3"/>
  <c r="AW676" i="3" s="1"/>
  <c r="Q372" i="2"/>
  <c r="AT668" i="3" s="1"/>
  <c r="AW668" i="3" s="1"/>
  <c r="Q364" i="2"/>
  <c r="AT365" i="3" s="1"/>
  <c r="AW365" i="3" s="1"/>
  <c r="AT660" i="3"/>
  <c r="AW660" i="3" s="1"/>
  <c r="Q356" i="2"/>
  <c r="Q348" i="2"/>
  <c r="AT349" i="3" s="1"/>
  <c r="AW349" i="3" s="1"/>
  <c r="AT644" i="3"/>
  <c r="AW644" i="3" s="1"/>
  <c r="Q340" i="2"/>
  <c r="Q332" i="2"/>
  <c r="AT333" i="3" s="1"/>
  <c r="AW333" i="3" s="1"/>
  <c r="AT628" i="3"/>
  <c r="AW628" i="3" s="1"/>
  <c r="Q324" i="2"/>
  <c r="Q316" i="2"/>
  <c r="AT317" i="3" s="1"/>
  <c r="AW317" i="3" s="1"/>
  <c r="AT612" i="3"/>
  <c r="AW612" i="3" s="1"/>
  <c r="Q308" i="2"/>
  <c r="Q300" i="2"/>
  <c r="AT301" i="3" s="1"/>
  <c r="AW301" i="3" s="1"/>
  <c r="AT596" i="3"/>
  <c r="AW596" i="3" s="1"/>
  <c r="Q292" i="2"/>
  <c r="Q284" i="2"/>
  <c r="AT285" i="3" s="1"/>
  <c r="AW285" i="3" s="1"/>
  <c r="AT580" i="3"/>
  <c r="AW580" i="3" s="1"/>
  <c r="Q276" i="2"/>
  <c r="Q268" i="2"/>
  <c r="AT269" i="3" s="1"/>
  <c r="AW269" i="3" s="1"/>
  <c r="AT564" i="3"/>
  <c r="AW564" i="3" s="1"/>
  <c r="Q260" i="2"/>
  <c r="Q252" i="2"/>
  <c r="AT548" i="3"/>
  <c r="AW548" i="3" s="1"/>
  <c r="Q244" i="2"/>
  <c r="Q236" i="2"/>
  <c r="AT237" i="3" s="1"/>
  <c r="AW237" i="3" s="1"/>
  <c r="AT532" i="3"/>
  <c r="AW532" i="3" s="1"/>
  <c r="Q228" i="2"/>
  <c r="Q220" i="2"/>
  <c r="AT221" i="3" s="1"/>
  <c r="AW221" i="3" s="1"/>
  <c r="AT516" i="3"/>
  <c r="AW516" i="3" s="1"/>
  <c r="Q212" i="2"/>
  <c r="Q204" i="2"/>
  <c r="AT205" i="3" s="1"/>
  <c r="AW205" i="3" s="1"/>
  <c r="AT500" i="3"/>
  <c r="AW500" i="3" s="1"/>
  <c r="Q196" i="2"/>
  <c r="Q188" i="2"/>
  <c r="AT189" i="3" s="1"/>
  <c r="AW189" i="3" s="1"/>
  <c r="AT484" i="3"/>
  <c r="AW484" i="3" s="1"/>
  <c r="Q180" i="2"/>
  <c r="Q172" i="2"/>
  <c r="AT173" i="3" s="1"/>
  <c r="AW173" i="3" s="1"/>
  <c r="AT468" i="3"/>
  <c r="AW468" i="3" s="1"/>
  <c r="Q164" i="2"/>
  <c r="Q156" i="2"/>
  <c r="AT157" i="3" s="1"/>
  <c r="AW157" i="3" s="1"/>
  <c r="AT452" i="3"/>
  <c r="AW452" i="3" s="1"/>
  <c r="Q148" i="2"/>
  <c r="Q140" i="2"/>
  <c r="AT436" i="3" s="1"/>
  <c r="AW436" i="3" s="1"/>
  <c r="Q136" i="2"/>
  <c r="Q128" i="2"/>
  <c r="Q120" i="2"/>
  <c r="Q112" i="2"/>
  <c r="AT408" i="3" s="1"/>
  <c r="AW408" i="3" s="1"/>
  <c r="Q104" i="2"/>
  <c r="Q96" i="2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 s="1"/>
  <c r="AW832" i="3" s="1"/>
  <c r="Q528" i="2"/>
  <c r="AT824" i="3"/>
  <c r="AW824" i="3" s="1"/>
  <c r="Q520" i="2"/>
  <c r="AT816" i="3" s="1"/>
  <c r="AW816" i="3" s="1"/>
  <c r="Q512" i="2"/>
  <c r="AT808" i="3"/>
  <c r="AW808" i="3" s="1"/>
  <c r="Q504" i="2"/>
  <c r="AT800" i="3" s="1"/>
  <c r="AW800" i="3" s="1"/>
  <c r="Q496" i="2"/>
  <c r="AT792" i="3"/>
  <c r="AW792" i="3" s="1"/>
  <c r="Q488" i="2"/>
  <c r="AT784" i="3" s="1"/>
  <c r="AW784" i="3" s="1"/>
  <c r="Q480" i="2"/>
  <c r="AT776" i="3"/>
  <c r="AW776" i="3" s="1"/>
  <c r="Q472" i="2"/>
  <c r="AT768" i="3" s="1"/>
  <c r="AW768" i="3" s="1"/>
  <c r="Q464" i="2"/>
  <c r="AT760" i="3"/>
  <c r="AW760" i="3" s="1"/>
  <c r="Q456" i="2"/>
  <c r="AT752" i="3" s="1"/>
  <c r="AW752" i="3" s="1"/>
  <c r="Q448" i="2"/>
  <c r="AT744" i="3"/>
  <c r="AW744" i="3" s="1"/>
  <c r="Q440" i="2"/>
  <c r="AT736" i="3" s="1"/>
  <c r="AW736" i="3" s="1"/>
  <c r="Q432" i="2"/>
  <c r="AT728" i="3"/>
  <c r="AW728" i="3" s="1"/>
  <c r="Q424" i="2"/>
  <c r="AT720" i="3" s="1"/>
  <c r="AW720" i="3" s="1"/>
  <c r="Q416" i="2"/>
  <c r="AT712" i="3"/>
  <c r="AW712" i="3" s="1"/>
  <c r="Q408" i="2"/>
  <c r="AT704" i="3" s="1"/>
  <c r="AW704" i="3" s="1"/>
  <c r="Q400" i="2"/>
  <c r="AT696" i="3"/>
  <c r="AW696" i="3" s="1"/>
  <c r="Q392" i="2"/>
  <c r="AT688" i="3" s="1"/>
  <c r="AW688" i="3" s="1"/>
  <c r="Q384" i="2"/>
  <c r="AT680" i="3"/>
  <c r="AW680" i="3" s="1"/>
  <c r="Q376" i="2"/>
  <c r="AT672" i="3" s="1"/>
  <c r="AW672" i="3" s="1"/>
  <c r="Q368" i="2"/>
  <c r="AT664" i="3"/>
  <c r="AW664" i="3" s="1"/>
  <c r="Q360" i="2"/>
  <c r="AT361" i="3" s="1"/>
  <c r="AW361" i="3" s="1"/>
  <c r="Q352" i="2"/>
  <c r="AT353" i="3" s="1"/>
  <c r="AW353" i="3" s="1"/>
  <c r="AT648" i="3"/>
  <c r="AW648" i="3" s="1"/>
  <c r="Q344" i="2"/>
  <c r="AT345" i="3" s="1"/>
  <c r="AW345" i="3" s="1"/>
  <c r="Q336" i="2"/>
  <c r="AT337" i="3" s="1"/>
  <c r="AW337" i="3" s="1"/>
  <c r="AT632" i="3"/>
  <c r="AW632" i="3" s="1"/>
  <c r="Q328" i="2"/>
  <c r="AT329" i="3" s="1"/>
  <c r="AW329" i="3" s="1"/>
  <c r="Q320" i="2"/>
  <c r="AT321" i="3" s="1"/>
  <c r="AW321" i="3" s="1"/>
  <c r="AT616" i="3"/>
  <c r="AW616" i="3" s="1"/>
  <c r="Q312" i="2"/>
  <c r="AT313" i="3" s="1"/>
  <c r="AW313" i="3" s="1"/>
  <c r="Q304" i="2"/>
  <c r="AT305" i="3" s="1"/>
  <c r="AW305" i="3" s="1"/>
  <c r="AT600" i="3"/>
  <c r="AW600" i="3" s="1"/>
  <c r="Q296" i="2"/>
  <c r="AT297" i="3" s="1"/>
  <c r="AW297" i="3" s="1"/>
  <c r="Q288" i="2"/>
  <c r="AT289" i="3" s="1"/>
  <c r="AW289" i="3" s="1"/>
  <c r="AT584" i="3"/>
  <c r="AW584" i="3" s="1"/>
  <c r="Q280" i="2"/>
  <c r="AT281" i="3" s="1"/>
  <c r="AW281" i="3" s="1"/>
  <c r="Q272" i="2"/>
  <c r="AT273" i="3" s="1"/>
  <c r="AW273" i="3" s="1"/>
  <c r="AT568" i="3"/>
  <c r="AW568" i="3" s="1"/>
  <c r="Q264" i="2"/>
  <c r="AT265" i="3" s="1"/>
  <c r="AW265" i="3" s="1"/>
  <c r="Q256" i="2"/>
  <c r="AT552" i="3"/>
  <c r="AW552" i="3" s="1"/>
  <c r="Q248" i="2"/>
  <c r="AT249" i="3" s="1"/>
  <c r="AW249" i="3" s="1"/>
  <c r="Q240" i="2"/>
  <c r="AT241" i="3" s="1"/>
  <c r="AW241" i="3" s="1"/>
  <c r="AT536" i="3"/>
  <c r="AW536" i="3" s="1"/>
  <c r="Q232" i="2"/>
  <c r="AT233" i="3" s="1"/>
  <c r="AW233" i="3" s="1"/>
  <c r="Q224" i="2"/>
  <c r="AT225" i="3" s="1"/>
  <c r="AW225" i="3" s="1"/>
  <c r="AT520" i="3"/>
  <c r="AW520" i="3" s="1"/>
  <c r="Q216" i="2"/>
  <c r="AT217" i="3" s="1"/>
  <c r="AW217" i="3" s="1"/>
  <c r="Q208" i="2"/>
  <c r="AT209" i="3" s="1"/>
  <c r="AW209" i="3" s="1"/>
  <c r="AT504" i="3"/>
  <c r="AW504" i="3" s="1"/>
  <c r="Q200" i="2"/>
  <c r="AT201" i="3" s="1"/>
  <c r="AW201" i="3" s="1"/>
  <c r="Q192" i="2"/>
  <c r="AT375" i="3" s="1"/>
  <c r="AW375" i="3" s="1"/>
  <c r="AT488" i="3"/>
  <c r="AW488" i="3" s="1"/>
  <c r="Q184" i="2"/>
  <c r="AT185" i="3" s="1"/>
  <c r="AW185" i="3" s="1"/>
  <c r="Q176" i="2"/>
  <c r="AT177" i="3" s="1"/>
  <c r="AW177" i="3" s="1"/>
  <c r="AT472" i="3"/>
  <c r="AW472" i="3" s="1"/>
  <c r="Q168" i="2"/>
  <c r="AT169" i="3" s="1"/>
  <c r="AW169" i="3" s="1"/>
  <c r="Q160" i="2"/>
  <c r="AT161" i="3" s="1"/>
  <c r="AW161" i="3" s="1"/>
  <c r="AT456" i="3"/>
  <c r="AW456" i="3" s="1"/>
  <c r="Q152" i="2"/>
  <c r="AT153" i="3" s="1"/>
  <c r="AW153" i="3" s="1"/>
  <c r="Q144" i="2"/>
  <c r="Q132" i="2"/>
  <c r="AT133" i="3" s="1"/>
  <c r="AW133" i="3" s="1"/>
  <c r="AT428" i="3"/>
  <c r="AW428" i="3" s="1"/>
  <c r="Q124" i="2"/>
  <c r="Q116" i="2"/>
  <c r="AT412" i="3" s="1"/>
  <c r="AW412" i="3" s="1"/>
  <c r="Q108" i="2"/>
  <c r="Q100" i="2"/>
  <c r="Q92" i="2"/>
  <c r="Q84" i="2"/>
  <c r="AT85" i="3" s="1"/>
  <c r="AW85" i="3" s="1"/>
  <c r="AT380" i="3"/>
  <c r="AW380" i="3" s="1"/>
  <c r="Q862" i="2"/>
  <c r="AT1158" i="3" s="1"/>
  <c r="AW1158" i="3" s="1"/>
  <c r="Q858" i="2"/>
  <c r="AT1154" i="3"/>
  <c r="AW1154" i="3" s="1"/>
  <c r="Q854" i="2"/>
  <c r="AT1150" i="3" s="1"/>
  <c r="AW1150" i="3" s="1"/>
  <c r="Q850" i="2"/>
  <c r="AT1146" i="3"/>
  <c r="AW1146" i="3" s="1"/>
  <c r="Q846" i="2"/>
  <c r="AT1142" i="3" s="1"/>
  <c r="AW1142" i="3" s="1"/>
  <c r="Q842" i="2"/>
  <c r="AT1138" i="3"/>
  <c r="AW1138" i="3" s="1"/>
  <c r="Q838" i="2"/>
  <c r="AT1134" i="3" s="1"/>
  <c r="AW1134" i="3" s="1"/>
  <c r="Q834" i="2"/>
  <c r="AT1130" i="3"/>
  <c r="AW1130" i="3" s="1"/>
  <c r="Q830" i="2"/>
  <c r="AT1126" i="3" s="1"/>
  <c r="AW1126" i="3" s="1"/>
  <c r="Q826" i="2"/>
  <c r="AT1122" i="3"/>
  <c r="AW1122" i="3" s="1"/>
  <c r="Q822" i="2"/>
  <c r="AT1118" i="3" s="1"/>
  <c r="AW1118" i="3" s="1"/>
  <c r="Q818" i="2"/>
  <c r="AT1114" i="3"/>
  <c r="AW1114" i="3" s="1"/>
  <c r="Q814" i="2"/>
  <c r="AT1110" i="3" s="1"/>
  <c r="AW1110" i="3" s="1"/>
  <c r="Q810" i="2"/>
  <c r="AT1106" i="3"/>
  <c r="AW1106" i="3" s="1"/>
  <c r="Q806" i="2"/>
  <c r="AT1102" i="3" s="1"/>
  <c r="AW1102" i="3" s="1"/>
  <c r="Q802" i="2"/>
  <c r="AT1098" i="3"/>
  <c r="AW1098" i="3" s="1"/>
  <c r="Q798" i="2"/>
  <c r="AT1094" i="3" s="1"/>
  <c r="AW1094" i="3" s="1"/>
  <c r="Q794" i="2"/>
  <c r="AT1090" i="3"/>
  <c r="AW1090" i="3" s="1"/>
  <c r="Q790" i="2"/>
  <c r="AT1086" i="3" s="1"/>
  <c r="AW1086" i="3" s="1"/>
  <c r="Q786" i="2"/>
  <c r="AT1082" i="3"/>
  <c r="AW1082" i="3" s="1"/>
  <c r="Q782" i="2"/>
  <c r="AT1078" i="3" s="1"/>
  <c r="AW1078" i="3" s="1"/>
  <c r="Q778" i="2"/>
  <c r="AT1074" i="3"/>
  <c r="AW1074" i="3" s="1"/>
  <c r="Q774" i="2"/>
  <c r="AT1070" i="3" s="1"/>
  <c r="AW1070" i="3" s="1"/>
  <c r="Q770" i="2"/>
  <c r="AT1066" i="3"/>
  <c r="AW1066" i="3" s="1"/>
  <c r="Q766" i="2"/>
  <c r="AT1062" i="3" s="1"/>
  <c r="AW1062" i="3" s="1"/>
  <c r="Q762" i="2"/>
  <c r="AT1058" i="3"/>
  <c r="AW1058" i="3" s="1"/>
  <c r="Q758" i="2"/>
  <c r="AT1054" i="3" s="1"/>
  <c r="AW1054" i="3" s="1"/>
  <c r="Q754" i="2"/>
  <c r="AT1050" i="3"/>
  <c r="AW1050" i="3" s="1"/>
  <c r="Q750" i="2"/>
  <c r="AT1046" i="3" s="1"/>
  <c r="AW1046" i="3" s="1"/>
  <c r="Q746" i="2"/>
  <c r="AT1042" i="3"/>
  <c r="AW1042" i="3" s="1"/>
  <c r="Q742" i="2"/>
  <c r="AT1038" i="3" s="1"/>
  <c r="AW1038" i="3" s="1"/>
  <c r="Q738" i="2"/>
  <c r="AT1034" i="3"/>
  <c r="AW1034" i="3" s="1"/>
  <c r="Q734" i="2"/>
  <c r="AT1030" i="3" s="1"/>
  <c r="AW1030" i="3" s="1"/>
  <c r="Q730" i="2"/>
  <c r="AT1026" i="3"/>
  <c r="AW1026" i="3" s="1"/>
  <c r="Q726" i="2"/>
  <c r="AT1022" i="3" s="1"/>
  <c r="AW1022" i="3" s="1"/>
  <c r="Q722" i="2"/>
  <c r="AT1018" i="3"/>
  <c r="AW1018" i="3" s="1"/>
  <c r="Q718" i="2"/>
  <c r="AT1014" i="3" s="1"/>
  <c r="AW1014" i="3" s="1"/>
  <c r="Q714" i="2"/>
  <c r="AT1010" i="3"/>
  <c r="AW1010" i="3" s="1"/>
  <c r="Q710" i="2"/>
  <c r="AT1006" i="3" s="1"/>
  <c r="AW1006" i="3" s="1"/>
  <c r="Q706" i="2"/>
  <c r="AT1002" i="3"/>
  <c r="AW1002" i="3" s="1"/>
  <c r="Q702" i="2"/>
  <c r="AT998" i="3" s="1"/>
  <c r="AW998" i="3" s="1"/>
  <c r="Q698" i="2"/>
  <c r="AT994" i="3"/>
  <c r="AW994" i="3" s="1"/>
  <c r="Q694" i="2"/>
  <c r="AT990" i="3" s="1"/>
  <c r="AW990" i="3" s="1"/>
  <c r="Q690" i="2"/>
  <c r="AT986" i="3"/>
  <c r="AW986" i="3" s="1"/>
  <c r="Q686" i="2"/>
  <c r="AT982" i="3" s="1"/>
  <c r="AW982" i="3" s="1"/>
  <c r="Q682" i="2"/>
  <c r="AT978" i="3"/>
  <c r="AW978" i="3" s="1"/>
  <c r="Q678" i="2"/>
  <c r="AT974" i="3" s="1"/>
  <c r="AW974" i="3" s="1"/>
  <c r="Q674" i="2"/>
  <c r="AT970" i="3"/>
  <c r="AW970" i="3" s="1"/>
  <c r="Q670" i="2"/>
  <c r="AT966" i="3" s="1"/>
  <c r="AW966" i="3" s="1"/>
  <c r="Q666" i="2"/>
  <c r="AT962" i="3"/>
  <c r="AW962" i="3" s="1"/>
  <c r="Q662" i="2"/>
  <c r="AT958" i="3" s="1"/>
  <c r="AW958" i="3" s="1"/>
  <c r="Q658" i="2"/>
  <c r="AT954" i="3"/>
  <c r="AW954" i="3" s="1"/>
  <c r="Q654" i="2"/>
  <c r="AT950" i="3" s="1"/>
  <c r="AW950" i="3" s="1"/>
  <c r="Q650" i="2"/>
  <c r="AT946" i="3"/>
  <c r="AW946" i="3" s="1"/>
  <c r="Q646" i="2"/>
  <c r="AT942" i="3" s="1"/>
  <c r="AW942" i="3" s="1"/>
  <c r="Q642" i="2"/>
  <c r="AT938" i="3"/>
  <c r="AW938" i="3" s="1"/>
  <c r="Q638" i="2"/>
  <c r="AT934" i="3" s="1"/>
  <c r="AW934" i="3" s="1"/>
  <c r="Q634" i="2"/>
  <c r="AT930" i="3"/>
  <c r="AW930" i="3" s="1"/>
  <c r="Q630" i="2"/>
  <c r="AT926" i="3" s="1"/>
  <c r="AW926" i="3" s="1"/>
  <c r="Q626" i="2"/>
  <c r="AT922" i="3"/>
  <c r="AW922" i="3" s="1"/>
  <c r="Q622" i="2"/>
  <c r="AT918" i="3" s="1"/>
  <c r="AW918" i="3" s="1"/>
  <c r="Q618" i="2"/>
  <c r="AT914" i="3"/>
  <c r="AW914" i="3" s="1"/>
  <c r="Q614" i="2"/>
  <c r="AT910" i="3" s="1"/>
  <c r="AW910" i="3" s="1"/>
  <c r="Q610" i="2"/>
  <c r="AT906" i="3"/>
  <c r="AW906" i="3" s="1"/>
  <c r="Q606" i="2"/>
  <c r="AT902" i="3" s="1"/>
  <c r="AW902" i="3" s="1"/>
  <c r="Q602" i="2"/>
  <c r="AT898" i="3"/>
  <c r="AW898" i="3" s="1"/>
  <c r="Q598" i="2"/>
  <c r="AT894" i="3" s="1"/>
  <c r="AW894" i="3" s="1"/>
  <c r="Q594" i="2"/>
  <c r="AT890" i="3"/>
  <c r="AW890" i="3" s="1"/>
  <c r="Q590" i="2"/>
  <c r="AT886" i="3" s="1"/>
  <c r="AW886" i="3" s="1"/>
  <c r="Q586" i="2"/>
  <c r="AT882" i="3"/>
  <c r="AW882" i="3" s="1"/>
  <c r="Q582" i="2"/>
  <c r="AT878" i="3" s="1"/>
  <c r="AW878" i="3" s="1"/>
  <c r="Q578" i="2"/>
  <c r="AT874" i="3"/>
  <c r="AW874" i="3" s="1"/>
  <c r="Q574" i="2"/>
  <c r="AT870" i="3" s="1"/>
  <c r="AW870" i="3" s="1"/>
  <c r="Q570" i="2"/>
  <c r="AT866" i="3"/>
  <c r="AW866" i="3" s="1"/>
  <c r="Q566" i="2"/>
  <c r="AT862" i="3" s="1"/>
  <c r="AW862" i="3" s="1"/>
  <c r="Q562" i="2"/>
  <c r="AT858" i="3"/>
  <c r="AW858" i="3" s="1"/>
  <c r="Q558" i="2"/>
  <c r="AT854" i="3" s="1"/>
  <c r="AW854" i="3" s="1"/>
  <c r="Q554" i="2"/>
  <c r="AT850" i="3"/>
  <c r="AW850" i="3" s="1"/>
  <c r="Q550" i="2"/>
  <c r="AT846" i="3" s="1"/>
  <c r="AW846" i="3" s="1"/>
  <c r="Q546" i="2"/>
  <c r="AT842" i="3"/>
  <c r="AW842" i="3" s="1"/>
  <c r="Q542" i="2"/>
  <c r="AT838" i="3" s="1"/>
  <c r="AW838" i="3" s="1"/>
  <c r="Q538" i="2"/>
  <c r="AT834" i="3"/>
  <c r="AW834" i="3" s="1"/>
  <c r="Q534" i="2"/>
  <c r="AT830" i="3" s="1"/>
  <c r="AW830" i="3" s="1"/>
  <c r="Q530" i="2"/>
  <c r="AT826" i="3"/>
  <c r="AW826" i="3" s="1"/>
  <c r="Q526" i="2"/>
  <c r="AT822" i="3" s="1"/>
  <c r="AW822" i="3" s="1"/>
  <c r="Q522" i="2"/>
  <c r="AT818" i="3"/>
  <c r="AW818" i="3" s="1"/>
  <c r="Q518" i="2"/>
  <c r="AT814" i="3" s="1"/>
  <c r="AW814" i="3" s="1"/>
  <c r="Q514" i="2"/>
  <c r="AT810" i="3"/>
  <c r="AW810" i="3" s="1"/>
  <c r="Q510" i="2"/>
  <c r="AT806" i="3" s="1"/>
  <c r="AW806" i="3" s="1"/>
  <c r="Q506" i="2"/>
  <c r="AT802" i="3"/>
  <c r="AW802" i="3" s="1"/>
  <c r="Q502" i="2"/>
  <c r="AT798" i="3" s="1"/>
  <c r="AW798" i="3" s="1"/>
  <c r="Q498" i="2"/>
  <c r="AT794" i="3"/>
  <c r="AW794" i="3" s="1"/>
  <c r="Q494" i="2"/>
  <c r="AT790" i="3" s="1"/>
  <c r="AW790" i="3" s="1"/>
  <c r="Q490" i="2"/>
  <c r="AT786" i="3"/>
  <c r="AW786" i="3" s="1"/>
  <c r="Q486" i="2"/>
  <c r="AT782" i="3" s="1"/>
  <c r="AW782" i="3" s="1"/>
  <c r="Q482" i="2"/>
  <c r="AT778" i="3"/>
  <c r="AW778" i="3" s="1"/>
  <c r="Q478" i="2"/>
  <c r="AT774" i="3" s="1"/>
  <c r="AW774" i="3" s="1"/>
  <c r="Q474" i="2"/>
  <c r="AT770" i="3"/>
  <c r="AW770" i="3" s="1"/>
  <c r="Q470" i="2"/>
  <c r="AT766" i="3" s="1"/>
  <c r="AW766" i="3" s="1"/>
  <c r="Q466" i="2"/>
  <c r="AT762" i="3"/>
  <c r="AW762" i="3" s="1"/>
  <c r="Q462" i="2"/>
  <c r="AT758" i="3" s="1"/>
  <c r="AW758" i="3" s="1"/>
  <c r="Q458" i="2"/>
  <c r="AT754" i="3"/>
  <c r="AW754" i="3" s="1"/>
  <c r="Q454" i="2"/>
  <c r="AT750" i="3" s="1"/>
  <c r="AW750" i="3" s="1"/>
  <c r="Q450" i="2"/>
  <c r="AT746" i="3"/>
  <c r="AW746" i="3" s="1"/>
  <c r="Q446" i="2"/>
  <c r="AT742" i="3" s="1"/>
  <c r="AW742" i="3" s="1"/>
  <c r="Q442" i="2"/>
  <c r="AT738" i="3"/>
  <c r="AW738" i="3" s="1"/>
  <c r="Q438" i="2"/>
  <c r="AT734" i="3" s="1"/>
  <c r="AW734" i="3" s="1"/>
  <c r="Q434" i="2"/>
  <c r="AT730" i="3"/>
  <c r="AW730" i="3" s="1"/>
  <c r="Q430" i="2"/>
  <c r="AT726" i="3" s="1"/>
  <c r="AW726" i="3" s="1"/>
  <c r="Q426" i="2"/>
  <c r="AT722" i="3"/>
  <c r="AW722" i="3" s="1"/>
  <c r="Q422" i="2"/>
  <c r="AT718" i="3" s="1"/>
  <c r="AW718" i="3" s="1"/>
  <c r="Q418" i="2"/>
  <c r="AT714" i="3"/>
  <c r="AW714" i="3" s="1"/>
  <c r="Q414" i="2"/>
  <c r="AT710" i="3" s="1"/>
  <c r="AW710" i="3" s="1"/>
  <c r="Q410" i="2"/>
  <c r="AT706" i="3"/>
  <c r="AW706" i="3" s="1"/>
  <c r="Q406" i="2"/>
  <c r="AT702" i="3" s="1"/>
  <c r="AW702" i="3" s="1"/>
  <c r="Q402" i="2"/>
  <c r="AT698" i="3"/>
  <c r="AW698" i="3" s="1"/>
  <c r="Q398" i="2"/>
  <c r="AT694" i="3" s="1"/>
  <c r="AW694" i="3" s="1"/>
  <c r="Q394" i="2"/>
  <c r="AT690" i="3"/>
  <c r="AW690" i="3" s="1"/>
  <c r="Q390" i="2"/>
  <c r="AT686" i="3" s="1"/>
  <c r="AW686" i="3" s="1"/>
  <c r="Q386" i="2"/>
  <c r="AT682" i="3"/>
  <c r="AW682" i="3" s="1"/>
  <c r="Q382" i="2"/>
  <c r="AT678" i="3" s="1"/>
  <c r="AW678" i="3" s="1"/>
  <c r="Q378" i="2"/>
  <c r="AT674" i="3"/>
  <c r="AW674" i="3" s="1"/>
  <c r="Q374" i="2"/>
  <c r="AT670" i="3" s="1"/>
  <c r="AW670" i="3" s="1"/>
  <c r="Q370" i="2"/>
  <c r="AT666" i="3"/>
  <c r="AW666" i="3" s="1"/>
  <c r="Q366" i="2"/>
  <c r="AT367" i="3" s="1"/>
  <c r="AW367" i="3" s="1"/>
  <c r="Q362" i="2"/>
  <c r="AT363" i="3" s="1"/>
  <c r="AW363" i="3" s="1"/>
  <c r="AT658" i="3"/>
  <c r="AW658" i="3" s="1"/>
  <c r="Q358" i="2"/>
  <c r="AT359" i="3" s="1"/>
  <c r="AW359" i="3" s="1"/>
  <c r="Q354" i="2"/>
  <c r="AT355" i="3" s="1"/>
  <c r="AW355" i="3" s="1"/>
  <c r="AT650" i="3"/>
  <c r="AW650" i="3" s="1"/>
  <c r="Q350" i="2"/>
  <c r="AT351" i="3" s="1"/>
  <c r="AW351" i="3" s="1"/>
  <c r="Q346" i="2"/>
  <c r="AT347" i="3" s="1"/>
  <c r="AW347" i="3" s="1"/>
  <c r="AT642" i="3"/>
  <c r="AW642" i="3" s="1"/>
  <c r="Q342" i="2"/>
  <c r="AT343" i="3" s="1"/>
  <c r="AW343" i="3" s="1"/>
  <c r="Q338" i="2"/>
  <c r="AT339" i="3" s="1"/>
  <c r="AW339" i="3" s="1"/>
  <c r="AT634" i="3"/>
  <c r="AW634" i="3" s="1"/>
  <c r="Q334" i="2"/>
  <c r="AT335" i="3" s="1"/>
  <c r="AW335" i="3" s="1"/>
  <c r="Q330" i="2"/>
  <c r="AT331" i="3" s="1"/>
  <c r="AW331" i="3" s="1"/>
  <c r="AT626" i="3"/>
  <c r="AW626" i="3" s="1"/>
  <c r="Q326" i="2"/>
  <c r="AT327" i="3" s="1"/>
  <c r="AW327" i="3" s="1"/>
  <c r="Q322" i="2"/>
  <c r="AT323" i="3" s="1"/>
  <c r="AW323" i="3" s="1"/>
  <c r="AT618" i="3"/>
  <c r="AW618" i="3" s="1"/>
  <c r="Q318" i="2"/>
  <c r="AT319" i="3" s="1"/>
  <c r="AW319" i="3" s="1"/>
  <c r="Q314" i="2"/>
  <c r="AT315" i="3" s="1"/>
  <c r="AW315" i="3" s="1"/>
  <c r="AT610" i="3"/>
  <c r="AW610" i="3" s="1"/>
  <c r="Q310" i="2"/>
  <c r="AT311" i="3" s="1"/>
  <c r="AW311" i="3" s="1"/>
  <c r="Q306" i="2"/>
  <c r="AT602" i="3"/>
  <c r="AW602" i="3" s="1"/>
  <c r="Q302" i="2"/>
  <c r="AT303" i="3" s="1"/>
  <c r="AW303" i="3" s="1"/>
  <c r="Q298" i="2"/>
  <c r="AT299" i="3" s="1"/>
  <c r="AW299" i="3" s="1"/>
  <c r="AT594" i="3"/>
  <c r="AW594" i="3" s="1"/>
  <c r="Q294" i="2"/>
  <c r="AT590" i="3" s="1"/>
  <c r="AW590" i="3" s="1"/>
  <c r="Q290" i="2"/>
  <c r="AT291" i="3" s="1"/>
  <c r="AW291" i="3" s="1"/>
  <c r="AT586" i="3"/>
  <c r="AW586" i="3" s="1"/>
  <c r="Q286" i="2"/>
  <c r="AT287" i="3" s="1"/>
  <c r="AW287" i="3" s="1"/>
  <c r="Q282" i="2"/>
  <c r="AT283" i="3" s="1"/>
  <c r="AW283" i="3" s="1"/>
  <c r="AT578" i="3"/>
  <c r="AW578" i="3" s="1"/>
  <c r="Q278" i="2"/>
  <c r="AT279" i="3" s="1"/>
  <c r="AW279" i="3" s="1"/>
  <c r="Q274" i="2"/>
  <c r="AT275" i="3" s="1"/>
  <c r="AW275" i="3" s="1"/>
  <c r="AT570" i="3"/>
  <c r="AW570" i="3" s="1"/>
  <c r="Q270" i="2"/>
  <c r="AT271" i="3" s="1"/>
  <c r="AW271" i="3" s="1"/>
  <c r="Q266" i="2"/>
  <c r="AT267" i="3" s="1"/>
  <c r="AW267" i="3" s="1"/>
  <c r="AT562" i="3"/>
  <c r="AW562" i="3" s="1"/>
  <c r="Q262" i="2"/>
  <c r="AT263" i="3" s="1"/>
  <c r="AW263" i="3" s="1"/>
  <c r="Q258" i="2"/>
  <c r="AT259" i="3" s="1"/>
  <c r="AW259" i="3" s="1"/>
  <c r="AT554" i="3"/>
  <c r="AW554" i="3" s="1"/>
  <c r="Q254" i="2"/>
  <c r="AT255" i="3" s="1"/>
  <c r="AW255" i="3" s="1"/>
  <c r="Q250" i="2"/>
  <c r="AT251" i="3" s="1"/>
  <c r="AW251" i="3" s="1"/>
  <c r="AT546" i="3"/>
  <c r="AW546" i="3" s="1"/>
  <c r="Q246" i="2"/>
  <c r="AT247" i="3" s="1"/>
  <c r="AW247" i="3" s="1"/>
  <c r="Q242" i="2"/>
  <c r="AT538" i="3"/>
  <c r="AW538" i="3" s="1"/>
  <c r="Q238" i="2"/>
  <c r="AT239" i="3" s="1"/>
  <c r="AW239" i="3" s="1"/>
  <c r="Q234" i="2"/>
  <c r="AT235" i="3" s="1"/>
  <c r="AW235" i="3" s="1"/>
  <c r="AT530" i="3"/>
  <c r="AW530" i="3" s="1"/>
  <c r="Q230" i="2"/>
  <c r="AT231" i="3" s="1"/>
  <c r="AW231" i="3" s="1"/>
  <c r="Q226" i="2"/>
  <c r="AT227" i="3" s="1"/>
  <c r="AW227" i="3" s="1"/>
  <c r="AT522" i="3"/>
  <c r="AW522" i="3" s="1"/>
  <c r="Q222" i="2"/>
  <c r="AT223" i="3" s="1"/>
  <c r="AW223" i="3" s="1"/>
  <c r="Q218" i="2"/>
  <c r="AT219" i="3" s="1"/>
  <c r="AW219" i="3" s="1"/>
  <c r="AT514" i="3"/>
  <c r="AW514" i="3" s="1"/>
  <c r="Q214" i="2"/>
  <c r="AT215" i="3" s="1"/>
  <c r="AW215" i="3" s="1"/>
  <c r="Q210" i="2"/>
  <c r="AT211" i="3" s="1"/>
  <c r="AW211" i="3" s="1"/>
  <c r="AT506" i="3"/>
  <c r="AW506" i="3" s="1"/>
  <c r="Q206" i="2"/>
  <c r="AT207" i="3" s="1"/>
  <c r="AW207" i="3" s="1"/>
  <c r="Q202" i="2"/>
  <c r="AT203" i="3" s="1"/>
  <c r="AW203" i="3" s="1"/>
  <c r="AT498" i="3"/>
  <c r="AW498" i="3" s="1"/>
  <c r="Q198" i="2"/>
  <c r="AT199" i="3" s="1"/>
  <c r="AW199" i="3" s="1"/>
  <c r="Q194" i="2"/>
  <c r="AT490" i="3"/>
  <c r="AW490" i="3" s="1"/>
  <c r="Q190" i="2"/>
  <c r="Q186" i="2"/>
  <c r="AT187" i="3" s="1"/>
  <c r="AW187" i="3" s="1"/>
  <c r="AT482" i="3"/>
  <c r="AW482" i="3" s="1"/>
  <c r="Q182" i="2"/>
  <c r="AT183" i="3" s="1"/>
  <c r="AW183" i="3" s="1"/>
  <c r="Q178" i="2"/>
  <c r="AT179" i="3" s="1"/>
  <c r="AW179" i="3" s="1"/>
  <c r="AT474" i="3"/>
  <c r="AW474" i="3" s="1"/>
  <c r="Q174" i="2"/>
  <c r="AT175" i="3" s="1"/>
  <c r="AW175" i="3" s="1"/>
  <c r="Q170" i="2"/>
  <c r="AT171" i="3" s="1"/>
  <c r="AW171" i="3" s="1"/>
  <c r="AT466" i="3"/>
  <c r="AW466" i="3" s="1"/>
  <c r="Q166" i="2"/>
  <c r="AT167" i="3" s="1"/>
  <c r="AW167" i="3" s="1"/>
  <c r="Q162" i="2"/>
  <c r="AT163" i="3" s="1"/>
  <c r="AW163" i="3" s="1"/>
  <c r="AT458" i="3"/>
  <c r="AW458" i="3" s="1"/>
  <c r="Q158" i="2"/>
  <c r="AT159" i="3" s="1"/>
  <c r="AW159" i="3" s="1"/>
  <c r="Q154" i="2"/>
  <c r="AT450" i="3"/>
  <c r="AW450" i="3" s="1"/>
  <c r="Q150" i="2"/>
  <c r="AT151" i="3" s="1"/>
  <c r="AW151" i="3" s="1"/>
  <c r="Q146" i="2"/>
  <c r="AT147" i="3" s="1"/>
  <c r="AW147" i="3" s="1"/>
  <c r="AT442" i="3"/>
  <c r="AW442" i="3" s="1"/>
  <c r="Q142" i="2"/>
  <c r="Q138" i="2"/>
  <c r="Q134" i="2"/>
  <c r="Q130" i="2"/>
  <c r="Q126" i="2"/>
  <c r="Q122" i="2"/>
  <c r="AT418" i="3" s="1"/>
  <c r="AW418" i="3" s="1"/>
  <c r="Q118" i="2"/>
  <c r="Q114" i="2"/>
  <c r="AT115" i="3" s="1"/>
  <c r="AW115" i="3" s="1"/>
  <c r="AT410" i="3"/>
  <c r="AW410" i="3" s="1"/>
  <c r="Q110" i="2"/>
  <c r="Q106" i="2"/>
  <c r="AT107" i="3" s="1"/>
  <c r="AW107" i="3" s="1"/>
  <c r="AT402" i="3"/>
  <c r="AW402" i="3" s="1"/>
  <c r="Q102" i="2"/>
  <c r="Q98" i="2"/>
  <c r="Q94" i="2"/>
  <c r="Q90" i="2"/>
  <c r="AT386" i="3" s="1"/>
  <c r="AW386" i="3" s="1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82" i="3"/>
  <c r="AR482" i="3" s="1"/>
  <c r="AO466" i="3"/>
  <c r="AR466" i="3" s="1"/>
  <c r="O154" i="2"/>
  <c r="AO450" i="3" s="1"/>
  <c r="AR450" i="3" s="1"/>
  <c r="O150" i="2"/>
  <c r="O142" i="2"/>
  <c r="O138" i="2"/>
  <c r="AO434" i="3" s="1"/>
  <c r="AR434" i="3" s="1"/>
  <c r="O134" i="2"/>
  <c r="O130" i="2"/>
  <c r="O126" i="2"/>
  <c r="O122" i="2"/>
  <c r="AO418" i="3" s="1"/>
  <c r="AR418" i="3" s="1"/>
  <c r="O114" i="2"/>
  <c r="O110" i="2"/>
  <c r="O102" i="2"/>
  <c r="AO398" i="3" s="1"/>
  <c r="AR398" i="3" s="1"/>
  <c r="O98" i="2"/>
  <c r="O90" i="2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7" i="3"/>
  <c r="AR637" i="3" s="1"/>
  <c r="AO633" i="3"/>
  <c r="AR633" i="3" s="1"/>
  <c r="AO621" i="3"/>
  <c r="AR621" i="3" s="1"/>
  <c r="AO609" i="3"/>
  <c r="AR609" i="3" s="1"/>
  <c r="AO605" i="3"/>
  <c r="AR605" i="3" s="1"/>
  <c r="AO589" i="3"/>
  <c r="AR589" i="3" s="1"/>
  <c r="AO573" i="3"/>
  <c r="AR573" i="3" s="1"/>
  <c r="AO557" i="3"/>
  <c r="AR557" i="3" s="1"/>
  <c r="AO541" i="3"/>
  <c r="AR541" i="3" s="1"/>
  <c r="AO529" i="3"/>
  <c r="AR529" i="3" s="1"/>
  <c r="AO513" i="3"/>
  <c r="AR513" i="3" s="1"/>
  <c r="AO509" i="3"/>
  <c r="AR509" i="3" s="1"/>
  <c r="AO497" i="3"/>
  <c r="AR497" i="3" s="1"/>
  <c r="AO485" i="3"/>
  <c r="AR485" i="3" s="1"/>
  <c r="AO477" i="3"/>
  <c r="AR477" i="3" s="1"/>
  <c r="AO445" i="3"/>
  <c r="AR445" i="3" s="1"/>
  <c r="AO433" i="3"/>
  <c r="AR433" i="3" s="1"/>
  <c r="AO417" i="3"/>
  <c r="AR417" i="3" s="1"/>
  <c r="AO381" i="3"/>
  <c r="AR381" i="3" s="1"/>
  <c r="AY1159" i="3"/>
  <c r="BB1159" i="3" s="1"/>
  <c r="S863" i="2"/>
  <c r="S859" i="2"/>
  <c r="AY1155" i="3"/>
  <c r="BB1155" i="3" s="1"/>
  <c r="S855" i="2"/>
  <c r="AY1151" i="3" s="1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S827" i="2"/>
  <c r="AY1123" i="3" s="1"/>
  <c r="BB1123" i="3" s="1"/>
  <c r="S823" i="2"/>
  <c r="AY1119" i="3" s="1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 s="1"/>
  <c r="BB1087" i="3" s="1"/>
  <c r="S787" i="2"/>
  <c r="AY1083" i="3" s="1"/>
  <c r="BB1083" i="3" s="1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S763" i="2"/>
  <c r="AY1059" i="3" s="1"/>
  <c r="BB1059" i="3" s="1"/>
  <c r="S759" i="2"/>
  <c r="AY1055" i="3" s="1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 s="1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S675" i="2"/>
  <c r="AY971" i="3" s="1"/>
  <c r="BB971" i="3" s="1"/>
  <c r="AY967" i="3"/>
  <c r="BB967" i="3" s="1"/>
  <c r="S671" i="2"/>
  <c r="S667" i="2"/>
  <c r="AY963" i="3"/>
  <c r="BB963" i="3" s="1"/>
  <c r="S663" i="2"/>
  <c r="AY959" i="3" s="1"/>
  <c r="BB959" i="3" s="1"/>
  <c r="S659" i="2"/>
  <c r="AY955" i="3" s="1"/>
  <c r="BB955" i="3" s="1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S635" i="2"/>
  <c r="AY931" i="3" s="1"/>
  <c r="BB931" i="3" s="1"/>
  <c r="S631" i="2"/>
  <c r="AY927" i="3" s="1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S611" i="2"/>
  <c r="AY907" i="3" s="1"/>
  <c r="BB907" i="3" s="1"/>
  <c r="AY903" i="3"/>
  <c r="BB903" i="3" s="1"/>
  <c r="S607" i="2"/>
  <c r="S603" i="2"/>
  <c r="AY899" i="3"/>
  <c r="BB899" i="3" s="1"/>
  <c r="S599" i="2"/>
  <c r="AY895" i="3" s="1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S571" i="2"/>
  <c r="AY867" i="3" s="1"/>
  <c r="BB867" i="3" s="1"/>
  <c r="S567" i="2"/>
  <c r="AY863" i="3" s="1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 s="1"/>
  <c r="BB695" i="3" s="1"/>
  <c r="S383" i="2"/>
  <c r="AY679" i="3"/>
  <c r="BB679" i="3" s="1"/>
  <c r="S375" i="2"/>
  <c r="AY671" i="3" s="1"/>
  <c r="BB671" i="3" s="1"/>
  <c r="S319" i="2"/>
  <c r="AY320" i="3" s="1"/>
  <c r="BB320" i="3" s="1"/>
  <c r="S311" i="2"/>
  <c r="AY312" i="3" s="1"/>
  <c r="BB312" i="3" s="1"/>
  <c r="S279" i="2"/>
  <c r="AY575" i="3"/>
  <c r="BB575" i="3" s="1"/>
  <c r="AY535" i="3"/>
  <c r="BB535" i="3" s="1"/>
  <c r="S239" i="2"/>
  <c r="AY240" i="3" s="1"/>
  <c r="BB240" i="3" s="1"/>
  <c r="S231" i="2"/>
  <c r="AY232" i="3" s="1"/>
  <c r="BB232" i="3" s="1"/>
  <c r="S215" i="2"/>
  <c r="AY511" i="3" s="1"/>
  <c r="BB511" i="3" s="1"/>
  <c r="S207" i="2"/>
  <c r="AY503" i="3" s="1"/>
  <c r="BB503" i="3" s="1"/>
  <c r="S199" i="2"/>
  <c r="AY200" i="3" s="1"/>
  <c r="BB200" i="3" s="1"/>
  <c r="S183" i="2"/>
  <c r="AY184" i="3" s="1"/>
  <c r="BB184" i="3" s="1"/>
  <c r="AY479" i="3"/>
  <c r="BB479" i="3" s="1"/>
  <c r="AY471" i="3"/>
  <c r="BB471" i="3" s="1"/>
  <c r="S175" i="2"/>
  <c r="AY176" i="3" s="1"/>
  <c r="BB176" i="3" s="1"/>
  <c r="S151" i="2"/>
  <c r="AY152" i="3" s="1"/>
  <c r="BB152" i="3" s="1"/>
  <c r="AY447" i="3"/>
  <c r="BB447" i="3" s="1"/>
  <c r="S143" i="2"/>
  <c r="AY144" i="3" s="1"/>
  <c r="BB144" i="3" s="1"/>
  <c r="S127" i="2"/>
  <c r="AY423" i="3"/>
  <c r="BB423" i="3" s="1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/>
  <c r="BB668" i="3" s="1"/>
  <c r="S364" i="2"/>
  <c r="AY365" i="3" s="1"/>
  <c r="BB365" i="3" s="1"/>
  <c r="S356" i="2"/>
  <c r="AY652" i="3"/>
  <c r="BB652" i="3" s="1"/>
  <c r="S348" i="2"/>
  <c r="AY349" i="3" s="1"/>
  <c r="BB349" i="3" s="1"/>
  <c r="S340" i="2"/>
  <c r="AY341" i="3" s="1"/>
  <c r="BB341" i="3" s="1"/>
  <c r="AY636" i="3"/>
  <c r="BB636" i="3" s="1"/>
  <c r="S332" i="2"/>
  <c r="AY628" i="3" s="1"/>
  <c r="BB628" i="3" s="1"/>
  <c r="S324" i="2"/>
  <c r="AY620" i="3"/>
  <c r="BB620" i="3" s="1"/>
  <c r="S316" i="2"/>
  <c r="AY317" i="3" s="1"/>
  <c r="BB317" i="3" s="1"/>
  <c r="S308" i="2"/>
  <c r="AY309" i="3" s="1"/>
  <c r="BB309" i="3" s="1"/>
  <c r="AY604" i="3"/>
  <c r="BB604" i="3" s="1"/>
  <c r="S300" i="2"/>
  <c r="AY301" i="3" s="1"/>
  <c r="BB301" i="3" s="1"/>
  <c r="S292" i="2"/>
  <c r="AY293" i="3" s="1"/>
  <c r="BB293" i="3" s="1"/>
  <c r="AY588" i="3"/>
  <c r="BB588" i="3" s="1"/>
  <c r="S284" i="2"/>
  <c r="AY285" i="3" s="1"/>
  <c r="BB285" i="3" s="1"/>
  <c r="S276" i="2"/>
  <c r="AY277" i="3" s="1"/>
  <c r="BB277" i="3" s="1"/>
  <c r="AY572" i="3"/>
  <c r="BB572" i="3" s="1"/>
  <c r="S268" i="2"/>
  <c r="AY269" i="3" s="1"/>
  <c r="BB269" i="3" s="1"/>
  <c r="S260" i="2"/>
  <c r="AY261" i="3" s="1"/>
  <c r="BB261" i="3" s="1"/>
  <c r="AY556" i="3"/>
  <c r="BB556" i="3" s="1"/>
  <c r="S252" i="2"/>
  <c r="AY253" i="3" s="1"/>
  <c r="BB253" i="3" s="1"/>
  <c r="S228" i="2"/>
  <c r="AY524" i="3"/>
  <c r="BB524" i="3" s="1"/>
  <c r="S220" i="2"/>
  <c r="AY516" i="3" s="1"/>
  <c r="BB516" i="3" s="1"/>
  <c r="S204" i="2"/>
  <c r="AY205" i="3" s="1"/>
  <c r="BB205" i="3" s="1"/>
  <c r="AY500" i="3"/>
  <c r="BB500" i="3" s="1"/>
  <c r="S180" i="2"/>
  <c r="AY476" i="3" s="1"/>
  <c r="BB476" i="3" s="1"/>
  <c r="S172" i="2"/>
  <c r="AY173" i="3" s="1"/>
  <c r="BB173" i="3" s="1"/>
  <c r="AY468" i="3"/>
  <c r="BB468" i="3" s="1"/>
  <c r="S148" i="2"/>
  <c r="AY149" i="3" s="1"/>
  <c r="BB149" i="3" s="1"/>
  <c r="S140" i="2"/>
  <c r="AY141" i="3" s="1"/>
  <c r="BB141" i="3" s="1"/>
  <c r="AY436" i="3"/>
  <c r="BB436" i="3" s="1"/>
  <c r="S124" i="2"/>
  <c r="AY420" i="3" s="1"/>
  <c r="BB420" i="3" s="1"/>
  <c r="S100" i="2"/>
  <c r="AY396" i="3"/>
  <c r="BB396" i="3" s="1"/>
  <c r="S92" i="2"/>
  <c r="AY93" i="3" s="1"/>
  <c r="BB93" i="3" s="1"/>
  <c r="S76" i="2"/>
  <c r="S60" i="2"/>
  <c r="AY61" i="3" s="1"/>
  <c r="BB61" i="3" s="1"/>
  <c r="S44" i="2"/>
  <c r="AY45" i="3" s="1"/>
  <c r="BB45" i="3" s="1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366" i="3" s="1"/>
  <c r="BB366" i="3" s="1"/>
  <c r="AY661" i="3"/>
  <c r="BB661" i="3" s="1"/>
  <c r="S361" i="2"/>
  <c r="AY362" i="3" s="1"/>
  <c r="BB362" i="3" s="1"/>
  <c r="AY657" i="3"/>
  <c r="BB657" i="3" s="1"/>
  <c r="S357" i="2"/>
  <c r="AY358" i="3" s="1"/>
  <c r="BB358" i="3" s="1"/>
  <c r="AY653" i="3"/>
  <c r="BB653" i="3" s="1"/>
  <c r="S353" i="2"/>
  <c r="AY354" i="3" s="1"/>
  <c r="BB354" i="3" s="1"/>
  <c r="AY649" i="3"/>
  <c r="BB649" i="3" s="1"/>
  <c r="S349" i="2"/>
  <c r="AY350" i="3" s="1"/>
  <c r="BB350" i="3" s="1"/>
  <c r="AY645" i="3"/>
  <c r="BB645" i="3" s="1"/>
  <c r="S345" i="2"/>
  <c r="AY346" i="3" s="1"/>
  <c r="BB346" i="3" s="1"/>
  <c r="AY641" i="3"/>
  <c r="BB641" i="3" s="1"/>
  <c r="S341" i="2"/>
  <c r="AY342" i="3" s="1"/>
  <c r="BB342" i="3" s="1"/>
  <c r="AY637" i="3"/>
  <c r="BB637" i="3" s="1"/>
  <c r="S337" i="2"/>
  <c r="AY338" i="3" s="1"/>
  <c r="BB338" i="3" s="1"/>
  <c r="AY633" i="3"/>
  <c r="BB633" i="3" s="1"/>
  <c r="S333" i="2"/>
  <c r="AY334" i="3" s="1"/>
  <c r="BB334" i="3" s="1"/>
  <c r="AY629" i="3"/>
  <c r="BB629" i="3" s="1"/>
  <c r="S329" i="2"/>
  <c r="AY330" i="3" s="1"/>
  <c r="BB330" i="3" s="1"/>
  <c r="AY625" i="3"/>
  <c r="BB625" i="3" s="1"/>
  <c r="S325" i="2"/>
  <c r="AY326" i="3" s="1"/>
  <c r="BB326" i="3" s="1"/>
  <c r="AY621" i="3"/>
  <c r="BB621" i="3" s="1"/>
  <c r="S321" i="2"/>
  <c r="AY322" i="3" s="1"/>
  <c r="BB322" i="3" s="1"/>
  <c r="AY617" i="3"/>
  <c r="BB617" i="3" s="1"/>
  <c r="S317" i="2"/>
  <c r="AY613" i="3"/>
  <c r="BB613" i="3" s="1"/>
  <c r="S313" i="2"/>
  <c r="AY314" i="3" s="1"/>
  <c r="BB314" i="3" s="1"/>
  <c r="AY609" i="3"/>
  <c r="BB609" i="3" s="1"/>
  <c r="S309" i="2"/>
  <c r="AY605" i="3"/>
  <c r="BB605" i="3" s="1"/>
  <c r="S305" i="2"/>
  <c r="AY601" i="3"/>
  <c r="BB601" i="3" s="1"/>
  <c r="S301" i="2"/>
  <c r="AY302" i="3" s="1"/>
  <c r="BB302" i="3" s="1"/>
  <c r="AY597" i="3"/>
  <c r="BB597" i="3" s="1"/>
  <c r="S297" i="2"/>
  <c r="AY298" i="3" s="1"/>
  <c r="BB298" i="3" s="1"/>
  <c r="AY593" i="3"/>
  <c r="BB593" i="3" s="1"/>
  <c r="S293" i="2"/>
  <c r="AY294" i="3" s="1"/>
  <c r="BB294" i="3" s="1"/>
  <c r="AY589" i="3"/>
  <c r="BB589" i="3" s="1"/>
  <c r="S289" i="2"/>
  <c r="AY290" i="3" s="1"/>
  <c r="BB290" i="3" s="1"/>
  <c r="AY585" i="3"/>
  <c r="BB585" i="3" s="1"/>
  <c r="S285" i="2"/>
  <c r="AY286" i="3" s="1"/>
  <c r="BB286" i="3" s="1"/>
  <c r="AY581" i="3"/>
  <c r="BB581" i="3" s="1"/>
  <c r="S281" i="2"/>
  <c r="AY282" i="3" s="1"/>
  <c r="BB282" i="3" s="1"/>
  <c r="AY577" i="3"/>
  <c r="BB577" i="3" s="1"/>
  <c r="S277" i="2"/>
  <c r="AY278" i="3" s="1"/>
  <c r="BB278" i="3" s="1"/>
  <c r="AY573" i="3"/>
  <c r="BB573" i="3" s="1"/>
  <c r="S273" i="2"/>
  <c r="AY274" i="3" s="1"/>
  <c r="BB274" i="3" s="1"/>
  <c r="AY569" i="3"/>
  <c r="BB569" i="3" s="1"/>
  <c r="S269" i="2"/>
  <c r="AY270" i="3" s="1"/>
  <c r="BB270" i="3" s="1"/>
  <c r="AY565" i="3"/>
  <c r="BB565" i="3" s="1"/>
  <c r="S265" i="2"/>
  <c r="AY266" i="3" s="1"/>
  <c r="BB266" i="3" s="1"/>
  <c r="AY561" i="3"/>
  <c r="BB561" i="3" s="1"/>
  <c r="S261" i="2"/>
  <c r="AY262" i="3" s="1"/>
  <c r="BB262" i="3" s="1"/>
  <c r="AY557" i="3"/>
  <c r="BB557" i="3" s="1"/>
  <c r="S257" i="2"/>
  <c r="AY258" i="3" s="1"/>
  <c r="BB258" i="3" s="1"/>
  <c r="AY553" i="3"/>
  <c r="BB553" i="3" s="1"/>
  <c r="S253" i="2"/>
  <c r="AY549" i="3"/>
  <c r="BB549" i="3" s="1"/>
  <c r="S249" i="2"/>
  <c r="AY250" i="3" s="1"/>
  <c r="BB250" i="3" s="1"/>
  <c r="AY545" i="3"/>
  <c r="BB545" i="3" s="1"/>
  <c r="S245" i="2"/>
  <c r="AY541" i="3"/>
  <c r="BB541" i="3" s="1"/>
  <c r="S241" i="2"/>
  <c r="AY537" i="3"/>
  <c r="BB537" i="3" s="1"/>
  <c r="S237" i="2"/>
  <c r="AY238" i="3" s="1"/>
  <c r="BB238" i="3" s="1"/>
  <c r="AY533" i="3"/>
  <c r="BB533" i="3" s="1"/>
  <c r="S233" i="2"/>
  <c r="AY234" i="3" s="1"/>
  <c r="BB234" i="3" s="1"/>
  <c r="AY529" i="3"/>
  <c r="BB529" i="3" s="1"/>
  <c r="S229" i="2"/>
  <c r="AY230" i="3" s="1"/>
  <c r="BB230" i="3" s="1"/>
  <c r="AY525" i="3"/>
  <c r="BB525" i="3" s="1"/>
  <c r="S225" i="2"/>
  <c r="AY226" i="3" s="1"/>
  <c r="BB226" i="3" s="1"/>
  <c r="AY521" i="3"/>
  <c r="BB521" i="3" s="1"/>
  <c r="S221" i="2"/>
  <c r="AY222" i="3" s="1"/>
  <c r="BB222" i="3" s="1"/>
  <c r="AY517" i="3"/>
  <c r="BB517" i="3" s="1"/>
  <c r="S217" i="2"/>
  <c r="AY218" i="3" s="1"/>
  <c r="BB218" i="3" s="1"/>
  <c r="AY513" i="3"/>
  <c r="BB513" i="3" s="1"/>
  <c r="S213" i="2"/>
  <c r="AY214" i="3" s="1"/>
  <c r="BB214" i="3" s="1"/>
  <c r="AY509" i="3"/>
  <c r="BB509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AY459" i="3" s="1"/>
  <c r="BB459" i="3" s="1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655" i="3" s="1"/>
  <c r="BB655" i="3" s="1"/>
  <c r="S303" i="2"/>
  <c r="AY599" i="3" s="1"/>
  <c r="BB599" i="3" s="1"/>
  <c r="S243" i="2"/>
  <c r="AY539" i="3" s="1"/>
  <c r="BB539" i="3" s="1"/>
  <c r="S187" i="2"/>
  <c r="AY483" i="3" s="1"/>
  <c r="BB483" i="3" s="1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40" i="3"/>
  <c r="BB640" i="3" s="1"/>
  <c r="AY576" i="3"/>
  <c r="BB576" i="3" s="1"/>
  <c r="AY512" i="3"/>
  <c r="BB512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S519" i="2"/>
  <c r="AY815" i="3" s="1"/>
  <c r="BB815" i="3" s="1"/>
  <c r="S503" i="2"/>
  <c r="AY799" i="3"/>
  <c r="BB799" i="3" s="1"/>
  <c r="S495" i="2"/>
  <c r="AY791" i="3" s="1"/>
  <c r="BB791" i="3" s="1"/>
  <c r="S479" i="2"/>
  <c r="AY775" i="3" s="1"/>
  <c r="BB775" i="3" s="1"/>
  <c r="S471" i="2"/>
  <c r="AY767" i="3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AY328" i="3" s="1"/>
  <c r="BB328" i="3" s="1"/>
  <c r="AY623" i="3"/>
  <c r="BB623" i="3" s="1"/>
  <c r="S295" i="2"/>
  <c r="AY296" i="3" s="1"/>
  <c r="BB296" i="3" s="1"/>
  <c r="S271" i="2"/>
  <c r="AY272" i="3" s="1"/>
  <c r="BB272" i="3" s="1"/>
  <c r="AY567" i="3"/>
  <c r="BB567" i="3" s="1"/>
  <c r="S263" i="2"/>
  <c r="AY264" i="3" s="1"/>
  <c r="BB264" i="3" s="1"/>
  <c r="S255" i="2"/>
  <c r="AY256" i="3" s="1"/>
  <c r="BB256" i="3" s="1"/>
  <c r="AY551" i="3"/>
  <c r="BB551" i="3" s="1"/>
  <c r="S247" i="2"/>
  <c r="AY248" i="3" s="1"/>
  <c r="BB248" i="3" s="1"/>
  <c r="AY543" i="3"/>
  <c r="BB543" i="3" s="1"/>
  <c r="S159" i="2"/>
  <c r="AY455" i="3" s="1"/>
  <c r="BB455" i="3" s="1"/>
  <c r="S95" i="2"/>
  <c r="AY96" i="3" s="1"/>
  <c r="BB96" i="3" s="1"/>
  <c r="S87" i="2"/>
  <c r="AY88" i="3" s="1"/>
  <c r="BB88" i="3" s="1"/>
  <c r="AY383" i="3"/>
  <c r="BB383" i="3" s="1"/>
  <c r="S71" i="2"/>
  <c r="AY72" i="3" s="1"/>
  <c r="BB72" i="3" s="1"/>
  <c r="S39" i="2"/>
  <c r="AY40" i="3" s="1"/>
  <c r="BB40" i="3" s="1"/>
  <c r="S244" i="2"/>
  <c r="AY245" i="3" s="1"/>
  <c r="BB245" i="3" s="1"/>
  <c r="AY540" i="3"/>
  <c r="BB540" i="3" s="1"/>
  <c r="S236" i="2"/>
  <c r="AY237" i="3" s="1"/>
  <c r="BB237" i="3" s="1"/>
  <c r="AY532" i="3"/>
  <c r="BB532" i="3" s="1"/>
  <c r="S212" i="2"/>
  <c r="AY508" i="3"/>
  <c r="BB508" i="3" s="1"/>
  <c r="S196" i="2"/>
  <c r="AY197" i="3" s="1"/>
  <c r="BB197" i="3" s="1"/>
  <c r="AY492" i="3"/>
  <c r="BB492" i="3" s="1"/>
  <c r="S188" i="2"/>
  <c r="AY484" i="3"/>
  <c r="BB484" i="3" s="1"/>
  <c r="S164" i="2"/>
  <c r="AY165" i="3" s="1"/>
  <c r="BB165" i="3" s="1"/>
  <c r="AY460" i="3"/>
  <c r="BB460" i="3" s="1"/>
  <c r="S156" i="2"/>
  <c r="AY157" i="3" s="1"/>
  <c r="BB157" i="3" s="1"/>
  <c r="AY452" i="3"/>
  <c r="BB452" i="3" s="1"/>
  <c r="S132" i="2"/>
  <c r="AY133" i="3" s="1"/>
  <c r="BB133" i="3" s="1"/>
  <c r="AY428" i="3"/>
  <c r="BB428" i="3" s="1"/>
  <c r="S116" i="2"/>
  <c r="AY117" i="3" s="1"/>
  <c r="BB117" i="3" s="1"/>
  <c r="AY412" i="3"/>
  <c r="BB412" i="3" s="1"/>
  <c r="S108" i="2"/>
  <c r="AY109" i="3" s="1"/>
  <c r="BB109" i="3" s="1"/>
  <c r="AY404" i="3"/>
  <c r="BB404" i="3" s="1"/>
  <c r="S84" i="2"/>
  <c r="AY85" i="3" s="1"/>
  <c r="BB85" i="3" s="1"/>
  <c r="AY380" i="3"/>
  <c r="BB380" i="3" s="1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/>
  <c r="BB1161" i="3" s="1"/>
  <c r="S857" i="2"/>
  <c r="AY1153" i="3" s="1"/>
  <c r="BB1153" i="3" s="1"/>
  <c r="S849" i="2"/>
  <c r="AY1145" i="3"/>
  <c r="BB1145" i="3" s="1"/>
  <c r="S841" i="2"/>
  <c r="AY1137" i="3" s="1"/>
  <c r="BB1137" i="3" s="1"/>
  <c r="S833" i="2"/>
  <c r="AY1129" i="3"/>
  <c r="BB1129" i="3" s="1"/>
  <c r="S829" i="2"/>
  <c r="AY1125" i="3" s="1"/>
  <c r="BB1125" i="3" s="1"/>
  <c r="S821" i="2"/>
  <c r="AY1117" i="3"/>
  <c r="BB1117" i="3" s="1"/>
  <c r="S813" i="2"/>
  <c r="AY1109" i="3" s="1"/>
  <c r="BB1109" i="3" s="1"/>
  <c r="S805" i="2"/>
  <c r="AY1101" i="3"/>
  <c r="BB1101" i="3" s="1"/>
  <c r="S797" i="2"/>
  <c r="AY1093" i="3" s="1"/>
  <c r="BB1093" i="3" s="1"/>
  <c r="S789" i="2"/>
  <c r="AY1085" i="3"/>
  <c r="BB1085" i="3" s="1"/>
  <c r="S781" i="2"/>
  <c r="AY1077" i="3" s="1"/>
  <c r="BB1077" i="3" s="1"/>
  <c r="S777" i="2"/>
  <c r="AY1073" i="3"/>
  <c r="BB1073" i="3" s="1"/>
  <c r="S769" i="2"/>
  <c r="AY1065" i="3" s="1"/>
  <c r="BB1065" i="3" s="1"/>
  <c r="S761" i="2"/>
  <c r="AY1057" i="3"/>
  <c r="BB1057" i="3" s="1"/>
  <c r="S753" i="2"/>
  <c r="AY1049" i="3" s="1"/>
  <c r="BB1049" i="3" s="1"/>
  <c r="S745" i="2"/>
  <c r="AY1041" i="3"/>
  <c r="BB1041" i="3" s="1"/>
  <c r="S737" i="2"/>
  <c r="AY1033" i="3" s="1"/>
  <c r="BB1033" i="3" s="1"/>
  <c r="S729" i="2"/>
  <c r="AY1025" i="3"/>
  <c r="BB1025" i="3" s="1"/>
  <c r="S721" i="2"/>
  <c r="AY1017" i="3" s="1"/>
  <c r="BB1017" i="3" s="1"/>
  <c r="S717" i="2"/>
  <c r="AY1013" i="3"/>
  <c r="BB1013" i="3" s="1"/>
  <c r="S709" i="2"/>
  <c r="AY1005" i="3" s="1"/>
  <c r="BB1005" i="3" s="1"/>
  <c r="S697" i="2"/>
  <c r="AY993" i="3"/>
  <c r="BB993" i="3" s="1"/>
  <c r="S685" i="2"/>
  <c r="AY981" i="3" s="1"/>
  <c r="BB981" i="3" s="1"/>
  <c r="S573" i="2"/>
  <c r="AY869" i="3"/>
  <c r="BB869" i="3" s="1"/>
  <c r="S219" i="2"/>
  <c r="AY515" i="3" s="1"/>
  <c r="BB515" i="3" s="1"/>
  <c r="S103" i="2"/>
  <c r="AY104" i="3" s="1"/>
  <c r="BB104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AY631" i="3" s="1"/>
  <c r="BB631" i="3" s="1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AY192" i="3" s="1"/>
  <c r="BB192" i="3" s="1"/>
  <c r="S135" i="2"/>
  <c r="AY431" i="3" s="1"/>
  <c r="BB431" i="3" s="1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31" i="3"/>
  <c r="BB531" i="3" s="1"/>
  <c r="AY499" i="3"/>
  <c r="BB499" i="3" s="1"/>
  <c r="AY467" i="3"/>
  <c r="BB467" i="3" s="1"/>
  <c r="AY435" i="3"/>
  <c r="BB435" i="3" s="1"/>
  <c r="AY419" i="3"/>
  <c r="BB419" i="3" s="1"/>
  <c r="S209" i="2"/>
  <c r="AY210" i="3" s="1"/>
  <c r="BB210" i="3" s="1"/>
  <c r="AY505" i="3"/>
  <c r="BB505" i="3" s="1"/>
  <c r="S205" i="2"/>
  <c r="AY206" i="3" s="1"/>
  <c r="BB206" i="3" s="1"/>
  <c r="AY501" i="3"/>
  <c r="BB501" i="3" s="1"/>
  <c r="S201" i="2"/>
  <c r="AY202" i="3" s="1"/>
  <c r="BB202" i="3" s="1"/>
  <c r="AY497" i="3"/>
  <c r="BB497" i="3" s="1"/>
  <c r="S197" i="2"/>
  <c r="AY198" i="3" s="1"/>
  <c r="BB198" i="3" s="1"/>
  <c r="AY493" i="3"/>
  <c r="BB493" i="3" s="1"/>
  <c r="S193" i="2"/>
  <c r="AY376" i="3" s="1"/>
  <c r="BB376" i="3" s="1"/>
  <c r="AY489" i="3"/>
  <c r="BB489" i="3" s="1"/>
  <c r="S189" i="2"/>
  <c r="AY190" i="3" s="1"/>
  <c r="BB190" i="3" s="1"/>
  <c r="AY485" i="3"/>
  <c r="BB485" i="3" s="1"/>
  <c r="S185" i="2"/>
  <c r="AY186" i="3" s="1"/>
  <c r="BB186" i="3" s="1"/>
  <c r="AY481" i="3"/>
  <c r="BB481" i="3" s="1"/>
  <c r="S181" i="2"/>
  <c r="AY182" i="3" s="1"/>
  <c r="BB182" i="3" s="1"/>
  <c r="AY477" i="3"/>
  <c r="BB477" i="3" s="1"/>
  <c r="S177" i="2"/>
  <c r="AY473" i="3"/>
  <c r="BB473" i="3" s="1"/>
  <c r="S173" i="2"/>
  <c r="AY174" i="3" s="1"/>
  <c r="BB174" i="3" s="1"/>
  <c r="AY469" i="3"/>
  <c r="BB469" i="3" s="1"/>
  <c r="S169" i="2"/>
  <c r="AY170" i="3" s="1"/>
  <c r="BB170" i="3" s="1"/>
  <c r="AY465" i="3"/>
  <c r="BB465" i="3" s="1"/>
  <c r="S165" i="2"/>
  <c r="AY166" i="3" s="1"/>
  <c r="BB166" i="3" s="1"/>
  <c r="AY461" i="3"/>
  <c r="BB461" i="3" s="1"/>
  <c r="S161" i="2"/>
  <c r="AY457" i="3"/>
  <c r="BB457" i="3" s="1"/>
  <c r="S157" i="2"/>
  <c r="AY158" i="3" s="1"/>
  <c r="BB158" i="3" s="1"/>
  <c r="AY453" i="3"/>
  <c r="BB453" i="3" s="1"/>
  <c r="S153" i="2"/>
  <c r="AY154" i="3" s="1"/>
  <c r="BB154" i="3" s="1"/>
  <c r="AY449" i="3"/>
  <c r="BB449" i="3" s="1"/>
  <c r="S149" i="2"/>
  <c r="AY150" i="3" s="1"/>
  <c r="BB150" i="3" s="1"/>
  <c r="AY445" i="3"/>
  <c r="BB445" i="3" s="1"/>
  <c r="S145" i="2"/>
  <c r="AY146" i="3" s="1"/>
  <c r="BB146" i="3" s="1"/>
  <c r="AY441" i="3"/>
  <c r="BB441" i="3" s="1"/>
  <c r="S141" i="2"/>
  <c r="AY142" i="3" s="1"/>
  <c r="BB142" i="3" s="1"/>
  <c r="AY437" i="3"/>
  <c r="BB437" i="3" s="1"/>
  <c r="S137" i="2"/>
  <c r="AY138" i="3" s="1"/>
  <c r="BB138" i="3" s="1"/>
  <c r="AY433" i="3"/>
  <c r="BB433" i="3" s="1"/>
  <c r="S133" i="2"/>
  <c r="AY134" i="3" s="1"/>
  <c r="BB134" i="3" s="1"/>
  <c r="AY429" i="3"/>
  <c r="BB429" i="3" s="1"/>
  <c r="S129" i="2"/>
  <c r="AY130" i="3" s="1"/>
  <c r="BB130" i="3" s="1"/>
  <c r="AY425" i="3"/>
  <c r="BB425" i="3" s="1"/>
  <c r="S125" i="2"/>
  <c r="AY126" i="3" s="1"/>
  <c r="BB126" i="3" s="1"/>
  <c r="AY421" i="3"/>
  <c r="BB421" i="3" s="1"/>
  <c r="S121" i="2"/>
  <c r="AY417" i="3"/>
  <c r="BB417" i="3" s="1"/>
  <c r="S117" i="2"/>
  <c r="AY118" i="3" s="1"/>
  <c r="BB118" i="3" s="1"/>
  <c r="AY413" i="3"/>
  <c r="BB413" i="3" s="1"/>
  <c r="S113" i="2"/>
  <c r="AY114" i="3" s="1"/>
  <c r="BB114" i="3" s="1"/>
  <c r="AY409" i="3"/>
  <c r="BB409" i="3" s="1"/>
  <c r="S109" i="2"/>
  <c r="AY110" i="3" s="1"/>
  <c r="BB110" i="3" s="1"/>
  <c r="AY405" i="3"/>
  <c r="BB405" i="3" s="1"/>
  <c r="S105" i="2"/>
  <c r="AY106" i="3" s="1"/>
  <c r="BB106" i="3" s="1"/>
  <c r="AY401" i="3"/>
  <c r="BB401" i="3" s="1"/>
  <c r="S101" i="2"/>
  <c r="AY397" i="3"/>
  <c r="BB397" i="3" s="1"/>
  <c r="S97" i="2"/>
  <c r="AY98" i="3" s="1"/>
  <c r="BB98" i="3" s="1"/>
  <c r="AY393" i="3"/>
  <c r="BB393" i="3" s="1"/>
  <c r="S93" i="2"/>
  <c r="AY389" i="3"/>
  <c r="BB389" i="3" s="1"/>
  <c r="S89" i="2"/>
  <c r="AY90" i="3" s="1"/>
  <c r="BB90" i="3" s="1"/>
  <c r="AY385" i="3"/>
  <c r="BB385" i="3" s="1"/>
  <c r="S85" i="2"/>
  <c r="AY86" i="3" s="1"/>
  <c r="BB86" i="3" s="1"/>
  <c r="AY381" i="3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367" i="3" s="1"/>
  <c r="BB367" i="3" s="1"/>
  <c r="AY662" i="3"/>
  <c r="BB662" i="3" s="1"/>
  <c r="S362" i="2"/>
  <c r="AY363" i="3" s="1"/>
  <c r="BB363" i="3" s="1"/>
  <c r="AY658" i="3"/>
  <c r="BB658" i="3" s="1"/>
  <c r="S358" i="2"/>
  <c r="AY359" i="3" s="1"/>
  <c r="BB359" i="3" s="1"/>
  <c r="AY654" i="3"/>
  <c r="BB654" i="3" s="1"/>
  <c r="S354" i="2"/>
  <c r="AY355" i="3" s="1"/>
  <c r="BB355" i="3" s="1"/>
  <c r="AY650" i="3"/>
  <c r="BB650" i="3" s="1"/>
  <c r="S350" i="2"/>
  <c r="AY646" i="3"/>
  <c r="BB646" i="3" s="1"/>
  <c r="S346" i="2"/>
  <c r="AY347" i="3" s="1"/>
  <c r="BB347" i="3" s="1"/>
  <c r="AY642" i="3"/>
  <c r="BB642" i="3" s="1"/>
  <c r="S342" i="2"/>
  <c r="AY343" i="3" s="1"/>
  <c r="BB343" i="3" s="1"/>
  <c r="AY638" i="3"/>
  <c r="BB638" i="3" s="1"/>
  <c r="S338" i="2"/>
  <c r="AY339" i="3" s="1"/>
  <c r="BB339" i="3" s="1"/>
  <c r="AY634" i="3"/>
  <c r="BB634" i="3" s="1"/>
  <c r="S334" i="2"/>
  <c r="AY335" i="3" s="1"/>
  <c r="BB335" i="3" s="1"/>
  <c r="AY630" i="3"/>
  <c r="BB630" i="3" s="1"/>
  <c r="S330" i="2"/>
  <c r="AY331" i="3" s="1"/>
  <c r="BB331" i="3" s="1"/>
  <c r="AY626" i="3"/>
  <c r="BB626" i="3" s="1"/>
  <c r="S326" i="2"/>
  <c r="AY327" i="3" s="1"/>
  <c r="BB327" i="3" s="1"/>
  <c r="AY622" i="3"/>
  <c r="BB622" i="3" s="1"/>
  <c r="S322" i="2"/>
  <c r="AY323" i="3" s="1"/>
  <c r="BB323" i="3" s="1"/>
  <c r="AY618" i="3"/>
  <c r="BB618" i="3" s="1"/>
  <c r="S318" i="2"/>
  <c r="AY614" i="3"/>
  <c r="BB614" i="3" s="1"/>
  <c r="S314" i="2"/>
  <c r="AY315" i="3" s="1"/>
  <c r="BB315" i="3" s="1"/>
  <c r="AY610" i="3"/>
  <c r="BB610" i="3" s="1"/>
  <c r="S310" i="2"/>
  <c r="AY311" i="3" s="1"/>
  <c r="BB311" i="3" s="1"/>
  <c r="AY606" i="3"/>
  <c r="BB606" i="3" s="1"/>
  <c r="S306" i="2"/>
  <c r="AY307" i="3" s="1"/>
  <c r="BB307" i="3" s="1"/>
  <c r="AY602" i="3"/>
  <c r="BB602" i="3" s="1"/>
  <c r="S302" i="2"/>
  <c r="AY303" i="3" s="1"/>
  <c r="BB303" i="3" s="1"/>
  <c r="AY598" i="3"/>
  <c r="BB598" i="3" s="1"/>
  <c r="S298" i="2"/>
  <c r="AY299" i="3" s="1"/>
  <c r="BB299" i="3" s="1"/>
  <c r="AY594" i="3"/>
  <c r="BB594" i="3" s="1"/>
  <c r="S294" i="2"/>
  <c r="AY295" i="3" s="1"/>
  <c r="BB295" i="3" s="1"/>
  <c r="AY590" i="3"/>
  <c r="BB590" i="3" s="1"/>
  <c r="S290" i="2"/>
  <c r="AY291" i="3" s="1"/>
  <c r="BB291" i="3" s="1"/>
  <c r="AY586" i="3"/>
  <c r="BB586" i="3" s="1"/>
  <c r="S286" i="2"/>
  <c r="AY582" i="3"/>
  <c r="BB582" i="3" s="1"/>
  <c r="S282" i="2"/>
  <c r="AY283" i="3" s="1"/>
  <c r="BB283" i="3" s="1"/>
  <c r="AY578" i="3"/>
  <c r="BB578" i="3" s="1"/>
  <c r="S278" i="2"/>
  <c r="AY279" i="3" s="1"/>
  <c r="BB279" i="3" s="1"/>
  <c r="AY574" i="3"/>
  <c r="BB574" i="3" s="1"/>
  <c r="S274" i="2"/>
  <c r="AY275" i="3" s="1"/>
  <c r="BB275" i="3" s="1"/>
  <c r="AY570" i="3"/>
  <c r="BB570" i="3" s="1"/>
  <c r="S270" i="2"/>
  <c r="AY271" i="3" s="1"/>
  <c r="BB271" i="3" s="1"/>
  <c r="AY566" i="3"/>
  <c r="BB566" i="3" s="1"/>
  <c r="S266" i="2"/>
  <c r="AY267" i="3" s="1"/>
  <c r="BB267" i="3" s="1"/>
  <c r="AY562" i="3"/>
  <c r="BB562" i="3" s="1"/>
  <c r="S262" i="2"/>
  <c r="AY263" i="3" s="1"/>
  <c r="BB263" i="3" s="1"/>
  <c r="AY558" i="3"/>
  <c r="BB558" i="3" s="1"/>
  <c r="S258" i="2"/>
  <c r="AY259" i="3" s="1"/>
  <c r="BB259" i="3" s="1"/>
  <c r="AY554" i="3"/>
  <c r="BB554" i="3" s="1"/>
  <c r="S254" i="2"/>
  <c r="AY550" i="3"/>
  <c r="BB550" i="3" s="1"/>
  <c r="S250" i="2"/>
  <c r="AY251" i="3" s="1"/>
  <c r="BB251" i="3" s="1"/>
  <c r="AY546" i="3"/>
  <c r="BB546" i="3" s="1"/>
  <c r="S246" i="2"/>
  <c r="AY247" i="3" s="1"/>
  <c r="BB247" i="3" s="1"/>
  <c r="AY542" i="3"/>
  <c r="BB542" i="3" s="1"/>
  <c r="S242" i="2"/>
  <c r="AY243" i="3" s="1"/>
  <c r="BB243" i="3" s="1"/>
  <c r="AY538" i="3"/>
  <c r="BB538" i="3" s="1"/>
  <c r="S238" i="2"/>
  <c r="AY239" i="3" s="1"/>
  <c r="BB239" i="3" s="1"/>
  <c r="AY534" i="3"/>
  <c r="BB534" i="3" s="1"/>
  <c r="S234" i="2"/>
  <c r="AY235" i="3" s="1"/>
  <c r="BB235" i="3" s="1"/>
  <c r="AY530" i="3"/>
  <c r="BB530" i="3" s="1"/>
  <c r="S230" i="2"/>
  <c r="AY231" i="3" s="1"/>
  <c r="BB231" i="3" s="1"/>
  <c r="AY526" i="3"/>
  <c r="BB526" i="3" s="1"/>
  <c r="S226" i="2"/>
  <c r="AY522" i="3"/>
  <c r="BB522" i="3" s="1"/>
  <c r="S222" i="2"/>
  <c r="AY223" i="3" s="1"/>
  <c r="BB223" i="3" s="1"/>
  <c r="AY518" i="3"/>
  <c r="BB518" i="3" s="1"/>
  <c r="S218" i="2"/>
  <c r="AY219" i="3" s="1"/>
  <c r="BB219" i="3" s="1"/>
  <c r="AY514" i="3"/>
  <c r="BB514" i="3" s="1"/>
  <c r="S214" i="2"/>
  <c r="AY215" i="3" s="1"/>
  <c r="BB215" i="3" s="1"/>
  <c r="AY510" i="3"/>
  <c r="BB510" i="3" s="1"/>
  <c r="S210" i="2"/>
  <c r="AY211" i="3" s="1"/>
  <c r="BB211" i="3" s="1"/>
  <c r="AY506" i="3"/>
  <c r="BB506" i="3" s="1"/>
  <c r="S206" i="2"/>
  <c r="AY502" i="3"/>
  <c r="BB502" i="3" s="1"/>
  <c r="S202" i="2"/>
  <c r="AY203" i="3" s="1"/>
  <c r="BB203" i="3" s="1"/>
  <c r="AY498" i="3"/>
  <c r="BB498" i="3" s="1"/>
  <c r="S198" i="2"/>
  <c r="AY199" i="3" s="1"/>
  <c r="BB199" i="3" s="1"/>
  <c r="AY494" i="3"/>
  <c r="BB494" i="3" s="1"/>
  <c r="S194" i="2"/>
  <c r="AY195" i="3" s="1"/>
  <c r="BB195" i="3" s="1"/>
  <c r="AY490" i="3"/>
  <c r="BB490" i="3" s="1"/>
  <c r="S190" i="2"/>
  <c r="AY373" i="3" s="1"/>
  <c r="BB373" i="3" s="1"/>
  <c r="AY486" i="3"/>
  <c r="BB486" i="3" s="1"/>
  <c r="S186" i="2"/>
  <c r="AY187" i="3" s="1"/>
  <c r="BB187" i="3" s="1"/>
  <c r="AY482" i="3"/>
  <c r="BB482" i="3" s="1"/>
  <c r="S182" i="2"/>
  <c r="AY183" i="3" s="1"/>
  <c r="BB183" i="3" s="1"/>
  <c r="AY478" i="3"/>
  <c r="BB478" i="3" s="1"/>
  <c r="S178" i="2"/>
  <c r="AY179" i="3" s="1"/>
  <c r="BB179" i="3" s="1"/>
  <c r="AY474" i="3"/>
  <c r="BB474" i="3" s="1"/>
  <c r="S174" i="2"/>
  <c r="AY470" i="3"/>
  <c r="BB470" i="3" s="1"/>
  <c r="S170" i="2"/>
  <c r="AY171" i="3" s="1"/>
  <c r="BB171" i="3" s="1"/>
  <c r="AY466" i="3"/>
  <c r="BB466" i="3" s="1"/>
  <c r="S166" i="2"/>
  <c r="AY167" i="3" s="1"/>
  <c r="BB167" i="3" s="1"/>
  <c r="AY462" i="3"/>
  <c r="BB462" i="3" s="1"/>
  <c r="S162" i="2"/>
  <c r="AY163" i="3" s="1"/>
  <c r="BB163" i="3" s="1"/>
  <c r="AY458" i="3"/>
  <c r="BB458" i="3" s="1"/>
  <c r="S158" i="2"/>
  <c r="AY454" i="3"/>
  <c r="BB454" i="3" s="1"/>
  <c r="S154" i="2"/>
  <c r="AY155" i="3" s="1"/>
  <c r="BB155" i="3" s="1"/>
  <c r="AY450" i="3"/>
  <c r="BB450" i="3" s="1"/>
  <c r="S150" i="2"/>
  <c r="AY446" i="3"/>
  <c r="BB446" i="3" s="1"/>
  <c r="S146" i="2"/>
  <c r="AY147" i="3" s="1"/>
  <c r="BB147" i="3" s="1"/>
  <c r="AY442" i="3"/>
  <c r="BB442" i="3" s="1"/>
  <c r="S142" i="2"/>
  <c r="AY143" i="3" s="1"/>
  <c r="BB143" i="3" s="1"/>
  <c r="AY438" i="3"/>
  <c r="BB438" i="3" s="1"/>
  <c r="S138" i="2"/>
  <c r="AY139" i="3" s="1"/>
  <c r="BB139" i="3" s="1"/>
  <c r="AY434" i="3"/>
  <c r="BB434" i="3" s="1"/>
  <c r="S134" i="2"/>
  <c r="AY430" i="3"/>
  <c r="BB430" i="3" s="1"/>
  <c r="S130" i="2"/>
  <c r="AY426" i="3"/>
  <c r="BB426" i="3" s="1"/>
  <c r="S126" i="2"/>
  <c r="AY127" i="3" s="1"/>
  <c r="BB127" i="3" s="1"/>
  <c r="AY422" i="3"/>
  <c r="BB422" i="3" s="1"/>
  <c r="S122" i="2"/>
  <c r="AY123" i="3" s="1"/>
  <c r="BB123" i="3" s="1"/>
  <c r="AY418" i="3"/>
  <c r="BB418" i="3" s="1"/>
  <c r="S118" i="2"/>
  <c r="AY119" i="3" s="1"/>
  <c r="BB119" i="3" s="1"/>
  <c r="AY414" i="3"/>
  <c r="BB414" i="3" s="1"/>
  <c r="S114" i="2"/>
  <c r="AY115" i="3" s="1"/>
  <c r="BB115" i="3" s="1"/>
  <c r="AY410" i="3"/>
  <c r="BB410" i="3" s="1"/>
  <c r="S110" i="2"/>
  <c r="AY406" i="3"/>
  <c r="BB406" i="3" s="1"/>
  <c r="S106" i="2"/>
  <c r="AY107" i="3" s="1"/>
  <c r="BB107" i="3" s="1"/>
  <c r="AY402" i="3"/>
  <c r="BB402" i="3" s="1"/>
  <c r="S102" i="2"/>
  <c r="AY103" i="3" s="1"/>
  <c r="BB103" i="3" s="1"/>
  <c r="AY398" i="3"/>
  <c r="BB398" i="3" s="1"/>
  <c r="S98" i="2"/>
  <c r="AY99" i="3" s="1"/>
  <c r="BB99" i="3" s="1"/>
  <c r="AY394" i="3"/>
  <c r="BB394" i="3" s="1"/>
  <c r="S94" i="2"/>
  <c r="AY390" i="3"/>
  <c r="BB390" i="3" s="1"/>
  <c r="S90" i="2"/>
  <c r="AY91" i="3" s="1"/>
  <c r="BB91" i="3" s="1"/>
  <c r="AY386" i="3"/>
  <c r="BB386" i="3" s="1"/>
  <c r="S86" i="2"/>
  <c r="AY382" i="3"/>
  <c r="BB382" i="3" s="1"/>
  <c r="S82" i="2"/>
  <c r="AY83" i="3" s="1"/>
  <c r="BB83" i="3" s="1"/>
  <c r="S78" i="2"/>
  <c r="AY79" i="3" s="1"/>
  <c r="BB79" i="3" s="1"/>
  <c r="S74" i="2"/>
  <c r="AY75" i="3" s="1"/>
  <c r="BB75" i="3" s="1"/>
  <c r="S70" i="2"/>
  <c r="S66" i="2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 s="1"/>
  <c r="BG1161" i="3" s="1"/>
  <c r="U861" i="2"/>
  <c r="BD1157" i="3" s="1"/>
  <c r="BG1157" i="3" s="1"/>
  <c r="U857" i="2"/>
  <c r="BD1153" i="3" s="1"/>
  <c r="BG1153" i="3" s="1"/>
  <c r="U853" i="2"/>
  <c r="BD1149" i="3" s="1"/>
  <c r="BG1149" i="3" s="1"/>
  <c r="U849" i="2"/>
  <c r="BD1145" i="3" s="1"/>
  <c r="BG1145" i="3" s="1"/>
  <c r="U845" i="2"/>
  <c r="BD1141" i="3"/>
  <c r="BG1141" i="3" s="1"/>
  <c r="U841" i="2"/>
  <c r="BD1137" i="3" s="1"/>
  <c r="BG1137" i="3" s="1"/>
  <c r="U837" i="2"/>
  <c r="BD1133" i="3"/>
  <c r="BG1133" i="3" s="1"/>
  <c r="U833" i="2"/>
  <c r="BD1129" i="3" s="1"/>
  <c r="BG1129" i="3" s="1"/>
  <c r="U829" i="2"/>
  <c r="BD1125" i="3" s="1"/>
  <c r="BG1125" i="3" s="1"/>
  <c r="U825" i="2"/>
  <c r="BD1121" i="3" s="1"/>
  <c r="BG1121" i="3" s="1"/>
  <c r="U821" i="2"/>
  <c r="BD1117" i="3" s="1"/>
  <c r="BG1117" i="3" s="1"/>
  <c r="U817" i="2"/>
  <c r="BD1113" i="3" s="1"/>
  <c r="BG1113" i="3" s="1"/>
  <c r="U813" i="2"/>
  <c r="BD1109" i="3"/>
  <c r="BG1109" i="3" s="1"/>
  <c r="U809" i="2"/>
  <c r="BD1105" i="3" s="1"/>
  <c r="BG1105" i="3" s="1"/>
  <c r="U805" i="2"/>
  <c r="BD1101" i="3"/>
  <c r="BG1101" i="3" s="1"/>
  <c r="U801" i="2"/>
  <c r="BD1097" i="3" s="1"/>
  <c r="BG1097" i="3" s="1"/>
  <c r="U797" i="2"/>
  <c r="BD1093" i="3" s="1"/>
  <c r="BG1093" i="3" s="1"/>
  <c r="U793" i="2"/>
  <c r="BD1089" i="3" s="1"/>
  <c r="BG1089" i="3" s="1"/>
  <c r="U789" i="2"/>
  <c r="BD1085" i="3"/>
  <c r="BG1085" i="3" s="1"/>
  <c r="U785" i="2"/>
  <c r="BD1081" i="3" s="1"/>
  <c r="BG1081" i="3" s="1"/>
  <c r="U781" i="2"/>
  <c r="BD1077" i="3"/>
  <c r="BG1077" i="3" s="1"/>
  <c r="U777" i="2"/>
  <c r="BD1073" i="3" s="1"/>
  <c r="BG1073" i="3" s="1"/>
  <c r="U701" i="2"/>
  <c r="BD997" i="3"/>
  <c r="BG997" i="3" s="1"/>
  <c r="U121" i="2"/>
  <c r="BD122" i="3" s="1"/>
  <c r="BG122" i="3" s="1"/>
  <c r="U113" i="2"/>
  <c r="U105" i="2"/>
  <c r="BD401" i="3" s="1"/>
  <c r="BG401" i="3" s="1"/>
  <c r="U97" i="2"/>
  <c r="BD98" i="3" s="1"/>
  <c r="BG98" i="3" s="1"/>
  <c r="BD393" i="3"/>
  <c r="BG393" i="3" s="1"/>
  <c r="U89" i="2"/>
  <c r="BD90" i="3" s="1"/>
  <c r="BG90" i="3" s="1"/>
  <c r="U81" i="2"/>
  <c r="BD82" i="3" s="1"/>
  <c r="BG82" i="3" s="1"/>
  <c r="U73" i="2"/>
  <c r="BD74" i="3" s="1"/>
  <c r="BG74" i="3" s="1"/>
  <c r="U65" i="2"/>
  <c r="BD66" i="3" s="1"/>
  <c r="BG66" i="3" s="1"/>
  <c r="U57" i="2"/>
  <c r="BD58" i="3" s="1"/>
  <c r="BG58" i="3" s="1"/>
  <c r="U49" i="2"/>
  <c r="BD50" i="3" s="1"/>
  <c r="BG50" i="3" s="1"/>
  <c r="U41" i="2"/>
  <c r="BD42" i="3" s="1"/>
  <c r="BG42" i="3" s="1"/>
  <c r="U33" i="2"/>
  <c r="BD34" i="3" s="1"/>
  <c r="BG34" i="3" s="1"/>
  <c r="U17" i="2"/>
  <c r="BD18" i="3" s="1"/>
  <c r="BG18" i="3" s="1"/>
  <c r="U9" i="2"/>
  <c r="BD9" i="3"/>
  <c r="BG9" i="3" s="1"/>
  <c r="U862" i="2"/>
  <c r="BD1158" i="3" s="1"/>
  <c r="BG1158" i="3" s="1"/>
  <c r="U858" i="2"/>
  <c r="BD1154" i="3"/>
  <c r="BG1154" i="3" s="1"/>
  <c r="U854" i="2"/>
  <c r="BD1150" i="3" s="1"/>
  <c r="BG1150" i="3" s="1"/>
  <c r="U850" i="2"/>
  <c r="BD1146" i="3" s="1"/>
  <c r="BG1146" i="3" s="1"/>
  <c r="U846" i="2"/>
  <c r="BD1142" i="3" s="1"/>
  <c r="BG1142" i="3" s="1"/>
  <c r="U842" i="2"/>
  <c r="BD1138" i="3" s="1"/>
  <c r="BG1138" i="3" s="1"/>
  <c r="U838" i="2"/>
  <c r="BD1134" i="3" s="1"/>
  <c r="BG1134" i="3" s="1"/>
  <c r="U834" i="2"/>
  <c r="BD1130" i="3"/>
  <c r="BG1130" i="3" s="1"/>
  <c r="U830" i="2"/>
  <c r="BD1126" i="3" s="1"/>
  <c r="BG1126" i="3" s="1"/>
  <c r="U826" i="2"/>
  <c r="BD1122" i="3"/>
  <c r="BG1122" i="3" s="1"/>
  <c r="U822" i="2"/>
  <c r="BD1118" i="3" s="1"/>
  <c r="BG1118" i="3" s="1"/>
  <c r="U818" i="2"/>
  <c r="BD1114" i="3" s="1"/>
  <c r="BG1114" i="3" s="1"/>
  <c r="U814" i="2"/>
  <c r="BD1110" i="3" s="1"/>
  <c r="BG1110" i="3" s="1"/>
  <c r="U810" i="2"/>
  <c r="BD1106" i="3" s="1"/>
  <c r="BG1106" i="3" s="1"/>
  <c r="U806" i="2"/>
  <c r="BD1102" i="3" s="1"/>
  <c r="BG1102" i="3" s="1"/>
  <c r="U802" i="2"/>
  <c r="BD1098" i="3"/>
  <c r="BG1098" i="3" s="1"/>
  <c r="U798" i="2"/>
  <c r="BD1094" i="3" s="1"/>
  <c r="BG1094" i="3" s="1"/>
  <c r="U794" i="2"/>
  <c r="BD1090" i="3"/>
  <c r="BG1090" i="3" s="1"/>
  <c r="U790" i="2"/>
  <c r="BD1086" i="3" s="1"/>
  <c r="BG1086" i="3" s="1"/>
  <c r="U786" i="2"/>
  <c r="BD1082" i="3" s="1"/>
  <c r="BG1082" i="3" s="1"/>
  <c r="U782" i="2"/>
  <c r="BD1078" i="3" s="1"/>
  <c r="BG1078" i="3" s="1"/>
  <c r="U778" i="2"/>
  <c r="BD1074" i="3"/>
  <c r="BG1074" i="3" s="1"/>
  <c r="U774" i="2"/>
  <c r="BD1070" i="3" s="1"/>
  <c r="BG1070" i="3" s="1"/>
  <c r="U770" i="2"/>
  <c r="BD1066" i="3"/>
  <c r="BG1066" i="3" s="1"/>
  <c r="U766" i="2"/>
  <c r="BD1062" i="3" s="1"/>
  <c r="BG1062" i="3" s="1"/>
  <c r="U762" i="2"/>
  <c r="BD1058" i="3"/>
  <c r="BG1058" i="3" s="1"/>
  <c r="U758" i="2"/>
  <c r="BD1054" i="3" s="1"/>
  <c r="BG1054" i="3" s="1"/>
  <c r="U754" i="2"/>
  <c r="BD1050" i="3" s="1"/>
  <c r="BG1050" i="3" s="1"/>
  <c r="U750" i="2"/>
  <c r="BD1046" i="3" s="1"/>
  <c r="BG1046" i="3" s="1"/>
  <c r="U746" i="2"/>
  <c r="BD1042" i="3"/>
  <c r="BG1042" i="3" s="1"/>
  <c r="U742" i="2"/>
  <c r="BD1038" i="3" s="1"/>
  <c r="BG1038" i="3" s="1"/>
  <c r="U738" i="2"/>
  <c r="BD1034" i="3"/>
  <c r="BG1034" i="3" s="1"/>
  <c r="U734" i="2"/>
  <c r="BD1030" i="3" s="1"/>
  <c r="BG1030" i="3" s="1"/>
  <c r="U730" i="2"/>
  <c r="BD1026" i="3"/>
  <c r="BG1026" i="3" s="1"/>
  <c r="U726" i="2"/>
  <c r="BD1022" i="3" s="1"/>
  <c r="BG1022" i="3" s="1"/>
  <c r="U722" i="2"/>
  <c r="BD1018" i="3" s="1"/>
  <c r="BG1018" i="3" s="1"/>
  <c r="U718" i="2"/>
  <c r="BD1014" i="3" s="1"/>
  <c r="BG1014" i="3" s="1"/>
  <c r="U714" i="2"/>
  <c r="BD1010" i="3" s="1"/>
  <c r="BG1010" i="3" s="1"/>
  <c r="U710" i="2"/>
  <c r="BD1006" i="3" s="1"/>
  <c r="BG1006" i="3" s="1"/>
  <c r="U706" i="2"/>
  <c r="BD1002" i="3"/>
  <c r="BG1002" i="3" s="1"/>
  <c r="U702" i="2"/>
  <c r="BD998" i="3" s="1"/>
  <c r="BG998" i="3" s="1"/>
  <c r="U698" i="2"/>
  <c r="BD994" i="3"/>
  <c r="BG994" i="3" s="1"/>
  <c r="U694" i="2"/>
  <c r="BD990" i="3" s="1"/>
  <c r="BG990" i="3" s="1"/>
  <c r="U690" i="2"/>
  <c r="BD986" i="3" s="1"/>
  <c r="BG986" i="3" s="1"/>
  <c r="U686" i="2"/>
  <c r="BD982" i="3" s="1"/>
  <c r="BG982" i="3" s="1"/>
  <c r="U682" i="2"/>
  <c r="BD978" i="3" s="1"/>
  <c r="BG978" i="3" s="1"/>
  <c r="U678" i="2"/>
  <c r="BD974" i="3" s="1"/>
  <c r="BG974" i="3" s="1"/>
  <c r="U674" i="2"/>
  <c r="BD970" i="3"/>
  <c r="BG970" i="3" s="1"/>
  <c r="U670" i="2"/>
  <c r="BD966" i="3" s="1"/>
  <c r="BG966" i="3" s="1"/>
  <c r="U666" i="2"/>
  <c r="BD962" i="3"/>
  <c r="BG962" i="3" s="1"/>
  <c r="U662" i="2"/>
  <c r="BD958" i="3" s="1"/>
  <c r="BG958" i="3" s="1"/>
  <c r="U658" i="2"/>
  <c r="BD954" i="3" s="1"/>
  <c r="BG954" i="3" s="1"/>
  <c r="U654" i="2"/>
  <c r="BD950" i="3" s="1"/>
  <c r="BG950" i="3" s="1"/>
  <c r="U650" i="2"/>
  <c r="BD946" i="3"/>
  <c r="BG946" i="3" s="1"/>
  <c r="U646" i="2"/>
  <c r="BD942" i="3" s="1"/>
  <c r="BG942" i="3" s="1"/>
  <c r="U642" i="2"/>
  <c r="BD938" i="3"/>
  <c r="BG938" i="3" s="1"/>
  <c r="U638" i="2"/>
  <c r="BD934" i="3" s="1"/>
  <c r="BG934" i="3" s="1"/>
  <c r="U634" i="2"/>
  <c r="BD930" i="3"/>
  <c r="BG930" i="3" s="1"/>
  <c r="U630" i="2"/>
  <c r="BD926" i="3" s="1"/>
  <c r="BG926" i="3" s="1"/>
  <c r="U626" i="2"/>
  <c r="BD922" i="3" s="1"/>
  <c r="BG922" i="3" s="1"/>
  <c r="U622" i="2"/>
  <c r="BD918" i="3" s="1"/>
  <c r="BG918" i="3" s="1"/>
  <c r="U618" i="2"/>
  <c r="BD914" i="3"/>
  <c r="BG914" i="3" s="1"/>
  <c r="U614" i="2"/>
  <c r="BD910" i="3" s="1"/>
  <c r="BG910" i="3" s="1"/>
  <c r="U610" i="2"/>
  <c r="BD906" i="3"/>
  <c r="BG906" i="3" s="1"/>
  <c r="U606" i="2"/>
  <c r="BD902" i="3" s="1"/>
  <c r="BG902" i="3" s="1"/>
  <c r="U602" i="2"/>
  <c r="BD898" i="3"/>
  <c r="BG898" i="3" s="1"/>
  <c r="U598" i="2"/>
  <c r="BD894" i="3" s="1"/>
  <c r="BG894" i="3" s="1"/>
  <c r="U594" i="2"/>
  <c r="BD890" i="3" s="1"/>
  <c r="BG890" i="3" s="1"/>
  <c r="U590" i="2"/>
  <c r="BD886" i="3" s="1"/>
  <c r="BG886" i="3" s="1"/>
  <c r="U586" i="2"/>
  <c r="BD882" i="3" s="1"/>
  <c r="BG882" i="3" s="1"/>
  <c r="U582" i="2"/>
  <c r="BD878" i="3" s="1"/>
  <c r="BG878" i="3" s="1"/>
  <c r="U578" i="2"/>
  <c r="BD874" i="3"/>
  <c r="BG874" i="3" s="1"/>
  <c r="U574" i="2"/>
  <c r="BD870" i="3" s="1"/>
  <c r="BG870" i="3" s="1"/>
  <c r="U570" i="2"/>
  <c r="BD866" i="3"/>
  <c r="BG866" i="3" s="1"/>
  <c r="U566" i="2"/>
  <c r="BD862" i="3" s="1"/>
  <c r="BG862" i="3" s="1"/>
  <c r="U562" i="2"/>
  <c r="BD858" i="3" s="1"/>
  <c r="BG858" i="3" s="1"/>
  <c r="U558" i="2"/>
  <c r="BD854" i="3" s="1"/>
  <c r="BG854" i="3" s="1"/>
  <c r="U554" i="2"/>
  <c r="BD850" i="3" s="1"/>
  <c r="BG850" i="3" s="1"/>
  <c r="U550" i="2"/>
  <c r="BD846" i="3" s="1"/>
  <c r="BG846" i="3" s="1"/>
  <c r="U546" i="2"/>
  <c r="BD842" i="3"/>
  <c r="BG842" i="3" s="1"/>
  <c r="U542" i="2"/>
  <c r="BD838" i="3" s="1"/>
  <c r="BG838" i="3" s="1"/>
  <c r="U538" i="2"/>
  <c r="BD834" i="3"/>
  <c r="BG834" i="3" s="1"/>
  <c r="U534" i="2"/>
  <c r="BD830" i="3" s="1"/>
  <c r="BG830" i="3" s="1"/>
  <c r="U530" i="2"/>
  <c r="BD826" i="3" s="1"/>
  <c r="BG826" i="3" s="1"/>
  <c r="U526" i="2"/>
  <c r="BD822" i="3" s="1"/>
  <c r="BG822" i="3" s="1"/>
  <c r="U522" i="2"/>
  <c r="BD818" i="3"/>
  <c r="BG818" i="3" s="1"/>
  <c r="U518" i="2"/>
  <c r="BD814" i="3" s="1"/>
  <c r="BG814" i="3" s="1"/>
  <c r="U514" i="2"/>
  <c r="BD810" i="3"/>
  <c r="BG810" i="3" s="1"/>
  <c r="U510" i="2"/>
  <c r="BD806" i="3" s="1"/>
  <c r="BG806" i="3" s="1"/>
  <c r="U506" i="2"/>
  <c r="BD802" i="3"/>
  <c r="BG802" i="3" s="1"/>
  <c r="U502" i="2"/>
  <c r="BD798" i="3" s="1"/>
  <c r="BG798" i="3" s="1"/>
  <c r="U498" i="2"/>
  <c r="BD794" i="3" s="1"/>
  <c r="BG794" i="3" s="1"/>
  <c r="U494" i="2"/>
  <c r="BD790" i="3" s="1"/>
  <c r="BG790" i="3" s="1"/>
  <c r="U490" i="2"/>
  <c r="BD786" i="3"/>
  <c r="BG786" i="3" s="1"/>
  <c r="U486" i="2"/>
  <c r="BD782" i="3" s="1"/>
  <c r="BG782" i="3" s="1"/>
  <c r="U482" i="2"/>
  <c r="BD778" i="3"/>
  <c r="BG778" i="3" s="1"/>
  <c r="U478" i="2"/>
  <c r="BD774" i="3" s="1"/>
  <c r="BG774" i="3" s="1"/>
  <c r="U474" i="2"/>
  <c r="BD770" i="3"/>
  <c r="BG770" i="3" s="1"/>
  <c r="U470" i="2"/>
  <c r="BD766" i="3" s="1"/>
  <c r="BG766" i="3" s="1"/>
  <c r="U466" i="2"/>
  <c r="BD762" i="3" s="1"/>
  <c r="BG762" i="3" s="1"/>
  <c r="U462" i="2"/>
  <c r="BD758" i="3" s="1"/>
  <c r="BG758" i="3" s="1"/>
  <c r="U458" i="2"/>
  <c r="BD754" i="3" s="1"/>
  <c r="BG754" i="3" s="1"/>
  <c r="U454" i="2"/>
  <c r="BD750" i="3" s="1"/>
  <c r="BG750" i="3" s="1"/>
  <c r="U450" i="2"/>
  <c r="BD746" i="3"/>
  <c r="BG746" i="3" s="1"/>
  <c r="U446" i="2"/>
  <c r="BD742" i="3" s="1"/>
  <c r="BG742" i="3" s="1"/>
  <c r="U442" i="2"/>
  <c r="BD738" i="3"/>
  <c r="BG738" i="3" s="1"/>
  <c r="U438" i="2"/>
  <c r="BD734" i="3" s="1"/>
  <c r="BG734" i="3" s="1"/>
  <c r="U434" i="2"/>
  <c r="BD730" i="3" s="1"/>
  <c r="BG730" i="3" s="1"/>
  <c r="U430" i="2"/>
  <c r="BD726" i="3" s="1"/>
  <c r="BG726" i="3" s="1"/>
  <c r="U426" i="2"/>
  <c r="BD722" i="3" s="1"/>
  <c r="BG722" i="3" s="1"/>
  <c r="U422" i="2"/>
  <c r="BD718" i="3" s="1"/>
  <c r="BG718" i="3" s="1"/>
  <c r="U418" i="2"/>
  <c r="BD714" i="3"/>
  <c r="BG714" i="3" s="1"/>
  <c r="U414" i="2"/>
  <c r="BD710" i="3" s="1"/>
  <c r="BG710" i="3" s="1"/>
  <c r="U410" i="2"/>
  <c r="BD706" i="3"/>
  <c r="BG706" i="3" s="1"/>
  <c r="U406" i="2"/>
  <c r="BD702" i="3" s="1"/>
  <c r="BG702" i="3" s="1"/>
  <c r="U402" i="2"/>
  <c r="BD698" i="3" s="1"/>
  <c r="BG698" i="3" s="1"/>
  <c r="U398" i="2"/>
  <c r="BD694" i="3" s="1"/>
  <c r="BG694" i="3" s="1"/>
  <c r="U394" i="2"/>
  <c r="BD690" i="3"/>
  <c r="BG690" i="3" s="1"/>
  <c r="U390" i="2"/>
  <c r="BD686" i="3" s="1"/>
  <c r="BG686" i="3" s="1"/>
  <c r="U386" i="2"/>
  <c r="BD682" i="3"/>
  <c r="BG682" i="3" s="1"/>
  <c r="U382" i="2"/>
  <c r="BD678" i="3" s="1"/>
  <c r="BG678" i="3" s="1"/>
  <c r="U378" i="2"/>
  <c r="BD674" i="3"/>
  <c r="BG674" i="3" s="1"/>
  <c r="U374" i="2"/>
  <c r="BD670" i="3" s="1"/>
  <c r="BG670" i="3" s="1"/>
  <c r="U370" i="2"/>
  <c r="BD666" i="3" s="1"/>
  <c r="BG666" i="3" s="1"/>
  <c r="U366" i="2"/>
  <c r="BD367" i="3" s="1"/>
  <c r="BG367" i="3" s="1"/>
  <c r="U362" i="2"/>
  <c r="BD363" i="3" s="1"/>
  <c r="BG363" i="3" s="1"/>
  <c r="BD658" i="3"/>
  <c r="BG658" i="3" s="1"/>
  <c r="U358" i="2"/>
  <c r="BD654" i="3" s="1"/>
  <c r="BG654" i="3" s="1"/>
  <c r="U354" i="2"/>
  <c r="BD355" i="3" s="1"/>
  <c r="BG355" i="3" s="1"/>
  <c r="BD650" i="3"/>
  <c r="BG650" i="3" s="1"/>
  <c r="U350" i="2"/>
  <c r="BD351" i="3" s="1"/>
  <c r="BG351" i="3" s="1"/>
  <c r="U346" i="2"/>
  <c r="BD347" i="3" s="1"/>
  <c r="BG347" i="3" s="1"/>
  <c r="BD642" i="3"/>
  <c r="BG642" i="3" s="1"/>
  <c r="U342" i="2"/>
  <c r="BD343" i="3" s="1"/>
  <c r="BG343" i="3" s="1"/>
  <c r="U338" i="2"/>
  <c r="U773" i="2"/>
  <c r="BD1069" i="3" s="1"/>
  <c r="BG1069" i="3" s="1"/>
  <c r="U769" i="2"/>
  <c r="BD1065" i="3" s="1"/>
  <c r="BG1065" i="3" s="1"/>
  <c r="U765" i="2"/>
  <c r="BD1061" i="3" s="1"/>
  <c r="BG1061" i="3" s="1"/>
  <c r="U761" i="2"/>
  <c r="BD1057" i="3"/>
  <c r="BG1057" i="3" s="1"/>
  <c r="U757" i="2"/>
  <c r="BD1053" i="3" s="1"/>
  <c r="BG1053" i="3" s="1"/>
  <c r="U753" i="2"/>
  <c r="BD1049" i="3"/>
  <c r="BG1049" i="3" s="1"/>
  <c r="U749" i="2"/>
  <c r="BD1045" i="3" s="1"/>
  <c r="BG1045" i="3" s="1"/>
  <c r="U745" i="2"/>
  <c r="BD1041" i="3" s="1"/>
  <c r="BG1041" i="3" s="1"/>
  <c r="U741" i="2"/>
  <c r="BD1037" i="3" s="1"/>
  <c r="BG1037" i="3" s="1"/>
  <c r="U737" i="2"/>
  <c r="BD1033" i="3" s="1"/>
  <c r="BG1033" i="3" s="1"/>
  <c r="U733" i="2"/>
  <c r="BD1029" i="3" s="1"/>
  <c r="BG1029" i="3" s="1"/>
  <c r="U729" i="2"/>
  <c r="BD1025" i="3"/>
  <c r="BG1025" i="3" s="1"/>
  <c r="U725" i="2"/>
  <c r="BD1021" i="3" s="1"/>
  <c r="BG1021" i="3" s="1"/>
  <c r="U721" i="2"/>
  <c r="BD1017" i="3"/>
  <c r="BG1017" i="3" s="1"/>
  <c r="U717" i="2"/>
  <c r="BD1013" i="3" s="1"/>
  <c r="BG1013" i="3" s="1"/>
  <c r="U713" i="2"/>
  <c r="BD1009" i="3" s="1"/>
  <c r="BG1009" i="3" s="1"/>
  <c r="U709" i="2"/>
  <c r="BD1005" i="3" s="1"/>
  <c r="BG1005" i="3" s="1"/>
  <c r="U705" i="2"/>
  <c r="BD1001" i="3"/>
  <c r="BG1001" i="3" s="1"/>
  <c r="U697" i="2"/>
  <c r="BD993" i="3" s="1"/>
  <c r="BG993" i="3" s="1"/>
  <c r="U693" i="2"/>
  <c r="BD989" i="3"/>
  <c r="BG989" i="3" s="1"/>
  <c r="U689" i="2"/>
  <c r="BD985" i="3" s="1"/>
  <c r="BG985" i="3" s="1"/>
  <c r="U685" i="2"/>
  <c r="BD981" i="3"/>
  <c r="BG981" i="3" s="1"/>
  <c r="U681" i="2"/>
  <c r="BD977" i="3" s="1"/>
  <c r="BG977" i="3" s="1"/>
  <c r="U677" i="2"/>
  <c r="BD973" i="3" s="1"/>
  <c r="BG973" i="3" s="1"/>
  <c r="U673" i="2"/>
  <c r="BD969" i="3" s="1"/>
  <c r="BG969" i="3" s="1"/>
  <c r="U669" i="2"/>
  <c r="BD965" i="3"/>
  <c r="BG965" i="3" s="1"/>
  <c r="U665" i="2"/>
  <c r="BD961" i="3" s="1"/>
  <c r="BG961" i="3" s="1"/>
  <c r="U661" i="2"/>
  <c r="BD957" i="3"/>
  <c r="BG957" i="3" s="1"/>
  <c r="U657" i="2"/>
  <c r="BD953" i="3" s="1"/>
  <c r="BG953" i="3" s="1"/>
  <c r="U653" i="2"/>
  <c r="BD949" i="3"/>
  <c r="BG949" i="3" s="1"/>
  <c r="U649" i="2"/>
  <c r="BD945" i="3" s="1"/>
  <c r="BG945" i="3" s="1"/>
  <c r="U645" i="2"/>
  <c r="BD941" i="3" s="1"/>
  <c r="BG941" i="3" s="1"/>
  <c r="U641" i="2"/>
  <c r="BD937" i="3" s="1"/>
  <c r="BG937" i="3" s="1"/>
  <c r="U637" i="2"/>
  <c r="BD933" i="3" s="1"/>
  <c r="BG933" i="3" s="1"/>
  <c r="U633" i="2"/>
  <c r="BD929" i="3" s="1"/>
  <c r="BG929" i="3" s="1"/>
  <c r="U629" i="2"/>
  <c r="BD925" i="3"/>
  <c r="BG925" i="3" s="1"/>
  <c r="U625" i="2"/>
  <c r="BD921" i="3" s="1"/>
  <c r="BG921" i="3" s="1"/>
  <c r="U621" i="2"/>
  <c r="BD917" i="3"/>
  <c r="BG917" i="3" s="1"/>
  <c r="U617" i="2"/>
  <c r="BD913" i="3" s="1"/>
  <c r="BG913" i="3" s="1"/>
  <c r="U613" i="2"/>
  <c r="BD909" i="3" s="1"/>
  <c r="BG909" i="3" s="1"/>
  <c r="U609" i="2"/>
  <c r="BD905" i="3" s="1"/>
  <c r="BG905" i="3" s="1"/>
  <c r="U605" i="2"/>
  <c r="BD901" i="3" s="1"/>
  <c r="BG901" i="3" s="1"/>
  <c r="U601" i="2"/>
  <c r="BD897" i="3" s="1"/>
  <c r="BG897" i="3" s="1"/>
  <c r="U597" i="2"/>
  <c r="BD893" i="3"/>
  <c r="BG893" i="3" s="1"/>
  <c r="U593" i="2"/>
  <c r="BD889" i="3" s="1"/>
  <c r="BG889" i="3" s="1"/>
  <c r="U589" i="2"/>
  <c r="BD885" i="3"/>
  <c r="BG885" i="3" s="1"/>
  <c r="U585" i="2"/>
  <c r="BD881" i="3" s="1"/>
  <c r="BG881" i="3" s="1"/>
  <c r="U581" i="2"/>
  <c r="BD877" i="3" s="1"/>
  <c r="BG877" i="3" s="1"/>
  <c r="U577" i="2"/>
  <c r="BD873" i="3" s="1"/>
  <c r="BG873" i="3" s="1"/>
  <c r="U573" i="2"/>
  <c r="BD869" i="3"/>
  <c r="BG869" i="3" s="1"/>
  <c r="U569" i="2"/>
  <c r="BD865" i="3" s="1"/>
  <c r="BG865" i="3" s="1"/>
  <c r="U565" i="2"/>
  <c r="BD861" i="3"/>
  <c r="BG861" i="3" s="1"/>
  <c r="U561" i="2"/>
  <c r="BD857" i="3" s="1"/>
  <c r="BG857" i="3" s="1"/>
  <c r="U557" i="2"/>
  <c r="BD853" i="3"/>
  <c r="BG853" i="3" s="1"/>
  <c r="U553" i="2"/>
  <c r="BD849" i="3" s="1"/>
  <c r="BG849" i="3" s="1"/>
  <c r="U549" i="2"/>
  <c r="BD845" i="3" s="1"/>
  <c r="BG845" i="3" s="1"/>
  <c r="U545" i="2"/>
  <c r="BD841" i="3" s="1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366" i="3" s="1"/>
  <c r="BG366" i="3" s="1"/>
  <c r="BD661" i="3"/>
  <c r="BG661" i="3" s="1"/>
  <c r="U361" i="2"/>
  <c r="BD362" i="3" s="1"/>
  <c r="BG362" i="3" s="1"/>
  <c r="BD657" i="3"/>
  <c r="BG657" i="3" s="1"/>
  <c r="U357" i="2"/>
  <c r="BD358" i="3" s="1"/>
  <c r="BG358" i="3" s="1"/>
  <c r="BD653" i="3"/>
  <c r="BG653" i="3" s="1"/>
  <c r="U353" i="2"/>
  <c r="BD354" i="3" s="1"/>
  <c r="BG354" i="3" s="1"/>
  <c r="BD649" i="3"/>
  <c r="BG649" i="3" s="1"/>
  <c r="U349" i="2"/>
  <c r="BD350" i="3" s="1"/>
  <c r="BG350" i="3" s="1"/>
  <c r="BD645" i="3"/>
  <c r="BG645" i="3" s="1"/>
  <c r="U345" i="2"/>
  <c r="BD641" i="3"/>
  <c r="BG641" i="3" s="1"/>
  <c r="U341" i="2"/>
  <c r="BD342" i="3" s="1"/>
  <c r="BG342" i="3" s="1"/>
  <c r="BD637" i="3"/>
  <c r="BG637" i="3" s="1"/>
  <c r="U337" i="2"/>
  <c r="BD633" i="3"/>
  <c r="BG633" i="3" s="1"/>
  <c r="U333" i="2"/>
  <c r="BD334" i="3" s="1"/>
  <c r="BG334" i="3" s="1"/>
  <c r="BD629" i="3"/>
  <c r="BG629" i="3" s="1"/>
  <c r="U329" i="2"/>
  <c r="BD330" i="3" s="1"/>
  <c r="BG330" i="3" s="1"/>
  <c r="BD625" i="3"/>
  <c r="BG625" i="3" s="1"/>
  <c r="U325" i="2"/>
  <c r="BD326" i="3" s="1"/>
  <c r="BG326" i="3" s="1"/>
  <c r="BD621" i="3"/>
  <c r="BG621" i="3" s="1"/>
  <c r="U321" i="2"/>
  <c r="BD322" i="3" s="1"/>
  <c r="BG322" i="3" s="1"/>
  <c r="BD617" i="3"/>
  <c r="BG617" i="3" s="1"/>
  <c r="U317" i="2"/>
  <c r="BD318" i="3" s="1"/>
  <c r="BG318" i="3" s="1"/>
  <c r="BD613" i="3"/>
  <c r="BG613" i="3" s="1"/>
  <c r="U313" i="2"/>
  <c r="BD314" i="3" s="1"/>
  <c r="BG314" i="3" s="1"/>
  <c r="BD609" i="3"/>
  <c r="BG609" i="3" s="1"/>
  <c r="U309" i="2"/>
  <c r="BD310" i="3" s="1"/>
  <c r="BG310" i="3" s="1"/>
  <c r="BD605" i="3"/>
  <c r="BG605" i="3" s="1"/>
  <c r="U305" i="2"/>
  <c r="BD306" i="3" s="1"/>
  <c r="BG306" i="3" s="1"/>
  <c r="BD601" i="3"/>
  <c r="BG601" i="3" s="1"/>
  <c r="U301" i="2"/>
  <c r="BD302" i="3" s="1"/>
  <c r="BG302" i="3" s="1"/>
  <c r="BD597" i="3"/>
  <c r="BG597" i="3" s="1"/>
  <c r="U297" i="2"/>
  <c r="BD298" i="3" s="1"/>
  <c r="BG298" i="3" s="1"/>
  <c r="BD593" i="3"/>
  <c r="BG593" i="3" s="1"/>
  <c r="U293" i="2"/>
  <c r="BD294" i="3" s="1"/>
  <c r="BG294" i="3" s="1"/>
  <c r="BD589" i="3"/>
  <c r="BG589" i="3" s="1"/>
  <c r="U289" i="2"/>
  <c r="BD290" i="3" s="1"/>
  <c r="BG290" i="3" s="1"/>
  <c r="BD585" i="3"/>
  <c r="BG585" i="3" s="1"/>
  <c r="U285" i="2"/>
  <c r="BD286" i="3" s="1"/>
  <c r="BG286" i="3" s="1"/>
  <c r="BD581" i="3"/>
  <c r="BG581" i="3" s="1"/>
  <c r="U281" i="2"/>
  <c r="BD282" i="3" s="1"/>
  <c r="BG282" i="3" s="1"/>
  <c r="BD577" i="3"/>
  <c r="BG577" i="3" s="1"/>
  <c r="U277" i="2"/>
  <c r="BD278" i="3" s="1"/>
  <c r="BG278" i="3" s="1"/>
  <c r="BD573" i="3"/>
  <c r="BG573" i="3" s="1"/>
  <c r="U273" i="2"/>
  <c r="BD569" i="3"/>
  <c r="BG569" i="3" s="1"/>
  <c r="U269" i="2"/>
  <c r="BD270" i="3" s="1"/>
  <c r="BG270" i="3" s="1"/>
  <c r="BD565" i="3"/>
  <c r="BG565" i="3" s="1"/>
  <c r="U265" i="2"/>
  <c r="BD266" i="3" s="1"/>
  <c r="BG266" i="3" s="1"/>
  <c r="BD561" i="3"/>
  <c r="BG561" i="3" s="1"/>
  <c r="U261" i="2"/>
  <c r="BD262" i="3" s="1"/>
  <c r="BG262" i="3" s="1"/>
  <c r="BD557" i="3"/>
  <c r="BG557" i="3" s="1"/>
  <c r="U257" i="2"/>
  <c r="BD258" i="3" s="1"/>
  <c r="BG258" i="3" s="1"/>
  <c r="BD553" i="3"/>
  <c r="BG553" i="3" s="1"/>
  <c r="U253" i="2"/>
  <c r="BD254" i="3" s="1"/>
  <c r="BG254" i="3" s="1"/>
  <c r="BD549" i="3"/>
  <c r="BG549" i="3" s="1"/>
  <c r="U249" i="2"/>
  <c r="BD250" i="3" s="1"/>
  <c r="BG250" i="3" s="1"/>
  <c r="BD545" i="3"/>
  <c r="BG545" i="3" s="1"/>
  <c r="U245" i="2"/>
  <c r="BD246" i="3" s="1"/>
  <c r="BG246" i="3" s="1"/>
  <c r="BD541" i="3"/>
  <c r="BG541" i="3" s="1"/>
  <c r="U241" i="2"/>
  <c r="BD242" i="3" s="1"/>
  <c r="BG242" i="3" s="1"/>
  <c r="BD537" i="3"/>
  <c r="BG537" i="3" s="1"/>
  <c r="U237" i="2"/>
  <c r="BD238" i="3" s="1"/>
  <c r="BG238" i="3" s="1"/>
  <c r="BD533" i="3"/>
  <c r="BG533" i="3" s="1"/>
  <c r="U233" i="2"/>
  <c r="BD234" i="3" s="1"/>
  <c r="BG234" i="3" s="1"/>
  <c r="BD529" i="3"/>
  <c r="BG529" i="3" s="1"/>
  <c r="U229" i="2"/>
  <c r="BD230" i="3" s="1"/>
  <c r="BG230" i="3" s="1"/>
  <c r="BD525" i="3"/>
  <c r="BG525" i="3" s="1"/>
  <c r="U225" i="2"/>
  <c r="BD226" i="3" s="1"/>
  <c r="BG226" i="3" s="1"/>
  <c r="BD521" i="3"/>
  <c r="BG521" i="3" s="1"/>
  <c r="U221" i="2"/>
  <c r="BD222" i="3" s="1"/>
  <c r="BG222" i="3" s="1"/>
  <c r="BD517" i="3"/>
  <c r="BG517" i="3" s="1"/>
  <c r="U217" i="2"/>
  <c r="BD218" i="3" s="1"/>
  <c r="BG218" i="3" s="1"/>
  <c r="BD513" i="3"/>
  <c r="BG513" i="3" s="1"/>
  <c r="U213" i="2"/>
  <c r="BD509" i="3"/>
  <c r="BG509" i="3" s="1"/>
  <c r="U209" i="2"/>
  <c r="BD505" i="3"/>
  <c r="BG505" i="3" s="1"/>
  <c r="U205" i="2"/>
  <c r="BD206" i="3" s="1"/>
  <c r="BG206" i="3" s="1"/>
  <c r="BD501" i="3"/>
  <c r="BG501" i="3" s="1"/>
  <c r="U201" i="2"/>
  <c r="BD202" i="3" s="1"/>
  <c r="BG202" i="3" s="1"/>
  <c r="BD497" i="3"/>
  <c r="BG497" i="3" s="1"/>
  <c r="U197" i="2"/>
  <c r="BD198" i="3" s="1"/>
  <c r="BG198" i="3" s="1"/>
  <c r="BD493" i="3"/>
  <c r="BG493" i="3" s="1"/>
  <c r="U193" i="2"/>
  <c r="BD376" i="3" s="1"/>
  <c r="BG376" i="3" s="1"/>
  <c r="BD489" i="3"/>
  <c r="BG489" i="3" s="1"/>
  <c r="U189" i="2"/>
  <c r="BD485" i="3"/>
  <c r="BG485" i="3" s="1"/>
  <c r="U185" i="2"/>
  <c r="BD186" i="3" s="1"/>
  <c r="BG186" i="3" s="1"/>
  <c r="BD481" i="3"/>
  <c r="BG481" i="3" s="1"/>
  <c r="U181" i="2"/>
  <c r="BD182" i="3" s="1"/>
  <c r="BG182" i="3" s="1"/>
  <c r="BD477" i="3"/>
  <c r="BG477" i="3" s="1"/>
  <c r="U177" i="2"/>
  <c r="BD178" i="3" s="1"/>
  <c r="BG178" i="3" s="1"/>
  <c r="BD473" i="3"/>
  <c r="BG473" i="3" s="1"/>
  <c r="U173" i="2"/>
  <c r="BD174" i="3" s="1"/>
  <c r="BG174" i="3" s="1"/>
  <c r="BD469" i="3"/>
  <c r="BG469" i="3" s="1"/>
  <c r="U169" i="2"/>
  <c r="BD170" i="3" s="1"/>
  <c r="BG170" i="3" s="1"/>
  <c r="BD465" i="3"/>
  <c r="BG465" i="3" s="1"/>
  <c r="U165" i="2"/>
  <c r="BD166" i="3" s="1"/>
  <c r="BG166" i="3" s="1"/>
  <c r="BD461" i="3"/>
  <c r="BG461" i="3" s="1"/>
  <c r="U161" i="2"/>
  <c r="BD162" i="3" s="1"/>
  <c r="BG162" i="3" s="1"/>
  <c r="BD457" i="3"/>
  <c r="BG457" i="3" s="1"/>
  <c r="U157" i="2"/>
  <c r="BD158" i="3" s="1"/>
  <c r="BG158" i="3" s="1"/>
  <c r="BD453" i="3"/>
  <c r="BG453" i="3" s="1"/>
  <c r="U153" i="2"/>
  <c r="BD154" i="3" s="1"/>
  <c r="BG154" i="3" s="1"/>
  <c r="BD449" i="3"/>
  <c r="BG449" i="3" s="1"/>
  <c r="U149" i="2"/>
  <c r="BD150" i="3" s="1"/>
  <c r="BG150" i="3" s="1"/>
  <c r="BD445" i="3"/>
  <c r="BG445" i="3" s="1"/>
  <c r="U145" i="2"/>
  <c r="BD146" i="3" s="1"/>
  <c r="BG146" i="3" s="1"/>
  <c r="BD441" i="3"/>
  <c r="BG441" i="3" s="1"/>
  <c r="U141" i="2"/>
  <c r="BD142" i="3" s="1"/>
  <c r="BG142" i="3" s="1"/>
  <c r="BD437" i="3"/>
  <c r="BG437" i="3" s="1"/>
  <c r="U137" i="2"/>
  <c r="BD433" i="3"/>
  <c r="BG433" i="3" s="1"/>
  <c r="U133" i="2"/>
  <c r="BD134" i="3" s="1"/>
  <c r="BG134" i="3" s="1"/>
  <c r="BD429" i="3"/>
  <c r="BG429" i="3" s="1"/>
  <c r="U129" i="2"/>
  <c r="BD130" i="3" s="1"/>
  <c r="BG130" i="3" s="1"/>
  <c r="BD425" i="3"/>
  <c r="BG425" i="3" s="1"/>
  <c r="U125" i="2"/>
  <c r="BD126" i="3" s="1"/>
  <c r="BG126" i="3" s="1"/>
  <c r="BD421" i="3"/>
  <c r="BG421" i="3" s="1"/>
  <c r="U117" i="2"/>
  <c r="BD118" i="3" s="1"/>
  <c r="BG118" i="3" s="1"/>
  <c r="BD413" i="3"/>
  <c r="BG413" i="3" s="1"/>
  <c r="U109" i="2"/>
  <c r="BD110" i="3" s="1"/>
  <c r="BG110" i="3" s="1"/>
  <c r="BD405" i="3"/>
  <c r="BG405" i="3" s="1"/>
  <c r="U101" i="2"/>
  <c r="BD102" i="3" s="1"/>
  <c r="BG102" i="3" s="1"/>
  <c r="BD397" i="3"/>
  <c r="BG397" i="3" s="1"/>
  <c r="U93" i="2"/>
  <c r="BD94" i="3" s="1"/>
  <c r="BG94" i="3" s="1"/>
  <c r="BD389" i="3"/>
  <c r="BG389" i="3" s="1"/>
  <c r="U85" i="2"/>
  <c r="BD86" i="3" s="1"/>
  <c r="BG86" i="3" s="1"/>
  <c r="BD381" i="3"/>
  <c r="BG381" i="3" s="1"/>
  <c r="U77" i="2"/>
  <c r="U69" i="2"/>
  <c r="BD70" i="3" s="1"/>
  <c r="BG70" i="3" s="1"/>
  <c r="U61" i="2"/>
  <c r="BD62" i="3" s="1"/>
  <c r="BG62" i="3" s="1"/>
  <c r="U53" i="2"/>
  <c r="BD54" i="3" s="1"/>
  <c r="BG54" i="3" s="1"/>
  <c r="U45" i="2"/>
  <c r="BD46" i="3" s="1"/>
  <c r="BG46" i="3" s="1"/>
  <c r="U37" i="2"/>
  <c r="BD38" i="3" s="1"/>
  <c r="BG38" i="3" s="1"/>
  <c r="U29" i="2"/>
  <c r="BD30" i="3" s="1"/>
  <c r="BG30" i="3" s="1"/>
  <c r="U25" i="2"/>
  <c r="BD26" i="3" s="1"/>
  <c r="BG26" i="3" s="1"/>
  <c r="U13" i="2"/>
  <c r="BD14" i="3" s="1"/>
  <c r="BG14" i="3" s="1"/>
  <c r="U334" i="2"/>
  <c r="U326" i="2"/>
  <c r="BD622" i="3"/>
  <c r="BG622" i="3" s="1"/>
  <c r="U318" i="2"/>
  <c r="U310" i="2"/>
  <c r="BD311" i="3" s="1"/>
  <c r="BG311" i="3" s="1"/>
  <c r="BD606" i="3"/>
  <c r="BG606" i="3" s="1"/>
  <c r="U302" i="2"/>
  <c r="U294" i="2"/>
  <c r="BD295" i="3" s="1"/>
  <c r="BG295" i="3" s="1"/>
  <c r="BD590" i="3"/>
  <c r="BG590" i="3" s="1"/>
  <c r="U286" i="2"/>
  <c r="U278" i="2"/>
  <c r="BD279" i="3" s="1"/>
  <c r="BG279" i="3" s="1"/>
  <c r="BD574" i="3"/>
  <c r="BG574" i="3" s="1"/>
  <c r="U270" i="2"/>
  <c r="U262" i="2"/>
  <c r="BD558" i="3"/>
  <c r="BG558" i="3" s="1"/>
  <c r="U254" i="2"/>
  <c r="U246" i="2"/>
  <c r="BD247" i="3" s="1"/>
  <c r="BG247" i="3" s="1"/>
  <c r="BD542" i="3"/>
  <c r="BG542" i="3" s="1"/>
  <c r="U238" i="2"/>
  <c r="U230" i="2"/>
  <c r="BD231" i="3" s="1"/>
  <c r="BG231" i="3" s="1"/>
  <c r="BD526" i="3"/>
  <c r="BG526" i="3" s="1"/>
  <c r="U222" i="2"/>
  <c r="U214" i="2"/>
  <c r="BD215" i="3" s="1"/>
  <c r="BG215" i="3" s="1"/>
  <c r="BD510" i="3"/>
  <c r="BG510" i="3" s="1"/>
  <c r="U206" i="2"/>
  <c r="U198" i="2"/>
  <c r="BD494" i="3"/>
  <c r="BG494" i="3" s="1"/>
  <c r="U190" i="2"/>
  <c r="U182" i="2"/>
  <c r="BD478" i="3"/>
  <c r="BG478" i="3" s="1"/>
  <c r="U174" i="2"/>
  <c r="U166" i="2"/>
  <c r="BD167" i="3" s="1"/>
  <c r="BG167" i="3" s="1"/>
  <c r="BD462" i="3"/>
  <c r="BG462" i="3" s="1"/>
  <c r="U158" i="2"/>
  <c r="U150" i="2"/>
  <c r="BD151" i="3" s="1"/>
  <c r="BG151" i="3" s="1"/>
  <c r="BD446" i="3"/>
  <c r="BG446" i="3" s="1"/>
  <c r="U142" i="2"/>
  <c r="U134" i="2"/>
  <c r="BD135" i="3" s="1"/>
  <c r="BG135" i="3" s="1"/>
  <c r="BD430" i="3"/>
  <c r="BG430" i="3" s="1"/>
  <c r="U126" i="2"/>
  <c r="U118" i="2"/>
  <c r="BD414" i="3"/>
  <c r="BG414" i="3" s="1"/>
  <c r="U110" i="2"/>
  <c r="U102" i="2"/>
  <c r="BD103" i="3" s="1"/>
  <c r="BG103" i="3" s="1"/>
  <c r="BD398" i="3"/>
  <c r="BG398" i="3" s="1"/>
  <c r="U94" i="2"/>
  <c r="U86" i="2"/>
  <c r="BD87" i="3" s="1"/>
  <c r="BG87" i="3" s="1"/>
  <c r="BD382" i="3"/>
  <c r="BG382" i="3" s="1"/>
  <c r="U78" i="2"/>
  <c r="BD79" i="3" s="1"/>
  <c r="BG79" i="3" s="1"/>
  <c r="U70" i="2"/>
  <c r="BD71" i="3" s="1"/>
  <c r="BG71" i="3" s="1"/>
  <c r="U62" i="2"/>
  <c r="BD63" i="3" s="1"/>
  <c r="BG63" i="3" s="1"/>
  <c r="U54" i="2"/>
  <c r="U46" i="2"/>
  <c r="BD47" i="3" s="1"/>
  <c r="BG47" i="3" s="1"/>
  <c r="U38" i="2"/>
  <c r="BD39" i="3" s="1"/>
  <c r="BG39" i="3" s="1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79" i="3"/>
  <c r="BG579" i="3" s="1"/>
  <c r="BD563" i="3"/>
  <c r="BG563" i="3" s="1"/>
  <c r="BD515" i="3"/>
  <c r="BG515" i="3" s="1"/>
  <c r="BD499" i="3"/>
  <c r="BG499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331" i="3" s="1"/>
  <c r="BG331" i="3" s="1"/>
  <c r="U322" i="2"/>
  <c r="BD618" i="3"/>
  <c r="BG618" i="3" s="1"/>
  <c r="U314" i="2"/>
  <c r="BD315" i="3" s="1"/>
  <c r="BG315" i="3" s="1"/>
  <c r="U306" i="2"/>
  <c r="BD307" i="3" s="1"/>
  <c r="BG307" i="3" s="1"/>
  <c r="BD602" i="3"/>
  <c r="BG602" i="3" s="1"/>
  <c r="U298" i="2"/>
  <c r="BD299" i="3" s="1"/>
  <c r="BG299" i="3" s="1"/>
  <c r="U290" i="2"/>
  <c r="BD291" i="3" s="1"/>
  <c r="BG291" i="3" s="1"/>
  <c r="BD586" i="3"/>
  <c r="BG586" i="3" s="1"/>
  <c r="U282" i="2"/>
  <c r="BD283" i="3" s="1"/>
  <c r="BG283" i="3" s="1"/>
  <c r="U274" i="2"/>
  <c r="BD275" i="3" s="1"/>
  <c r="BG275" i="3" s="1"/>
  <c r="BD570" i="3"/>
  <c r="BG570" i="3" s="1"/>
  <c r="U266" i="2"/>
  <c r="BD267" i="3" s="1"/>
  <c r="BG267" i="3" s="1"/>
  <c r="U258" i="2"/>
  <c r="BD554" i="3"/>
  <c r="BG554" i="3" s="1"/>
  <c r="U250" i="2"/>
  <c r="BD251" i="3" s="1"/>
  <c r="BG251" i="3" s="1"/>
  <c r="U242" i="2"/>
  <c r="BD243" i="3" s="1"/>
  <c r="BG243" i="3" s="1"/>
  <c r="BD538" i="3"/>
  <c r="BG538" i="3" s="1"/>
  <c r="U234" i="2"/>
  <c r="BD235" i="3" s="1"/>
  <c r="BG235" i="3" s="1"/>
  <c r="U226" i="2"/>
  <c r="BD227" i="3" s="1"/>
  <c r="BG227" i="3" s="1"/>
  <c r="BD522" i="3"/>
  <c r="BG522" i="3" s="1"/>
  <c r="U218" i="2"/>
  <c r="BD219" i="3" s="1"/>
  <c r="BG219" i="3" s="1"/>
  <c r="U210" i="2"/>
  <c r="BD211" i="3" s="1"/>
  <c r="BG211" i="3" s="1"/>
  <c r="BD506" i="3"/>
  <c r="BG506" i="3" s="1"/>
  <c r="U202" i="2"/>
  <c r="BD203" i="3" s="1"/>
  <c r="BG203" i="3" s="1"/>
  <c r="U194" i="2"/>
  <c r="BD377" i="3" s="1"/>
  <c r="BG377" i="3" s="1"/>
  <c r="BD490" i="3"/>
  <c r="BG490" i="3" s="1"/>
  <c r="U186" i="2"/>
  <c r="BD369" i="3" s="1"/>
  <c r="BG369" i="3" s="1"/>
  <c r="U178" i="2"/>
  <c r="BD179" i="3" s="1"/>
  <c r="BG179" i="3" s="1"/>
  <c r="BD474" i="3"/>
  <c r="BG474" i="3" s="1"/>
  <c r="U170" i="2"/>
  <c r="BD171" i="3" s="1"/>
  <c r="BG171" i="3" s="1"/>
  <c r="U162" i="2"/>
  <c r="BD163" i="3" s="1"/>
  <c r="BG163" i="3" s="1"/>
  <c r="BD458" i="3"/>
  <c r="BG458" i="3" s="1"/>
  <c r="U154" i="2"/>
  <c r="BD155" i="3" s="1"/>
  <c r="BG155" i="3" s="1"/>
  <c r="U146" i="2"/>
  <c r="BD147" i="3" s="1"/>
  <c r="BG147" i="3" s="1"/>
  <c r="BD442" i="3"/>
  <c r="BG442" i="3" s="1"/>
  <c r="U138" i="2"/>
  <c r="BD139" i="3" s="1"/>
  <c r="BG139" i="3" s="1"/>
  <c r="U130" i="2"/>
  <c r="BD131" i="3" s="1"/>
  <c r="BG131" i="3" s="1"/>
  <c r="BD426" i="3"/>
  <c r="BG426" i="3" s="1"/>
  <c r="U122" i="2"/>
  <c r="BD123" i="3" s="1"/>
  <c r="BG123" i="3" s="1"/>
  <c r="U114" i="2"/>
  <c r="BD115" i="3" s="1"/>
  <c r="BG115" i="3" s="1"/>
  <c r="BD410" i="3"/>
  <c r="BG410" i="3" s="1"/>
  <c r="U106" i="2"/>
  <c r="BD107" i="3" s="1"/>
  <c r="BG107" i="3" s="1"/>
  <c r="U98" i="2"/>
  <c r="BD99" i="3" s="1"/>
  <c r="BG99" i="3" s="1"/>
  <c r="BD394" i="3"/>
  <c r="BG394" i="3" s="1"/>
  <c r="U90" i="2"/>
  <c r="BD91" i="3" s="1"/>
  <c r="BG91" i="3" s="1"/>
  <c r="U82" i="2"/>
  <c r="BD83" i="3" s="1"/>
  <c r="BG83" i="3" s="1"/>
  <c r="U74" i="2"/>
  <c r="BD75" i="3" s="1"/>
  <c r="BG75" i="3" s="1"/>
  <c r="U66" i="2"/>
  <c r="BD67" i="3" s="1"/>
  <c r="BG67" i="3" s="1"/>
  <c r="U58" i="2"/>
  <c r="U50" i="2"/>
  <c r="BD51" i="3" s="1"/>
  <c r="BG51" i="3" s="1"/>
  <c r="U42" i="2"/>
  <c r="BD43" i="3" s="1"/>
  <c r="BG43" i="3" s="1"/>
  <c r="U34" i="2"/>
  <c r="BD35" i="3" s="1"/>
  <c r="BG35" i="3" s="1"/>
  <c r="U30" i="2"/>
  <c r="BD31" i="3" s="1"/>
  <c r="BG31" i="3" s="1"/>
  <c r="U26" i="2"/>
  <c r="BD27" i="3" s="1"/>
  <c r="BG27" i="3" s="1"/>
  <c r="U864" i="2"/>
  <c r="BD1160" i="3"/>
  <c r="BG1160" i="3" s="1"/>
  <c r="U860" i="2"/>
  <c r="BD1156" i="3" s="1"/>
  <c r="BG1156" i="3" s="1"/>
  <c r="U856" i="2"/>
  <c r="BD1152" i="3"/>
  <c r="BG1152" i="3" s="1"/>
  <c r="U852" i="2"/>
  <c r="BD1148" i="3" s="1"/>
  <c r="BG1148" i="3" s="1"/>
  <c r="U848" i="2"/>
  <c r="BD1144" i="3"/>
  <c r="BG1144" i="3" s="1"/>
  <c r="U844" i="2"/>
  <c r="BD1140" i="3" s="1"/>
  <c r="BG1140" i="3" s="1"/>
  <c r="U840" i="2"/>
  <c r="BD1136" i="3"/>
  <c r="BG1136" i="3" s="1"/>
  <c r="U836" i="2"/>
  <c r="BD1132" i="3" s="1"/>
  <c r="BG1132" i="3" s="1"/>
  <c r="U832" i="2"/>
  <c r="BD1128" i="3"/>
  <c r="BG1128" i="3" s="1"/>
  <c r="U828" i="2"/>
  <c r="BD1124" i="3" s="1"/>
  <c r="BG1124" i="3" s="1"/>
  <c r="U824" i="2"/>
  <c r="BD1120" i="3"/>
  <c r="BG1120" i="3" s="1"/>
  <c r="U820" i="2"/>
  <c r="BD1116" i="3" s="1"/>
  <c r="BG1116" i="3" s="1"/>
  <c r="U816" i="2"/>
  <c r="BD1112" i="3"/>
  <c r="BG1112" i="3" s="1"/>
  <c r="U812" i="2"/>
  <c r="BD1108" i="3" s="1"/>
  <c r="BG1108" i="3" s="1"/>
  <c r="U808" i="2"/>
  <c r="BD1104" i="3"/>
  <c r="BG1104" i="3" s="1"/>
  <c r="U804" i="2"/>
  <c r="BD1100" i="3" s="1"/>
  <c r="BG1100" i="3" s="1"/>
  <c r="U800" i="2"/>
  <c r="BD1096" i="3"/>
  <c r="BG1096" i="3" s="1"/>
  <c r="U796" i="2"/>
  <c r="BD1092" i="3" s="1"/>
  <c r="BG1092" i="3" s="1"/>
  <c r="U792" i="2"/>
  <c r="BD1088" i="3"/>
  <c r="BG1088" i="3" s="1"/>
  <c r="U788" i="2"/>
  <c r="BD1084" i="3" s="1"/>
  <c r="BG1084" i="3" s="1"/>
  <c r="U784" i="2"/>
  <c r="BD1080" i="3"/>
  <c r="BG1080" i="3" s="1"/>
  <c r="U780" i="2"/>
  <c r="BD1076" i="3" s="1"/>
  <c r="BG1076" i="3" s="1"/>
  <c r="U776" i="2"/>
  <c r="BD1072" i="3"/>
  <c r="BG1072" i="3" s="1"/>
  <c r="U772" i="2"/>
  <c r="BD1068" i="3" s="1"/>
  <c r="BG1068" i="3" s="1"/>
  <c r="U768" i="2"/>
  <c r="BD1064" i="3"/>
  <c r="BG1064" i="3" s="1"/>
  <c r="U764" i="2"/>
  <c r="BD1060" i="3" s="1"/>
  <c r="BG1060" i="3" s="1"/>
  <c r="U760" i="2"/>
  <c r="BD1056" i="3"/>
  <c r="BG1056" i="3" s="1"/>
  <c r="U756" i="2"/>
  <c r="BD1052" i="3" s="1"/>
  <c r="BG1052" i="3" s="1"/>
  <c r="U752" i="2"/>
  <c r="BD1048" i="3"/>
  <c r="BG1048" i="3" s="1"/>
  <c r="U748" i="2"/>
  <c r="BD1044" i="3" s="1"/>
  <c r="BG1044" i="3" s="1"/>
  <c r="U744" i="2"/>
  <c r="BD1040" i="3"/>
  <c r="BG1040" i="3" s="1"/>
  <c r="U740" i="2"/>
  <c r="BD1036" i="3" s="1"/>
  <c r="BG1036" i="3" s="1"/>
  <c r="U736" i="2"/>
  <c r="BD1032" i="3"/>
  <c r="BG1032" i="3" s="1"/>
  <c r="U732" i="2"/>
  <c r="BD1028" i="3" s="1"/>
  <c r="BG1028" i="3" s="1"/>
  <c r="U728" i="2"/>
  <c r="BD1024" i="3"/>
  <c r="BG1024" i="3" s="1"/>
  <c r="U724" i="2"/>
  <c r="BD1020" i="3" s="1"/>
  <c r="BG1020" i="3" s="1"/>
  <c r="U720" i="2"/>
  <c r="BD1016" i="3"/>
  <c r="BG1016" i="3" s="1"/>
  <c r="U716" i="2"/>
  <c r="BD1012" i="3" s="1"/>
  <c r="BG1012" i="3" s="1"/>
  <c r="U712" i="2"/>
  <c r="BD1008" i="3"/>
  <c r="BG1008" i="3" s="1"/>
  <c r="U708" i="2"/>
  <c r="BD1004" i="3" s="1"/>
  <c r="BG1004" i="3" s="1"/>
  <c r="U704" i="2"/>
  <c r="BD1000" i="3"/>
  <c r="BG1000" i="3" s="1"/>
  <c r="U700" i="2"/>
  <c r="BD996" i="3" s="1"/>
  <c r="BG996" i="3" s="1"/>
  <c r="U696" i="2"/>
  <c r="BD992" i="3"/>
  <c r="BG992" i="3" s="1"/>
  <c r="U692" i="2"/>
  <c r="BD988" i="3" s="1"/>
  <c r="BG988" i="3" s="1"/>
  <c r="U688" i="2"/>
  <c r="BD984" i="3"/>
  <c r="BG984" i="3" s="1"/>
  <c r="U684" i="2"/>
  <c r="BD980" i="3" s="1"/>
  <c r="BG980" i="3" s="1"/>
  <c r="U680" i="2"/>
  <c r="BD976" i="3" s="1"/>
  <c r="BG976" i="3" s="1"/>
  <c r="U676" i="2"/>
  <c r="BD972" i="3" s="1"/>
  <c r="BG972" i="3" s="1"/>
  <c r="U672" i="2"/>
  <c r="BD968" i="3"/>
  <c r="BG968" i="3" s="1"/>
  <c r="U668" i="2"/>
  <c r="BD964" i="3" s="1"/>
  <c r="BG964" i="3" s="1"/>
  <c r="U664" i="2"/>
  <c r="BD960" i="3"/>
  <c r="BG960" i="3" s="1"/>
  <c r="U660" i="2"/>
  <c r="BD956" i="3" s="1"/>
  <c r="BG956" i="3" s="1"/>
  <c r="U656" i="2"/>
  <c r="BD952" i="3"/>
  <c r="BG952" i="3" s="1"/>
  <c r="U652" i="2"/>
  <c r="BD948" i="3" s="1"/>
  <c r="BG948" i="3" s="1"/>
  <c r="U648" i="2"/>
  <c r="BD944" i="3" s="1"/>
  <c r="BG944" i="3" s="1"/>
  <c r="U644" i="2"/>
  <c r="BD940" i="3" s="1"/>
  <c r="BG940" i="3" s="1"/>
  <c r="U640" i="2"/>
  <c r="BD936" i="3"/>
  <c r="BG936" i="3" s="1"/>
  <c r="U636" i="2"/>
  <c r="BD932" i="3" s="1"/>
  <c r="BG932" i="3" s="1"/>
  <c r="U632" i="2"/>
  <c r="BD928" i="3"/>
  <c r="BG928" i="3" s="1"/>
  <c r="U628" i="2"/>
  <c r="BD924" i="3" s="1"/>
  <c r="BG924" i="3" s="1"/>
  <c r="U624" i="2"/>
  <c r="BD920" i="3"/>
  <c r="BG920" i="3" s="1"/>
  <c r="U620" i="2"/>
  <c r="BD916" i="3" s="1"/>
  <c r="BG916" i="3" s="1"/>
  <c r="U616" i="2"/>
  <c r="BD912" i="3" s="1"/>
  <c r="BG912" i="3" s="1"/>
  <c r="U612" i="2"/>
  <c r="BD908" i="3" s="1"/>
  <c r="BG908" i="3" s="1"/>
  <c r="U608" i="2"/>
  <c r="BD904" i="3"/>
  <c r="BG904" i="3" s="1"/>
  <c r="U604" i="2"/>
  <c r="BD900" i="3" s="1"/>
  <c r="BG900" i="3" s="1"/>
  <c r="U600" i="2"/>
  <c r="BD896" i="3"/>
  <c r="BG896" i="3" s="1"/>
  <c r="U596" i="2"/>
  <c r="BD892" i="3" s="1"/>
  <c r="BG892" i="3" s="1"/>
  <c r="U592" i="2"/>
  <c r="BD888" i="3"/>
  <c r="BG888" i="3" s="1"/>
  <c r="U588" i="2"/>
  <c r="BD884" i="3" s="1"/>
  <c r="BG884" i="3" s="1"/>
  <c r="U584" i="2"/>
  <c r="BD880" i="3" s="1"/>
  <c r="BG880" i="3" s="1"/>
  <c r="U580" i="2"/>
  <c r="BD876" i="3" s="1"/>
  <c r="BG876" i="3" s="1"/>
  <c r="U576" i="2"/>
  <c r="BD872" i="3"/>
  <c r="BG872" i="3" s="1"/>
  <c r="U572" i="2"/>
  <c r="BD868" i="3" s="1"/>
  <c r="BG868" i="3" s="1"/>
  <c r="U568" i="2"/>
  <c r="BD864" i="3"/>
  <c r="BG864" i="3" s="1"/>
  <c r="U564" i="2"/>
  <c r="BD860" i="3" s="1"/>
  <c r="BG860" i="3" s="1"/>
  <c r="U560" i="2"/>
  <c r="BD856" i="3"/>
  <c r="BG856" i="3" s="1"/>
  <c r="U556" i="2"/>
  <c r="BD852" i="3" s="1"/>
  <c r="BG852" i="3" s="1"/>
  <c r="U552" i="2"/>
  <c r="BD848" i="3" s="1"/>
  <c r="BG848" i="3" s="1"/>
  <c r="U548" i="2"/>
  <c r="BD844" i="3" s="1"/>
  <c r="BG844" i="3" s="1"/>
  <c r="U544" i="2"/>
  <c r="BD840" i="3"/>
  <c r="BG840" i="3" s="1"/>
  <c r="U540" i="2"/>
  <c r="BD836" i="3" s="1"/>
  <c r="BG836" i="3" s="1"/>
  <c r="U536" i="2"/>
  <c r="BD832" i="3"/>
  <c r="BG832" i="3" s="1"/>
  <c r="U532" i="2"/>
  <c r="BD828" i="3" s="1"/>
  <c r="BG828" i="3" s="1"/>
  <c r="U528" i="2"/>
  <c r="BD824" i="3"/>
  <c r="BG824" i="3" s="1"/>
  <c r="U524" i="2"/>
  <c r="BD820" i="3" s="1"/>
  <c r="BG820" i="3" s="1"/>
  <c r="U520" i="2"/>
  <c r="BD816" i="3" s="1"/>
  <c r="BG816" i="3" s="1"/>
  <c r="U516" i="2"/>
  <c r="BD812" i="3" s="1"/>
  <c r="BG812" i="3" s="1"/>
  <c r="U512" i="2"/>
  <c r="BD808" i="3"/>
  <c r="BG808" i="3" s="1"/>
  <c r="U508" i="2"/>
  <c r="BD804" i="3" s="1"/>
  <c r="BG804" i="3" s="1"/>
  <c r="U504" i="2"/>
  <c r="BD800" i="3"/>
  <c r="BG800" i="3" s="1"/>
  <c r="U500" i="2"/>
  <c r="BD796" i="3" s="1"/>
  <c r="BG796" i="3" s="1"/>
  <c r="U496" i="2"/>
  <c r="BD792" i="3"/>
  <c r="BG792" i="3" s="1"/>
  <c r="U492" i="2"/>
  <c r="BD788" i="3" s="1"/>
  <c r="BG788" i="3" s="1"/>
  <c r="U488" i="2"/>
  <c r="BD784" i="3" s="1"/>
  <c r="BG784" i="3" s="1"/>
  <c r="U484" i="2"/>
  <c r="BD780" i="3" s="1"/>
  <c r="BG780" i="3" s="1"/>
  <c r="U480" i="2"/>
  <c r="BD776" i="3"/>
  <c r="BG776" i="3" s="1"/>
  <c r="U476" i="2"/>
  <c r="BD772" i="3" s="1"/>
  <c r="BG772" i="3" s="1"/>
  <c r="U472" i="2"/>
  <c r="BD768" i="3"/>
  <c r="BG768" i="3" s="1"/>
  <c r="U468" i="2"/>
  <c r="BD764" i="3" s="1"/>
  <c r="BG764" i="3" s="1"/>
  <c r="U464" i="2"/>
  <c r="BD760" i="3"/>
  <c r="BG760" i="3" s="1"/>
  <c r="U460" i="2"/>
  <c r="BD756" i="3" s="1"/>
  <c r="BG756" i="3" s="1"/>
  <c r="U456" i="2"/>
  <c r="BD752" i="3" s="1"/>
  <c r="BG752" i="3" s="1"/>
  <c r="U452" i="2"/>
  <c r="BD748" i="3" s="1"/>
  <c r="BG748" i="3" s="1"/>
  <c r="U448" i="2"/>
  <c r="BD744" i="3"/>
  <c r="BG744" i="3" s="1"/>
  <c r="U444" i="2"/>
  <c r="BD740" i="3" s="1"/>
  <c r="BG740" i="3" s="1"/>
  <c r="U440" i="2"/>
  <c r="BD736" i="3"/>
  <c r="BG736" i="3" s="1"/>
  <c r="U436" i="2"/>
  <c r="BD732" i="3" s="1"/>
  <c r="BG732" i="3" s="1"/>
  <c r="U432" i="2"/>
  <c r="BD728" i="3"/>
  <c r="BG728" i="3" s="1"/>
  <c r="U428" i="2"/>
  <c r="BD724" i="3" s="1"/>
  <c r="BG724" i="3" s="1"/>
  <c r="U424" i="2"/>
  <c r="BD720" i="3" s="1"/>
  <c r="BG720" i="3" s="1"/>
  <c r="U420" i="2"/>
  <c r="BD716" i="3" s="1"/>
  <c r="BG716" i="3" s="1"/>
  <c r="U416" i="2"/>
  <c r="BD712" i="3"/>
  <c r="BG712" i="3" s="1"/>
  <c r="U412" i="2"/>
  <c r="BD708" i="3" s="1"/>
  <c r="BG708" i="3" s="1"/>
  <c r="U408" i="2"/>
  <c r="BD704" i="3"/>
  <c r="BG704" i="3" s="1"/>
  <c r="U404" i="2"/>
  <c r="BD700" i="3" s="1"/>
  <c r="BG700" i="3" s="1"/>
  <c r="U400" i="2"/>
  <c r="BD696" i="3"/>
  <c r="BG696" i="3" s="1"/>
  <c r="U396" i="2"/>
  <c r="BD692" i="3" s="1"/>
  <c r="BG692" i="3" s="1"/>
  <c r="U392" i="2"/>
  <c r="BD688" i="3" s="1"/>
  <c r="BG688" i="3" s="1"/>
  <c r="U388" i="2"/>
  <c r="BD684" i="3" s="1"/>
  <c r="BG684" i="3" s="1"/>
  <c r="U384" i="2"/>
  <c r="BD680" i="3"/>
  <c r="BG680" i="3" s="1"/>
  <c r="U380" i="2"/>
  <c r="BD676" i="3" s="1"/>
  <c r="BG676" i="3" s="1"/>
  <c r="U376" i="2"/>
  <c r="BD672" i="3"/>
  <c r="BG672" i="3" s="1"/>
  <c r="U372" i="2"/>
  <c r="BD668" i="3" s="1"/>
  <c r="BG668" i="3" s="1"/>
  <c r="U368" i="2"/>
  <c r="BD664" i="3"/>
  <c r="BG664" i="3" s="1"/>
  <c r="U364" i="2"/>
  <c r="U360" i="2"/>
  <c r="BD361" i="3" s="1"/>
  <c r="BG361" i="3" s="1"/>
  <c r="U356" i="2"/>
  <c r="U352" i="2"/>
  <c r="BD353" i="3" s="1"/>
  <c r="BG353" i="3" s="1"/>
  <c r="BD648" i="3"/>
  <c r="BG648" i="3" s="1"/>
  <c r="U348" i="2"/>
  <c r="U344" i="2"/>
  <c r="BD345" i="3" s="1"/>
  <c r="BG345" i="3" s="1"/>
  <c r="BD640" i="3"/>
  <c r="BG640" i="3" s="1"/>
  <c r="U340" i="2"/>
  <c r="U336" i="2"/>
  <c r="BD337" i="3" s="1"/>
  <c r="BG337" i="3" s="1"/>
  <c r="BD632" i="3"/>
  <c r="BG632" i="3" s="1"/>
  <c r="U332" i="2"/>
  <c r="BD628" i="3" s="1"/>
  <c r="BG628" i="3" s="1"/>
  <c r="U328" i="2"/>
  <c r="BD329" i="3" s="1"/>
  <c r="BG329" i="3" s="1"/>
  <c r="U324" i="2"/>
  <c r="U320" i="2"/>
  <c r="BD321" i="3" s="1"/>
  <c r="BG321" i="3" s="1"/>
  <c r="BD616" i="3"/>
  <c r="BG616" i="3" s="1"/>
  <c r="U316" i="2"/>
  <c r="U312" i="2"/>
  <c r="BD313" i="3" s="1"/>
  <c r="BG313" i="3" s="1"/>
  <c r="BD608" i="3"/>
  <c r="BG608" i="3" s="1"/>
  <c r="U308" i="2"/>
  <c r="U304" i="2"/>
  <c r="BD305" i="3" s="1"/>
  <c r="BG305" i="3" s="1"/>
  <c r="BD600" i="3"/>
  <c r="BG600" i="3" s="1"/>
  <c r="U300" i="2"/>
  <c r="U296" i="2"/>
  <c r="BD297" i="3" s="1"/>
  <c r="BG297" i="3" s="1"/>
  <c r="U292" i="2"/>
  <c r="U288" i="2"/>
  <c r="BD289" i="3" s="1"/>
  <c r="BG289" i="3" s="1"/>
  <c r="BD584" i="3"/>
  <c r="BG584" i="3" s="1"/>
  <c r="U284" i="2"/>
  <c r="U280" i="2"/>
  <c r="BD281" i="3" s="1"/>
  <c r="BG281" i="3" s="1"/>
  <c r="BD576" i="3"/>
  <c r="BG576" i="3" s="1"/>
  <c r="U276" i="2"/>
  <c r="U272" i="2"/>
  <c r="BD273" i="3" s="1"/>
  <c r="BG273" i="3" s="1"/>
  <c r="BD568" i="3"/>
  <c r="BG568" i="3" s="1"/>
  <c r="U268" i="2"/>
  <c r="BD564" i="3" s="1"/>
  <c r="BG564" i="3" s="1"/>
  <c r="U264" i="2"/>
  <c r="BD560" i="3" s="1"/>
  <c r="BG560" i="3" s="1"/>
  <c r="U260" i="2"/>
  <c r="U256" i="2"/>
  <c r="BD257" i="3" s="1"/>
  <c r="BG257" i="3" s="1"/>
  <c r="BD552" i="3"/>
  <c r="BG552" i="3" s="1"/>
  <c r="U252" i="2"/>
  <c r="U248" i="2"/>
  <c r="BD249" i="3" s="1"/>
  <c r="BG249" i="3" s="1"/>
  <c r="BD544" i="3"/>
  <c r="BG544" i="3" s="1"/>
  <c r="U244" i="2"/>
  <c r="U240" i="2"/>
  <c r="BD241" i="3" s="1"/>
  <c r="BG241" i="3" s="1"/>
  <c r="BD536" i="3"/>
  <c r="BG536" i="3" s="1"/>
  <c r="U236" i="2"/>
  <c r="U232" i="2"/>
  <c r="BD233" i="3" s="1"/>
  <c r="BG233" i="3" s="1"/>
  <c r="U228" i="2"/>
  <c r="U224" i="2"/>
  <c r="BD225" i="3" s="1"/>
  <c r="BG225" i="3" s="1"/>
  <c r="BD520" i="3"/>
  <c r="BG520" i="3" s="1"/>
  <c r="U220" i="2"/>
  <c r="U216" i="2"/>
  <c r="BD217" i="3" s="1"/>
  <c r="BG217" i="3" s="1"/>
  <c r="BD512" i="3"/>
  <c r="BG512" i="3" s="1"/>
  <c r="U212" i="2"/>
  <c r="U208" i="2"/>
  <c r="BD209" i="3" s="1"/>
  <c r="BG209" i="3" s="1"/>
  <c r="BD504" i="3"/>
  <c r="BG504" i="3" s="1"/>
  <c r="U204" i="2"/>
  <c r="BD500" i="3" s="1"/>
  <c r="BG500" i="3" s="1"/>
  <c r="U200" i="2"/>
  <c r="BD201" i="3" s="1"/>
  <c r="BG201" i="3" s="1"/>
  <c r="U196" i="2"/>
  <c r="U192" i="2"/>
  <c r="BD193" i="3" s="1"/>
  <c r="BG193" i="3" s="1"/>
  <c r="BD488" i="3"/>
  <c r="BG488" i="3" s="1"/>
  <c r="U188" i="2"/>
  <c r="U184" i="2"/>
  <c r="BD185" i="3" s="1"/>
  <c r="BG185" i="3" s="1"/>
  <c r="BD480" i="3"/>
  <c r="BG480" i="3" s="1"/>
  <c r="U180" i="2"/>
  <c r="U176" i="2"/>
  <c r="BD177" i="3" s="1"/>
  <c r="BG177" i="3" s="1"/>
  <c r="BD472" i="3"/>
  <c r="BG472" i="3" s="1"/>
  <c r="U172" i="2"/>
  <c r="U168" i="2"/>
  <c r="BD169" i="3" s="1"/>
  <c r="BG169" i="3" s="1"/>
  <c r="U164" i="2"/>
  <c r="U160" i="2"/>
  <c r="BD161" i="3" s="1"/>
  <c r="BG161" i="3" s="1"/>
  <c r="BD456" i="3"/>
  <c r="BG456" i="3" s="1"/>
  <c r="U156" i="2"/>
  <c r="U152" i="2"/>
  <c r="BD153" i="3" s="1"/>
  <c r="BG153" i="3" s="1"/>
  <c r="BD448" i="3"/>
  <c r="BG448" i="3" s="1"/>
  <c r="U148" i="2"/>
  <c r="U144" i="2"/>
  <c r="BD145" i="3" s="1"/>
  <c r="BG145" i="3" s="1"/>
  <c r="BD440" i="3"/>
  <c r="BG440" i="3" s="1"/>
  <c r="U140" i="2"/>
  <c r="U136" i="2"/>
  <c r="BD137" i="3" s="1"/>
  <c r="BG137" i="3" s="1"/>
  <c r="U132" i="2"/>
  <c r="U128" i="2"/>
  <c r="BD129" i="3" s="1"/>
  <c r="BG129" i="3" s="1"/>
  <c r="BD424" i="3"/>
  <c r="BG424" i="3" s="1"/>
  <c r="U124" i="2"/>
  <c r="BD420" i="3" s="1"/>
  <c r="BG420" i="3" s="1"/>
  <c r="U120" i="2"/>
  <c r="BD121" i="3" s="1"/>
  <c r="BG121" i="3" s="1"/>
  <c r="BD416" i="3"/>
  <c r="BG416" i="3" s="1"/>
  <c r="U116" i="2"/>
  <c r="U112" i="2"/>
  <c r="BD113" i="3" s="1"/>
  <c r="BG113" i="3" s="1"/>
  <c r="BD408" i="3"/>
  <c r="BG408" i="3" s="1"/>
  <c r="U108" i="2"/>
  <c r="U104" i="2"/>
  <c r="BD105" i="3" s="1"/>
  <c r="BG105" i="3" s="1"/>
  <c r="U100" i="2"/>
  <c r="U96" i="2"/>
  <c r="BD97" i="3" s="1"/>
  <c r="BG97" i="3" s="1"/>
  <c r="BD392" i="3"/>
  <c r="BG392" i="3" s="1"/>
  <c r="U92" i="2"/>
  <c r="U88" i="2"/>
  <c r="BD89" i="3" s="1"/>
  <c r="BG89" i="3" s="1"/>
  <c r="BD384" i="3"/>
  <c r="BG384" i="3" s="1"/>
  <c r="U84" i="2"/>
  <c r="U80" i="2"/>
  <c r="BD81" i="3" s="1"/>
  <c r="BG81" i="3" s="1"/>
  <c r="U76" i="2"/>
  <c r="BD77" i="3" s="1"/>
  <c r="BG77" i="3" s="1"/>
  <c r="U72" i="2"/>
  <c r="BD73" i="3" s="1"/>
  <c r="BG73" i="3" s="1"/>
  <c r="U68" i="2"/>
  <c r="BD69" i="3" s="1"/>
  <c r="BG69" i="3" s="1"/>
  <c r="U64" i="2"/>
  <c r="U60" i="2"/>
  <c r="BD61" i="3" s="1"/>
  <c r="BG61" i="3" s="1"/>
  <c r="U56" i="2"/>
  <c r="BD57" i="3" s="1"/>
  <c r="BG57" i="3" s="1"/>
  <c r="U52" i="2"/>
  <c r="BD53" i="3" s="1"/>
  <c r="BG53" i="3" s="1"/>
  <c r="U48" i="2"/>
  <c r="BD49" i="3" s="1"/>
  <c r="BG49" i="3" s="1"/>
  <c r="U44" i="2"/>
  <c r="BD45" i="3" s="1"/>
  <c r="BG45" i="3" s="1"/>
  <c r="U40" i="2"/>
  <c r="BD41" i="3" s="1"/>
  <c r="BG41" i="3" s="1"/>
  <c r="U36" i="2"/>
  <c r="BD37" i="3" s="1"/>
  <c r="BG37" i="3" s="1"/>
  <c r="U32" i="2"/>
  <c r="BD33" i="3" s="1"/>
  <c r="BG33" i="3" s="1"/>
  <c r="U28" i="2"/>
  <c r="BD29" i="3" s="1"/>
  <c r="BG29" i="3" s="1"/>
  <c r="U24" i="2"/>
  <c r="BD25" i="3" s="1"/>
  <c r="BG25" i="3" s="1"/>
  <c r="U20" i="2"/>
  <c r="BD21" i="3" s="1"/>
  <c r="BG21" i="3" s="1"/>
  <c r="U16" i="2"/>
  <c r="BD17" i="3" s="1"/>
  <c r="BG17" i="3" s="1"/>
  <c r="U12" i="2"/>
  <c r="BD13" i="3" s="1"/>
  <c r="BG13" i="3" s="1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X11" i="3" l="1"/>
  <c r="X12" i="3"/>
  <c r="BD117" i="3"/>
  <c r="BG117" i="3" s="1"/>
  <c r="BD412" i="3"/>
  <c r="BG412" i="3" s="1"/>
  <c r="BD213" i="3"/>
  <c r="BG213" i="3" s="1"/>
  <c r="BD508" i="3"/>
  <c r="BG508" i="3" s="1"/>
  <c r="BD245" i="3"/>
  <c r="BG245" i="3" s="1"/>
  <c r="BD540" i="3"/>
  <c r="BG540" i="3" s="1"/>
  <c r="BD341" i="3"/>
  <c r="BG341" i="3" s="1"/>
  <c r="BD636" i="3"/>
  <c r="BG636" i="3" s="1"/>
  <c r="BD223" i="3"/>
  <c r="BG223" i="3" s="1"/>
  <c r="BD518" i="3"/>
  <c r="BG518" i="3" s="1"/>
  <c r="BD287" i="3"/>
  <c r="BG287" i="3" s="1"/>
  <c r="BD582" i="3"/>
  <c r="BG582" i="3" s="1"/>
  <c r="BD114" i="3"/>
  <c r="BG114" i="3" s="1"/>
  <c r="BD409" i="3"/>
  <c r="BG409" i="3" s="1"/>
  <c r="BD104" i="3"/>
  <c r="BG104" i="3" s="1"/>
  <c r="BD399" i="3"/>
  <c r="BG399" i="3" s="1"/>
  <c r="BD237" i="3"/>
  <c r="BG237" i="3" s="1"/>
  <c r="BD532" i="3"/>
  <c r="BG532" i="3" s="1"/>
  <c r="BD301" i="3"/>
  <c r="BG301" i="3" s="1"/>
  <c r="BD596" i="3"/>
  <c r="BG596" i="3" s="1"/>
  <c r="BD365" i="3"/>
  <c r="BG365" i="3" s="1"/>
  <c r="BD660" i="3"/>
  <c r="BG660" i="3" s="1"/>
  <c r="BD207" i="3"/>
  <c r="BG207" i="3" s="1"/>
  <c r="BD502" i="3"/>
  <c r="BG502" i="3" s="1"/>
  <c r="BD271" i="3"/>
  <c r="BG271" i="3" s="1"/>
  <c r="BD566" i="3"/>
  <c r="BG566" i="3" s="1"/>
  <c r="BD335" i="3"/>
  <c r="BG335" i="3" s="1"/>
  <c r="BD630" i="3"/>
  <c r="BG630" i="3" s="1"/>
  <c r="BD224" i="3"/>
  <c r="BG224" i="3" s="1"/>
  <c r="BD519" i="3"/>
  <c r="BG519" i="3" s="1"/>
  <c r="BD200" i="3"/>
  <c r="BG200" i="3" s="1"/>
  <c r="BD495" i="3"/>
  <c r="BG495" i="3" s="1"/>
  <c r="BD236" i="3"/>
  <c r="BG236" i="3" s="1"/>
  <c r="BD531" i="3"/>
  <c r="BG531" i="3" s="1"/>
  <c r="BD379" i="3"/>
  <c r="BG379" i="3" s="1"/>
  <c r="BD492" i="3"/>
  <c r="BG492" i="3" s="1"/>
  <c r="BD197" i="3"/>
  <c r="BG197" i="3" s="1"/>
  <c r="BD261" i="3"/>
  <c r="BG261" i="3" s="1"/>
  <c r="BD556" i="3"/>
  <c r="BG556" i="3" s="1"/>
  <c r="BD293" i="3"/>
  <c r="BG293" i="3" s="1"/>
  <c r="BD588" i="3"/>
  <c r="BG588" i="3" s="1"/>
  <c r="BD325" i="3"/>
  <c r="BG325" i="3" s="1"/>
  <c r="BD620" i="3"/>
  <c r="BG620" i="3" s="1"/>
  <c r="BD357" i="3"/>
  <c r="BG357" i="3" s="1"/>
  <c r="BD652" i="3"/>
  <c r="BG652" i="3" s="1"/>
  <c r="BD547" i="3"/>
  <c r="BG547" i="3" s="1"/>
  <c r="BD127" i="3"/>
  <c r="BG127" i="3" s="1"/>
  <c r="BD422" i="3"/>
  <c r="BG422" i="3" s="1"/>
  <c r="BD191" i="3"/>
  <c r="BG191" i="3" s="1"/>
  <c r="BD486" i="3"/>
  <c r="BG486" i="3" s="1"/>
  <c r="BD373" i="3"/>
  <c r="BG373" i="3" s="1"/>
  <c r="BD255" i="3"/>
  <c r="BG255" i="3" s="1"/>
  <c r="BD550" i="3"/>
  <c r="BG550" i="3" s="1"/>
  <c r="BD319" i="3"/>
  <c r="BG319" i="3" s="1"/>
  <c r="BD614" i="3"/>
  <c r="BG614" i="3" s="1"/>
  <c r="BD190" i="3"/>
  <c r="BG190" i="3" s="1"/>
  <c r="BD372" i="3"/>
  <c r="BG372" i="3" s="1"/>
  <c r="BD447" i="3"/>
  <c r="BG447" i="3" s="1"/>
  <c r="BD539" i="3"/>
  <c r="BG539" i="3" s="1"/>
  <c r="BD269" i="3"/>
  <c r="BG269" i="3" s="1"/>
  <c r="BD85" i="3"/>
  <c r="BG85" i="3" s="1"/>
  <c r="BD380" i="3"/>
  <c r="BG380" i="3" s="1"/>
  <c r="BD149" i="3"/>
  <c r="BG149" i="3" s="1"/>
  <c r="BD444" i="3"/>
  <c r="BG444" i="3" s="1"/>
  <c r="BD181" i="3"/>
  <c r="BG181" i="3" s="1"/>
  <c r="BD476" i="3"/>
  <c r="BG476" i="3" s="1"/>
  <c r="BD277" i="3"/>
  <c r="BG277" i="3" s="1"/>
  <c r="BD572" i="3"/>
  <c r="BG572" i="3" s="1"/>
  <c r="BD309" i="3"/>
  <c r="BG309" i="3" s="1"/>
  <c r="BD604" i="3"/>
  <c r="BG604" i="3" s="1"/>
  <c r="BD95" i="3"/>
  <c r="BG95" i="3" s="1"/>
  <c r="BD390" i="3"/>
  <c r="BG390" i="3" s="1"/>
  <c r="BD159" i="3"/>
  <c r="BG159" i="3" s="1"/>
  <c r="BD454" i="3"/>
  <c r="BG454" i="3" s="1"/>
  <c r="BD187" i="3"/>
  <c r="BG187" i="3" s="1"/>
  <c r="BD109" i="3"/>
  <c r="BG109" i="3" s="1"/>
  <c r="BD404" i="3"/>
  <c r="BG404" i="3" s="1"/>
  <c r="BD141" i="3"/>
  <c r="BG141" i="3" s="1"/>
  <c r="BD436" i="3"/>
  <c r="BG436" i="3" s="1"/>
  <c r="BD173" i="3"/>
  <c r="BG173" i="3" s="1"/>
  <c r="BD468" i="3"/>
  <c r="BG468" i="3" s="1"/>
  <c r="BD143" i="3"/>
  <c r="BG143" i="3" s="1"/>
  <c r="BD438" i="3"/>
  <c r="BG438" i="3" s="1"/>
  <c r="BD339" i="3"/>
  <c r="BG339" i="3" s="1"/>
  <c r="BD634" i="3"/>
  <c r="BG634" i="3" s="1"/>
  <c r="BD116" i="3"/>
  <c r="BG116" i="3" s="1"/>
  <c r="BD411" i="3"/>
  <c r="BG411" i="3" s="1"/>
  <c r="BD196" i="3"/>
  <c r="BG196" i="3" s="1"/>
  <c r="BD491" i="3"/>
  <c r="BG491" i="3" s="1"/>
  <c r="BD378" i="3"/>
  <c r="BG378" i="3" s="1"/>
  <c r="BD96" i="3"/>
  <c r="BG96" i="3" s="1"/>
  <c r="BD391" i="3"/>
  <c r="BG391" i="3" s="1"/>
  <c r="BD352" i="3"/>
  <c r="BG352" i="3" s="1"/>
  <c r="BD647" i="3"/>
  <c r="BG647" i="3" s="1"/>
  <c r="BD265" i="3"/>
  <c r="BG265" i="3" s="1"/>
  <c r="BD101" i="3"/>
  <c r="BG101" i="3" s="1"/>
  <c r="BD396" i="3"/>
  <c r="BG396" i="3" s="1"/>
  <c r="BD133" i="3"/>
  <c r="BG133" i="3" s="1"/>
  <c r="BD428" i="3"/>
  <c r="BG428" i="3" s="1"/>
  <c r="BD165" i="3"/>
  <c r="BG165" i="3" s="1"/>
  <c r="BD460" i="3"/>
  <c r="BG460" i="3" s="1"/>
  <c r="BD229" i="3"/>
  <c r="BG229" i="3" s="1"/>
  <c r="BD524" i="3"/>
  <c r="BG524" i="3" s="1"/>
  <c r="BD388" i="3"/>
  <c r="BG388" i="3" s="1"/>
  <c r="BD93" i="3"/>
  <c r="BG93" i="3" s="1"/>
  <c r="BD400" i="3"/>
  <c r="BG400" i="3" s="1"/>
  <c r="BD432" i="3"/>
  <c r="BG432" i="3" s="1"/>
  <c r="BD452" i="3"/>
  <c r="BG452" i="3" s="1"/>
  <c r="BD157" i="3"/>
  <c r="BG157" i="3" s="1"/>
  <c r="BD464" i="3"/>
  <c r="BG464" i="3" s="1"/>
  <c r="BD371" i="3"/>
  <c r="BG371" i="3" s="1"/>
  <c r="BD484" i="3"/>
  <c r="BG484" i="3" s="1"/>
  <c r="BD496" i="3"/>
  <c r="BG496" i="3" s="1"/>
  <c r="BD221" i="3"/>
  <c r="BG221" i="3" s="1"/>
  <c r="BD516" i="3"/>
  <c r="BG516" i="3" s="1"/>
  <c r="BD528" i="3"/>
  <c r="BG528" i="3" s="1"/>
  <c r="BD253" i="3"/>
  <c r="BG253" i="3" s="1"/>
  <c r="BD548" i="3"/>
  <c r="BG548" i="3" s="1"/>
  <c r="BD285" i="3"/>
  <c r="BG285" i="3" s="1"/>
  <c r="BD580" i="3"/>
  <c r="BG580" i="3" s="1"/>
  <c r="BD592" i="3"/>
  <c r="BG592" i="3" s="1"/>
  <c r="BD317" i="3"/>
  <c r="BG317" i="3" s="1"/>
  <c r="BD612" i="3"/>
  <c r="BG612" i="3" s="1"/>
  <c r="BD624" i="3"/>
  <c r="BG624" i="3" s="1"/>
  <c r="BD349" i="3"/>
  <c r="BG349" i="3" s="1"/>
  <c r="BD644" i="3"/>
  <c r="BG644" i="3" s="1"/>
  <c r="BD656" i="3"/>
  <c r="BG656" i="3" s="1"/>
  <c r="BD386" i="3"/>
  <c r="BG386" i="3" s="1"/>
  <c r="BD402" i="3"/>
  <c r="BG402" i="3" s="1"/>
  <c r="BD418" i="3"/>
  <c r="BG418" i="3" s="1"/>
  <c r="BD434" i="3"/>
  <c r="BG434" i="3" s="1"/>
  <c r="BD450" i="3"/>
  <c r="BG450" i="3" s="1"/>
  <c r="BD466" i="3"/>
  <c r="BG466" i="3" s="1"/>
  <c r="BD482" i="3"/>
  <c r="BG482" i="3" s="1"/>
  <c r="BD498" i="3"/>
  <c r="BG498" i="3" s="1"/>
  <c r="BD514" i="3"/>
  <c r="BG514" i="3" s="1"/>
  <c r="BD530" i="3"/>
  <c r="BG530" i="3" s="1"/>
  <c r="BD546" i="3"/>
  <c r="BG546" i="3" s="1"/>
  <c r="BD562" i="3"/>
  <c r="BG562" i="3" s="1"/>
  <c r="BD578" i="3"/>
  <c r="BG578" i="3" s="1"/>
  <c r="BD594" i="3"/>
  <c r="BG594" i="3" s="1"/>
  <c r="BD610" i="3"/>
  <c r="BG610" i="3" s="1"/>
  <c r="BD626" i="3"/>
  <c r="BG626" i="3" s="1"/>
  <c r="BD483" i="3"/>
  <c r="BG483" i="3" s="1"/>
  <c r="BD111" i="3"/>
  <c r="BG111" i="3" s="1"/>
  <c r="BD406" i="3"/>
  <c r="BG406" i="3" s="1"/>
  <c r="BD175" i="3"/>
  <c r="BG175" i="3" s="1"/>
  <c r="BD470" i="3"/>
  <c r="BG470" i="3" s="1"/>
  <c r="BD239" i="3"/>
  <c r="BG239" i="3" s="1"/>
  <c r="BD534" i="3"/>
  <c r="BG534" i="3" s="1"/>
  <c r="BD303" i="3"/>
  <c r="BG303" i="3" s="1"/>
  <c r="BD598" i="3"/>
  <c r="BG598" i="3" s="1"/>
  <c r="BD189" i="3"/>
  <c r="BG189" i="3" s="1"/>
  <c r="BD208" i="3"/>
  <c r="BG208" i="3" s="1"/>
  <c r="BD503" i="3"/>
  <c r="BG503" i="3" s="1"/>
  <c r="BD427" i="3"/>
  <c r="BG427" i="3" s="1"/>
  <c r="BD188" i="3"/>
  <c r="BG188" i="3" s="1"/>
  <c r="BD260" i="3"/>
  <c r="BG260" i="3" s="1"/>
  <c r="BD555" i="3"/>
  <c r="BG555" i="3" s="1"/>
  <c r="BD168" i="3"/>
  <c r="BG168" i="3" s="1"/>
  <c r="BD463" i="3"/>
  <c r="BG463" i="3" s="1"/>
  <c r="BD216" i="3"/>
  <c r="BG216" i="3" s="1"/>
  <c r="BD511" i="3"/>
  <c r="BG511" i="3" s="1"/>
  <c r="BD507" i="3"/>
  <c r="BG507" i="3" s="1"/>
  <c r="BD212" i="3"/>
  <c r="BG212" i="3" s="1"/>
  <c r="BD635" i="3"/>
  <c r="BG635" i="3" s="1"/>
  <c r="BD340" i="3"/>
  <c r="BG340" i="3" s="1"/>
  <c r="BD324" i="3"/>
  <c r="BG324" i="3" s="1"/>
  <c r="BD619" i="3"/>
  <c r="BG619" i="3" s="1"/>
  <c r="BD192" i="3"/>
  <c r="BG192" i="3" s="1"/>
  <c r="BD374" i="3"/>
  <c r="BG374" i="3" s="1"/>
  <c r="BD615" i="3"/>
  <c r="BG615" i="3" s="1"/>
  <c r="BD320" i="3"/>
  <c r="BG320" i="3" s="1"/>
  <c r="BD176" i="3"/>
  <c r="BG176" i="3" s="1"/>
  <c r="BD471" i="3"/>
  <c r="BG471" i="3" s="1"/>
  <c r="BD194" i="3"/>
  <c r="BG194" i="3" s="1"/>
  <c r="BD439" i="3"/>
  <c r="BG439" i="3" s="1"/>
  <c r="BD195" i="3"/>
  <c r="BG195" i="3" s="1"/>
  <c r="BD88" i="3"/>
  <c r="BG88" i="3" s="1"/>
  <c r="BD383" i="3"/>
  <c r="BG383" i="3" s="1"/>
  <c r="BD344" i="3"/>
  <c r="BG344" i="3" s="1"/>
  <c r="BD639" i="3"/>
  <c r="BG639" i="3" s="1"/>
  <c r="BD638" i="3"/>
  <c r="BG638" i="3" s="1"/>
  <c r="BD646" i="3"/>
  <c r="BG646" i="3" s="1"/>
  <c r="BD662" i="3"/>
  <c r="BG662" i="3" s="1"/>
  <c r="BD385" i="3"/>
  <c r="BG385" i="3" s="1"/>
  <c r="BD417" i="3"/>
  <c r="BG417" i="3" s="1"/>
  <c r="BD10" i="3"/>
  <c r="BG10" i="3" s="1"/>
  <c r="BD11" i="3"/>
  <c r="BG11" i="3" s="1"/>
  <c r="BD603" i="3"/>
  <c r="BG603" i="3" s="1"/>
  <c r="BD599" i="3"/>
  <c r="BG599" i="3" s="1"/>
  <c r="AY136" i="3"/>
  <c r="BB136" i="3" s="1"/>
  <c r="AY463" i="3"/>
  <c r="BB463" i="3" s="1"/>
  <c r="AY120" i="3"/>
  <c r="BB120" i="3" s="1"/>
  <c r="AY221" i="3"/>
  <c r="BB221" i="3" s="1"/>
  <c r="AY181" i="3"/>
  <c r="BB181" i="3" s="1"/>
  <c r="AY391" i="3"/>
  <c r="BB391" i="3" s="1"/>
  <c r="AY559" i="3"/>
  <c r="BB559" i="3" s="1"/>
  <c r="AY591" i="3"/>
  <c r="BB591" i="3" s="1"/>
  <c r="AY528" i="3"/>
  <c r="BB528" i="3" s="1"/>
  <c r="AY592" i="3"/>
  <c r="BB592" i="3" s="1"/>
  <c r="AY656" i="3"/>
  <c r="BB656" i="3" s="1"/>
  <c r="AY379" i="3"/>
  <c r="BB379" i="3" s="1"/>
  <c r="AY369" i="3"/>
  <c r="BB369" i="3" s="1"/>
  <c r="AY377" i="3"/>
  <c r="BB377" i="3" s="1"/>
  <c r="AY304" i="3"/>
  <c r="BB304" i="3" s="1"/>
  <c r="AY216" i="3"/>
  <c r="BB216" i="3" s="1"/>
  <c r="AY333" i="3"/>
  <c r="BB333" i="3" s="1"/>
  <c r="AY375" i="3"/>
  <c r="BB375" i="3" s="1"/>
  <c r="AY112" i="3"/>
  <c r="BB112" i="3" s="1"/>
  <c r="AY164" i="3"/>
  <c r="BB164" i="3" s="1"/>
  <c r="AY374" i="3"/>
  <c r="BB374" i="3" s="1"/>
  <c r="AY244" i="3"/>
  <c r="BB244" i="3" s="1"/>
  <c r="AY360" i="3"/>
  <c r="BB360" i="3" s="1"/>
  <c r="AY160" i="3"/>
  <c r="BB160" i="3" s="1"/>
  <c r="AY125" i="3"/>
  <c r="BB125" i="3" s="1"/>
  <c r="AY451" i="3"/>
  <c r="BB451" i="3" s="1"/>
  <c r="AY563" i="3"/>
  <c r="BB563" i="3" s="1"/>
  <c r="AY544" i="3"/>
  <c r="BB544" i="3" s="1"/>
  <c r="AY608" i="3"/>
  <c r="BB608" i="3" s="1"/>
  <c r="AY527" i="3"/>
  <c r="BB527" i="3" s="1"/>
  <c r="AY615" i="3"/>
  <c r="BB615" i="3" s="1"/>
  <c r="AY403" i="3"/>
  <c r="BB403" i="3" s="1"/>
  <c r="AY411" i="3"/>
  <c r="BB411" i="3" s="1"/>
  <c r="AY647" i="3"/>
  <c r="BB647" i="3" s="1"/>
  <c r="AY496" i="3"/>
  <c r="BB496" i="3" s="1"/>
  <c r="AY560" i="3"/>
  <c r="BB560" i="3" s="1"/>
  <c r="AY624" i="3"/>
  <c r="BB624" i="3" s="1"/>
  <c r="AY388" i="3"/>
  <c r="BB388" i="3" s="1"/>
  <c r="AY444" i="3"/>
  <c r="BB444" i="3" s="1"/>
  <c r="AY548" i="3"/>
  <c r="BB548" i="3" s="1"/>
  <c r="AY564" i="3"/>
  <c r="BB564" i="3" s="1"/>
  <c r="AY580" i="3"/>
  <c r="BB580" i="3" s="1"/>
  <c r="AY596" i="3"/>
  <c r="BB596" i="3" s="1"/>
  <c r="AY612" i="3"/>
  <c r="BB612" i="3" s="1"/>
  <c r="AY644" i="3"/>
  <c r="BB644" i="3" s="1"/>
  <c r="AY660" i="3"/>
  <c r="BB660" i="3" s="1"/>
  <c r="AY439" i="3"/>
  <c r="BB439" i="3" s="1"/>
  <c r="AY495" i="3"/>
  <c r="BB495" i="3" s="1"/>
  <c r="AY607" i="3"/>
  <c r="BB607" i="3" s="1"/>
  <c r="AY488" i="3"/>
  <c r="BB488" i="3" s="1"/>
  <c r="AY427" i="3"/>
  <c r="BB427" i="3" s="1"/>
  <c r="AY220" i="3"/>
  <c r="BB220" i="3" s="1"/>
  <c r="AY336" i="3"/>
  <c r="BB336" i="3" s="1"/>
  <c r="AY11" i="3"/>
  <c r="BB11" i="3" s="1"/>
  <c r="AT191" i="3"/>
  <c r="AW191" i="3" s="1"/>
  <c r="AT373" i="3"/>
  <c r="AW373" i="3" s="1"/>
  <c r="AT395" i="3"/>
  <c r="AW395" i="3" s="1"/>
  <c r="AT100" i="3"/>
  <c r="AW100" i="3" s="1"/>
  <c r="AT411" i="3"/>
  <c r="AW411" i="3" s="1"/>
  <c r="AT116" i="3"/>
  <c r="AW116" i="3" s="1"/>
  <c r="AT463" i="3"/>
  <c r="AW463" i="3" s="1"/>
  <c r="AT168" i="3"/>
  <c r="AW168" i="3" s="1"/>
  <c r="AT200" i="3"/>
  <c r="AW200" i="3" s="1"/>
  <c r="AT495" i="3"/>
  <c r="AW495" i="3" s="1"/>
  <c r="AT232" i="3"/>
  <c r="AW232" i="3" s="1"/>
  <c r="AT527" i="3"/>
  <c r="AW527" i="3" s="1"/>
  <c r="AT264" i="3"/>
  <c r="AW264" i="3" s="1"/>
  <c r="AT559" i="3"/>
  <c r="AW559" i="3" s="1"/>
  <c r="AT296" i="3"/>
  <c r="AW296" i="3" s="1"/>
  <c r="AT591" i="3"/>
  <c r="AW591" i="3" s="1"/>
  <c r="AT328" i="3"/>
  <c r="AW328" i="3" s="1"/>
  <c r="AT623" i="3"/>
  <c r="AW623" i="3" s="1"/>
  <c r="AT360" i="3"/>
  <c r="AW360" i="3" s="1"/>
  <c r="AT655" i="3"/>
  <c r="AW655" i="3" s="1"/>
  <c r="AT206" i="3"/>
  <c r="AW206" i="3" s="1"/>
  <c r="AT501" i="3"/>
  <c r="AW501" i="3" s="1"/>
  <c r="AT218" i="3"/>
  <c r="AW218" i="3" s="1"/>
  <c r="AT513" i="3"/>
  <c r="AW513" i="3" s="1"/>
  <c r="AT250" i="3"/>
  <c r="AW250" i="3" s="1"/>
  <c r="AT545" i="3"/>
  <c r="AW545" i="3" s="1"/>
  <c r="AT314" i="3"/>
  <c r="AW314" i="3" s="1"/>
  <c r="AT609" i="3"/>
  <c r="AW609" i="3" s="1"/>
  <c r="AT346" i="3"/>
  <c r="AW346" i="3" s="1"/>
  <c r="AT641" i="3"/>
  <c r="AW641" i="3" s="1"/>
  <c r="AT426" i="3"/>
  <c r="AW426" i="3" s="1"/>
  <c r="AT131" i="3"/>
  <c r="AW131" i="3" s="1"/>
  <c r="AT424" i="3"/>
  <c r="AW424" i="3" s="1"/>
  <c r="AT129" i="3"/>
  <c r="AW129" i="3" s="1"/>
  <c r="AT261" i="3"/>
  <c r="AW261" i="3" s="1"/>
  <c r="AT556" i="3"/>
  <c r="AW556" i="3" s="1"/>
  <c r="AT160" i="3"/>
  <c r="AW160" i="3" s="1"/>
  <c r="AT455" i="3"/>
  <c r="AW455" i="3" s="1"/>
  <c r="AT519" i="3"/>
  <c r="AW519" i="3" s="1"/>
  <c r="AT224" i="3"/>
  <c r="AW224" i="3" s="1"/>
  <c r="AT583" i="3"/>
  <c r="AW583" i="3" s="1"/>
  <c r="AT288" i="3"/>
  <c r="AW288" i="3" s="1"/>
  <c r="AT647" i="3"/>
  <c r="AW647" i="3" s="1"/>
  <c r="AT352" i="3"/>
  <c r="AW352" i="3" s="1"/>
  <c r="AT90" i="3"/>
  <c r="AW90" i="3" s="1"/>
  <c r="AT385" i="3"/>
  <c r="AW385" i="3" s="1"/>
  <c r="AT390" i="3"/>
  <c r="AW390" i="3" s="1"/>
  <c r="AT95" i="3"/>
  <c r="AW95" i="3" s="1"/>
  <c r="AT430" i="3"/>
  <c r="AW430" i="3" s="1"/>
  <c r="AT135" i="3"/>
  <c r="AW135" i="3" s="1"/>
  <c r="AT400" i="3"/>
  <c r="AW400" i="3" s="1"/>
  <c r="AT105" i="3"/>
  <c r="AW105" i="3" s="1"/>
  <c r="AT476" i="3"/>
  <c r="AW476" i="3" s="1"/>
  <c r="AT181" i="3"/>
  <c r="AW181" i="3" s="1"/>
  <c r="AT309" i="3"/>
  <c r="AW309" i="3" s="1"/>
  <c r="AT604" i="3"/>
  <c r="AW604" i="3" s="1"/>
  <c r="AT152" i="3"/>
  <c r="AW152" i="3" s="1"/>
  <c r="AT447" i="3"/>
  <c r="AW447" i="3" s="1"/>
  <c r="AT184" i="3"/>
  <c r="AW184" i="3" s="1"/>
  <c r="AT479" i="3"/>
  <c r="AW479" i="3" s="1"/>
  <c r="AT216" i="3"/>
  <c r="AW216" i="3" s="1"/>
  <c r="AT511" i="3"/>
  <c r="AW511" i="3" s="1"/>
  <c r="AT248" i="3"/>
  <c r="AW248" i="3" s="1"/>
  <c r="AT543" i="3"/>
  <c r="AW543" i="3" s="1"/>
  <c r="AT280" i="3"/>
  <c r="AW280" i="3" s="1"/>
  <c r="AT575" i="3"/>
  <c r="AW575" i="3" s="1"/>
  <c r="AT312" i="3"/>
  <c r="AW312" i="3" s="1"/>
  <c r="AT607" i="3"/>
  <c r="AW607" i="3" s="1"/>
  <c r="AT344" i="3"/>
  <c r="AW344" i="3" s="1"/>
  <c r="AT639" i="3"/>
  <c r="AW639" i="3" s="1"/>
  <c r="AT417" i="3"/>
  <c r="AW417" i="3" s="1"/>
  <c r="AT382" i="3"/>
  <c r="AW382" i="3" s="1"/>
  <c r="AT87" i="3"/>
  <c r="AW87" i="3" s="1"/>
  <c r="AT398" i="3"/>
  <c r="AW398" i="3" s="1"/>
  <c r="AT103" i="3"/>
  <c r="AW103" i="3" s="1"/>
  <c r="AT422" i="3"/>
  <c r="AW422" i="3" s="1"/>
  <c r="AT127" i="3"/>
  <c r="AW127" i="3" s="1"/>
  <c r="AT438" i="3"/>
  <c r="AW438" i="3" s="1"/>
  <c r="AT143" i="3"/>
  <c r="AW143" i="3" s="1"/>
  <c r="AT396" i="3"/>
  <c r="AW396" i="3" s="1"/>
  <c r="AT101" i="3"/>
  <c r="AW101" i="3" s="1"/>
  <c r="AT149" i="3"/>
  <c r="AW149" i="3" s="1"/>
  <c r="AT444" i="3"/>
  <c r="AW444" i="3" s="1"/>
  <c r="AT213" i="3"/>
  <c r="AW213" i="3" s="1"/>
  <c r="AT508" i="3"/>
  <c r="AW508" i="3" s="1"/>
  <c r="AT572" i="3"/>
  <c r="AW572" i="3" s="1"/>
  <c r="AT277" i="3"/>
  <c r="AW277" i="3" s="1"/>
  <c r="AT341" i="3"/>
  <c r="AW341" i="3" s="1"/>
  <c r="AT636" i="3"/>
  <c r="AW636" i="3" s="1"/>
  <c r="AT404" i="3"/>
  <c r="AW404" i="3" s="1"/>
  <c r="AT109" i="3"/>
  <c r="AW109" i="3" s="1"/>
  <c r="AT392" i="3"/>
  <c r="AW392" i="3" s="1"/>
  <c r="AT97" i="3"/>
  <c r="AW97" i="3" s="1"/>
  <c r="AT197" i="3"/>
  <c r="AW197" i="3" s="1"/>
  <c r="AT492" i="3"/>
  <c r="AW492" i="3" s="1"/>
  <c r="AT325" i="3"/>
  <c r="AW325" i="3" s="1"/>
  <c r="AT620" i="3"/>
  <c r="AW620" i="3" s="1"/>
  <c r="AT192" i="3"/>
  <c r="AW192" i="3" s="1"/>
  <c r="AT487" i="3"/>
  <c r="AW487" i="3" s="1"/>
  <c r="AT256" i="3"/>
  <c r="AW256" i="3" s="1"/>
  <c r="AT551" i="3"/>
  <c r="AW551" i="3" s="1"/>
  <c r="AT320" i="3"/>
  <c r="AW320" i="3" s="1"/>
  <c r="AT615" i="3"/>
  <c r="AW615" i="3" s="1"/>
  <c r="AT379" i="3"/>
  <c r="AW379" i="3" s="1"/>
  <c r="AT154" i="3"/>
  <c r="AW154" i="3" s="1"/>
  <c r="AT449" i="3"/>
  <c r="AW449" i="3" s="1"/>
  <c r="AT481" i="3"/>
  <c r="AW481" i="3" s="1"/>
  <c r="AT186" i="3"/>
  <c r="AW186" i="3" s="1"/>
  <c r="AT91" i="3"/>
  <c r="AW91" i="3" s="1"/>
  <c r="AT295" i="3"/>
  <c r="AW295" i="3" s="1"/>
  <c r="AT414" i="3"/>
  <c r="AW414" i="3" s="1"/>
  <c r="AT119" i="3"/>
  <c r="AW119" i="3" s="1"/>
  <c r="AT432" i="3"/>
  <c r="AW432" i="3" s="1"/>
  <c r="AT137" i="3"/>
  <c r="AW137" i="3" s="1"/>
  <c r="AT245" i="3"/>
  <c r="AW245" i="3" s="1"/>
  <c r="AT540" i="3"/>
  <c r="AW540" i="3" s="1"/>
  <c r="AT139" i="3"/>
  <c r="AW139" i="3" s="1"/>
  <c r="AT434" i="3"/>
  <c r="AW434" i="3" s="1"/>
  <c r="AT446" i="3"/>
  <c r="AW446" i="3" s="1"/>
  <c r="AT454" i="3"/>
  <c r="AW454" i="3" s="1"/>
  <c r="AT462" i="3"/>
  <c r="AW462" i="3" s="1"/>
  <c r="AT470" i="3"/>
  <c r="AW470" i="3" s="1"/>
  <c r="AT478" i="3"/>
  <c r="AW478" i="3" s="1"/>
  <c r="AT486" i="3"/>
  <c r="AW486" i="3" s="1"/>
  <c r="AT494" i="3"/>
  <c r="AW494" i="3" s="1"/>
  <c r="AT502" i="3"/>
  <c r="AW502" i="3" s="1"/>
  <c r="AT510" i="3"/>
  <c r="AW510" i="3" s="1"/>
  <c r="AT518" i="3"/>
  <c r="AW518" i="3" s="1"/>
  <c r="AT526" i="3"/>
  <c r="AW526" i="3" s="1"/>
  <c r="AT534" i="3"/>
  <c r="AW534" i="3" s="1"/>
  <c r="AT542" i="3"/>
  <c r="AW542" i="3" s="1"/>
  <c r="AT550" i="3"/>
  <c r="AW550" i="3" s="1"/>
  <c r="AT558" i="3"/>
  <c r="AW558" i="3" s="1"/>
  <c r="AT566" i="3"/>
  <c r="AW566" i="3" s="1"/>
  <c r="AT574" i="3"/>
  <c r="AW574" i="3" s="1"/>
  <c r="AT582" i="3"/>
  <c r="AW582" i="3" s="1"/>
  <c r="AT598" i="3"/>
  <c r="AW598" i="3" s="1"/>
  <c r="AT606" i="3"/>
  <c r="AW606" i="3" s="1"/>
  <c r="AT614" i="3"/>
  <c r="AW614" i="3" s="1"/>
  <c r="AT622" i="3"/>
  <c r="AW622" i="3" s="1"/>
  <c r="AT630" i="3"/>
  <c r="AW630" i="3" s="1"/>
  <c r="AT638" i="3"/>
  <c r="AW638" i="3" s="1"/>
  <c r="AT646" i="3"/>
  <c r="AW646" i="3" s="1"/>
  <c r="AT654" i="3"/>
  <c r="AW654" i="3" s="1"/>
  <c r="AT662" i="3"/>
  <c r="AW662" i="3" s="1"/>
  <c r="AT388" i="3"/>
  <c r="AW388" i="3" s="1"/>
  <c r="AT93" i="3"/>
  <c r="AW93" i="3" s="1"/>
  <c r="AT420" i="3"/>
  <c r="AW420" i="3" s="1"/>
  <c r="AT125" i="3"/>
  <c r="AW125" i="3" s="1"/>
  <c r="AT448" i="3"/>
  <c r="AW448" i="3" s="1"/>
  <c r="AT464" i="3"/>
  <c r="AW464" i="3" s="1"/>
  <c r="AT480" i="3"/>
  <c r="AW480" i="3" s="1"/>
  <c r="AT496" i="3"/>
  <c r="AW496" i="3" s="1"/>
  <c r="AT512" i="3"/>
  <c r="AW512" i="3" s="1"/>
  <c r="AT528" i="3"/>
  <c r="AW528" i="3" s="1"/>
  <c r="AT544" i="3"/>
  <c r="AW544" i="3" s="1"/>
  <c r="AT560" i="3"/>
  <c r="AW560" i="3" s="1"/>
  <c r="AT576" i="3"/>
  <c r="AW576" i="3" s="1"/>
  <c r="AT592" i="3"/>
  <c r="AW592" i="3" s="1"/>
  <c r="AT608" i="3"/>
  <c r="AW608" i="3" s="1"/>
  <c r="AT624" i="3"/>
  <c r="AW624" i="3" s="1"/>
  <c r="AT640" i="3"/>
  <c r="AW640" i="3" s="1"/>
  <c r="AT656" i="3"/>
  <c r="AW656" i="3" s="1"/>
  <c r="AT165" i="3"/>
  <c r="AW165" i="3" s="1"/>
  <c r="AT460" i="3"/>
  <c r="AW460" i="3" s="1"/>
  <c r="AT229" i="3"/>
  <c r="AW229" i="3" s="1"/>
  <c r="AT524" i="3"/>
  <c r="AW524" i="3" s="1"/>
  <c r="AT293" i="3"/>
  <c r="AW293" i="3" s="1"/>
  <c r="AT588" i="3"/>
  <c r="AW588" i="3" s="1"/>
  <c r="AT357" i="3"/>
  <c r="AW357" i="3" s="1"/>
  <c r="AT652" i="3"/>
  <c r="AW652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176" i="3"/>
  <c r="AW176" i="3" s="1"/>
  <c r="AT471" i="3"/>
  <c r="AW471" i="3" s="1"/>
  <c r="AT208" i="3"/>
  <c r="AW208" i="3" s="1"/>
  <c r="AT503" i="3"/>
  <c r="AW503" i="3" s="1"/>
  <c r="AT240" i="3"/>
  <c r="AW240" i="3" s="1"/>
  <c r="AT535" i="3"/>
  <c r="AW535" i="3" s="1"/>
  <c r="AT272" i="3"/>
  <c r="AW272" i="3" s="1"/>
  <c r="AT567" i="3"/>
  <c r="AW567" i="3" s="1"/>
  <c r="AT304" i="3"/>
  <c r="AW304" i="3" s="1"/>
  <c r="AT599" i="3"/>
  <c r="AW599" i="3" s="1"/>
  <c r="AT336" i="3"/>
  <c r="AW336" i="3" s="1"/>
  <c r="AT631" i="3"/>
  <c r="AW631" i="3" s="1"/>
  <c r="AT368" i="3"/>
  <c r="AW368" i="3" s="1"/>
  <c r="AT663" i="3"/>
  <c r="AW663" i="3" s="1"/>
  <c r="AT577" i="3"/>
  <c r="AW577" i="3" s="1"/>
  <c r="AT409" i="3"/>
  <c r="AW409" i="3" s="1"/>
  <c r="AT114" i="3"/>
  <c r="AW114" i="3" s="1"/>
  <c r="AT146" i="3"/>
  <c r="AW146" i="3" s="1"/>
  <c r="AT441" i="3"/>
  <c r="AW441" i="3" s="1"/>
  <c r="AT394" i="3"/>
  <c r="AW394" i="3" s="1"/>
  <c r="AT99" i="3"/>
  <c r="AW99" i="3" s="1"/>
  <c r="AT406" i="3"/>
  <c r="AW406" i="3" s="1"/>
  <c r="AT111" i="3"/>
  <c r="AW111" i="3" s="1"/>
  <c r="AT377" i="3"/>
  <c r="AW377" i="3" s="1"/>
  <c r="AT195" i="3"/>
  <c r="AW195" i="3" s="1"/>
  <c r="AT440" i="3"/>
  <c r="AW440" i="3" s="1"/>
  <c r="AT145" i="3"/>
  <c r="AW145" i="3" s="1"/>
  <c r="AT371" i="3"/>
  <c r="AW371" i="3" s="1"/>
  <c r="AT401" i="3"/>
  <c r="AW401" i="3" s="1"/>
  <c r="AT106" i="3"/>
  <c r="AW106" i="3" s="1"/>
  <c r="AT138" i="3"/>
  <c r="AW138" i="3" s="1"/>
  <c r="AT433" i="3"/>
  <c r="AW433" i="3" s="1"/>
  <c r="AT123" i="3"/>
  <c r="AW123" i="3" s="1"/>
  <c r="AT416" i="3"/>
  <c r="AW416" i="3" s="1"/>
  <c r="AT121" i="3"/>
  <c r="AW121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193" i="3"/>
  <c r="AW193" i="3" s="1"/>
  <c r="AT457" i="3"/>
  <c r="AW457" i="3" s="1"/>
  <c r="AT162" i="3"/>
  <c r="AW162" i="3" s="1"/>
  <c r="AT194" i="3"/>
  <c r="AW194" i="3" s="1"/>
  <c r="AT376" i="3"/>
  <c r="AW376" i="3" s="1"/>
  <c r="AT489" i="3"/>
  <c r="AW489" i="3" s="1"/>
  <c r="AT290" i="3"/>
  <c r="AW290" i="3" s="1"/>
  <c r="AT585" i="3"/>
  <c r="AW585" i="3" s="1"/>
  <c r="AT322" i="3"/>
  <c r="AW322" i="3" s="1"/>
  <c r="AT617" i="3"/>
  <c r="AW617" i="3" s="1"/>
  <c r="AT354" i="3"/>
  <c r="AW354" i="3" s="1"/>
  <c r="AT649" i="3"/>
  <c r="AW649" i="3" s="1"/>
  <c r="AT89" i="3"/>
  <c r="AW89" i="3" s="1"/>
  <c r="AT10" i="3"/>
  <c r="AW10" i="3" s="1"/>
  <c r="AT11" i="3"/>
  <c r="AW11" i="3" s="1"/>
  <c r="AT132" i="3"/>
  <c r="AW132" i="3" s="1"/>
  <c r="AT196" i="3"/>
  <c r="AW196" i="3" s="1"/>
  <c r="AT88" i="3"/>
  <c r="AW88" i="3" s="1"/>
  <c r="AT120" i="3"/>
  <c r="AW120" i="3" s="1"/>
  <c r="AO465" i="3"/>
  <c r="AR465" i="3" s="1"/>
  <c r="AO387" i="3"/>
  <c r="AR387" i="3" s="1"/>
  <c r="AO419" i="3"/>
  <c r="AR419" i="3" s="1"/>
  <c r="AO451" i="3"/>
  <c r="AR451" i="3" s="1"/>
  <c r="AO386" i="3"/>
  <c r="AR386" i="3" s="1"/>
  <c r="AO91" i="3"/>
  <c r="AR91" i="3" s="1"/>
  <c r="AO410" i="3"/>
  <c r="AR410" i="3" s="1"/>
  <c r="AO115" i="3"/>
  <c r="AR115" i="3" s="1"/>
  <c r="AO430" i="3"/>
  <c r="AR430" i="3" s="1"/>
  <c r="AO135" i="3"/>
  <c r="AR135" i="3" s="1"/>
  <c r="AO10" i="3"/>
  <c r="AR10" i="3" s="1"/>
  <c r="AO11" i="3"/>
  <c r="AR11" i="3" s="1"/>
  <c r="AO402" i="3"/>
  <c r="AR402" i="3" s="1"/>
  <c r="AO107" i="3"/>
  <c r="AR107" i="3" s="1"/>
  <c r="AO393" i="3"/>
  <c r="AR393" i="3" s="1"/>
  <c r="AO98" i="3"/>
  <c r="AR98" i="3" s="1"/>
  <c r="AO493" i="3"/>
  <c r="AR493" i="3" s="1"/>
  <c r="AO198" i="3"/>
  <c r="AR198" i="3" s="1"/>
  <c r="AO577" i="3"/>
  <c r="AR577" i="3" s="1"/>
  <c r="AO282" i="3"/>
  <c r="AR282" i="3" s="1"/>
  <c r="AO405" i="3"/>
  <c r="AR405" i="3" s="1"/>
  <c r="AO473" i="3"/>
  <c r="AR473" i="3" s="1"/>
  <c r="AO178" i="3"/>
  <c r="AR178" i="3" s="1"/>
  <c r="AO565" i="3"/>
  <c r="AR565" i="3" s="1"/>
  <c r="AO270" i="3"/>
  <c r="AR270" i="3" s="1"/>
  <c r="AO593" i="3"/>
  <c r="AR593" i="3" s="1"/>
  <c r="AO656" i="3"/>
  <c r="AR656" i="3" s="1"/>
  <c r="AO90" i="3"/>
  <c r="AR90" i="3" s="1"/>
  <c r="AO102" i="3"/>
  <c r="AR102" i="3" s="1"/>
  <c r="AO118" i="3"/>
  <c r="AR118" i="3" s="1"/>
  <c r="AO142" i="3"/>
  <c r="AR142" i="3" s="1"/>
  <c r="AO154" i="3"/>
  <c r="AR154" i="3" s="1"/>
  <c r="AO186" i="3"/>
  <c r="AR186" i="3" s="1"/>
  <c r="AO183" i="3"/>
  <c r="AR183" i="3" s="1"/>
  <c r="AO216" i="3"/>
  <c r="AR216" i="3" s="1"/>
  <c r="AO248" i="3"/>
  <c r="AR248" i="3" s="1"/>
  <c r="AO242" i="3"/>
  <c r="AR242" i="3" s="1"/>
  <c r="AO139" i="3"/>
  <c r="AR139" i="3" s="1"/>
  <c r="AO266" i="3"/>
  <c r="AR266" i="3" s="1"/>
  <c r="AO421" i="3"/>
  <c r="AR421" i="3" s="1"/>
  <c r="AO126" i="3"/>
  <c r="AR126" i="3" s="1"/>
  <c r="AO422" i="3"/>
  <c r="AR422" i="3" s="1"/>
  <c r="AO127" i="3"/>
  <c r="AR127" i="3" s="1"/>
  <c r="AO438" i="3"/>
  <c r="AR438" i="3" s="1"/>
  <c r="AO143" i="3"/>
  <c r="AR143" i="3" s="1"/>
  <c r="AO454" i="3"/>
  <c r="AR454" i="3" s="1"/>
  <c r="AO159" i="3"/>
  <c r="AR159" i="3" s="1"/>
  <c r="AO441" i="3"/>
  <c r="AR441" i="3" s="1"/>
  <c r="AO146" i="3"/>
  <c r="AR146" i="3" s="1"/>
  <c r="AO545" i="3"/>
  <c r="AR545" i="3" s="1"/>
  <c r="AO250" i="3"/>
  <c r="AR250" i="3" s="1"/>
  <c r="AO525" i="3"/>
  <c r="AR525" i="3" s="1"/>
  <c r="AO230" i="3"/>
  <c r="AR230" i="3" s="1"/>
  <c r="AO601" i="3"/>
  <c r="AR601" i="3" s="1"/>
  <c r="AO306" i="3"/>
  <c r="AR306" i="3" s="1"/>
  <c r="AO457" i="3"/>
  <c r="AR457" i="3" s="1"/>
  <c r="AO162" i="3"/>
  <c r="AR162" i="3" s="1"/>
  <c r="AO641" i="3"/>
  <c r="AR641" i="3" s="1"/>
  <c r="AO346" i="3"/>
  <c r="AR346" i="3" s="1"/>
  <c r="AO657" i="3"/>
  <c r="AR657" i="3" s="1"/>
  <c r="AO194" i="3"/>
  <c r="AR194" i="3" s="1"/>
  <c r="AO281" i="3"/>
  <c r="AR281" i="3" s="1"/>
  <c r="AO103" i="3"/>
  <c r="AR103" i="3" s="1"/>
  <c r="AO130" i="3"/>
  <c r="AR130" i="3" s="1"/>
  <c r="AO394" i="3"/>
  <c r="AR394" i="3" s="1"/>
  <c r="AO99" i="3"/>
  <c r="AR99" i="3" s="1"/>
  <c r="AO442" i="3"/>
  <c r="AR442" i="3" s="1"/>
  <c r="AO147" i="3"/>
  <c r="AR147" i="3" s="1"/>
  <c r="AO521" i="3"/>
  <c r="AR521" i="3" s="1"/>
  <c r="AO226" i="3"/>
  <c r="AR226" i="3" s="1"/>
  <c r="AO597" i="3"/>
  <c r="AR597" i="3" s="1"/>
  <c r="AO302" i="3"/>
  <c r="AR302" i="3" s="1"/>
  <c r="AO384" i="3"/>
  <c r="AR384" i="3" s="1"/>
  <c r="AO89" i="3"/>
  <c r="AR89" i="3" s="1"/>
  <c r="AO581" i="3"/>
  <c r="AR581" i="3" s="1"/>
  <c r="AO286" i="3"/>
  <c r="AR286" i="3" s="1"/>
  <c r="AO380" i="3"/>
  <c r="AR380" i="3" s="1"/>
  <c r="AO416" i="3"/>
  <c r="AR416" i="3" s="1"/>
  <c r="AO448" i="3"/>
  <c r="AR448" i="3" s="1"/>
  <c r="AO480" i="3"/>
  <c r="AR480" i="3" s="1"/>
  <c r="AO406" i="3"/>
  <c r="AR406" i="3" s="1"/>
  <c r="AO111" i="3"/>
  <c r="AR111" i="3" s="1"/>
  <c r="AO426" i="3"/>
  <c r="AR426" i="3" s="1"/>
  <c r="AO131" i="3"/>
  <c r="AR131" i="3" s="1"/>
  <c r="AO446" i="3"/>
  <c r="AR446" i="3" s="1"/>
  <c r="AO151" i="3"/>
  <c r="AR151" i="3" s="1"/>
  <c r="AO390" i="3"/>
  <c r="AR390" i="3" s="1"/>
  <c r="AO95" i="3"/>
  <c r="AR95" i="3" s="1"/>
  <c r="AO469" i="3"/>
  <c r="AR469" i="3" s="1"/>
  <c r="AO174" i="3"/>
  <c r="AR174" i="3" s="1"/>
  <c r="AO645" i="3"/>
  <c r="AR645" i="3" s="1"/>
  <c r="AO350" i="3"/>
  <c r="AR350" i="3" s="1"/>
  <c r="AO453" i="3"/>
  <c r="AR453" i="3" s="1"/>
  <c r="AO158" i="3"/>
  <c r="AR158" i="3" s="1"/>
  <c r="AO549" i="3"/>
  <c r="AR549" i="3" s="1"/>
  <c r="AO254" i="3"/>
  <c r="AR254" i="3" s="1"/>
  <c r="AO650" i="3"/>
  <c r="AR650" i="3" s="1"/>
  <c r="AO606" i="3"/>
  <c r="AR606" i="3" s="1"/>
  <c r="AO311" i="3"/>
  <c r="AR311" i="3" s="1"/>
  <c r="AO648" i="3"/>
  <c r="AR648" i="3" s="1"/>
  <c r="AO617" i="3"/>
  <c r="AR617" i="3" s="1"/>
  <c r="AO374" i="3"/>
  <c r="AR374" i="3" s="1"/>
  <c r="AO192" i="3"/>
  <c r="AR192" i="3" s="1"/>
  <c r="AO257" i="3"/>
  <c r="AR257" i="3" s="1"/>
  <c r="AO123" i="3"/>
  <c r="AR123" i="3" s="1"/>
  <c r="AO206" i="3"/>
  <c r="AR206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<sst xmlns="http://schemas.openxmlformats.org/spreadsheetml/2006/main" count="1432" uniqueCount="118">
  <si>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</si>
  <si>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</si>
  <si>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</si>
  <si>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</si>
  <si>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</si>
  <si>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</si>
  <si>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</si>
  <si>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</si>
  <si>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</si>
  <si>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</si>
  <si>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</si>
  <si>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</si>
  <si>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</si>
  <si>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</si>
  <si>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</si>
  <si>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</si>
  <si>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</si>
  <si>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</si>
  <si>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</si>
  <si>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</si>
  <si>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</si>
  <si>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</si>
  <si>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</si>
  <si>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</si>
  <si>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</si>
  <si>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</si>
  <si>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</si>
  <si>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</si>
  <si>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</si>
  <si>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</si>
  <si>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</si>
  <si>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</si>
  <si>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</si>
  <si>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</si>
  <si>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</si>
  <si>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</si>
  <si>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</si>
  <si>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</si>
  <si>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</si>
  <si>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</si>
  <si>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</si>
  <si>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</si>
  <si>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</si>
  <si>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</si>
  <si>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</si>
  <si>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</si>
  <si>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</si>
  <si>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</si>
  <si>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</si>
  <si>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</si>
  <si>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</si>
  <si>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</si>
  <si>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</si>
  <si>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</si>
  <si>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</si>
  <si>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</si>
  <si>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</si>
  <si>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</si>
  <si>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</si>
  <si>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</si>
  <si>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</si>
  <si>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</si>
  <si>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</si>
  <si>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</si>
  <si>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</si>
  <si>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</si>
  <si>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</si>
  <si>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</si>
  <si>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</si>
  <si>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</si>
  <si>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</si>
  <si>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</si>
  <si>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</si>
  <si>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</si>
  <si>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</si>
  <si>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</si>
  <si>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</si>
  <si>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</si>
  <si>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</si>
  <si>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</si>
  <si>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</si>
  <si>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</si>
  <si>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</si>
  <si>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</si>
  <si>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</si>
  <si>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</si>
  <si>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</si>
  <si>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ZYO MN-00381</t>
  </si>
  <si>
    <t>ZAYO</t>
  </si>
  <si>
    <t>E 9th St and N Minnesota St</t>
  </si>
  <si>
    <t>St. Paul, MN</t>
  </si>
  <si>
    <t>101408</t>
  </si>
  <si>
    <t>MN-48C: ZAYO-ENT-S-1</t>
  </si>
  <si>
    <t>48</t>
  </si>
  <si>
    <t>1</t>
  </si>
  <si>
    <t>ISO-0173358</t>
  </si>
  <si>
    <t>National Public Radio, Inc.</t>
  </si>
  <si>
    <t>BB MPS-B200 (SE)</t>
  </si>
  <si>
    <t>Entrance lateral into 480 Cedar Ave</t>
  </si>
  <si>
    <t>Facing southeast</t>
  </si>
  <si>
    <t>BB MPS-B200 (NW)</t>
  </si>
  <si>
    <t>Facing northwest</t>
  </si>
  <si>
    <t>Anchovy Small Cell Lateral</t>
  </si>
  <si>
    <t>Mackerel Small Cell Lateral</t>
  </si>
  <si>
    <t>507608: ZAYO-ENT-S-1</t>
  </si>
  <si>
    <t>2.0</t>
  </si>
  <si>
    <t>178837</t>
  </si>
  <si>
    <t>VZW ANCHOVY SMALL CELL</t>
  </si>
  <si>
    <t>178848</t>
  </si>
  <si>
    <t>VZW MACKEREL SMALL CELL</t>
  </si>
  <si>
    <t>2</t>
  </si>
  <si>
    <t>2.1</t>
  </si>
  <si>
    <t>ISO-0207869</t>
  </si>
  <si>
    <t>Minnesota Public Radio</t>
  </si>
  <si>
    <t>571185: ZAYO-ENT-N-1</t>
  </si>
  <si>
    <t>Mike Wendinger</t>
  </si>
  <si>
    <t>3.0</t>
  </si>
  <si>
    <t>ISO-0249637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</si>
</sst>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7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27</xdr:col>
          <xdr:colOff>594360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53340</xdr:colOff>
          <xdr:row>2</xdr:row>
          <xdr:rowOff>106680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53340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45720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19" zoomScale="85" zoomScaleNormal="85" workbookViewId="0">
      <selection activeCell="B45" sqref="B45:C46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91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116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316" t="s">
        <v>87</v>
      </c>
      <c r="C41" s="316" t="s">
        <v>88</v>
      </c>
      <c r="D41" s="316" t="s">
        <v>89</v>
      </c>
      <c r="E41" s="316" t="s">
        <v>90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06"/>
      <c r="C45" s="307"/>
      <c r="D45" s="310" t="e">
        <f>CONCATENATE('Cable Info'!C25,"  ",'Cable Info'!C18,"   ",'Cable Info'!#REF!,"  ",'Cable Info'!C32,"   ",'Cable Info'!C39,"   ",'Cable Info'!C46)</f>
        <v>#REF!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89" t="s">
        <v>115</v>
      </c>
      <c r="C50" s="291">
        <v>43157</v>
      </c>
      <c r="D50" s="293"/>
      <c r="E50" s="294" t="str">
        <f>J10</f>
        <v>3.0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00"/>
      <c r="C53" s="301"/>
      <c r="D53" s="276" t="str">
        <f>J8</f>
        <v>101408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4" zoomScale="85" zoomScaleNormal="85" zoomScaleSheetLayoutView="85" workbookViewId="0">
      <selection activeCell="C25" sqref="C25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>
        <f>IF($B$34&gt;=K2,K2,"")</f>
        <v>1</v>
      </c>
      <c r="S2" s="150" t="e">
        <f>IF(R2="","",IF(R2&lt;=$E$36,VLOOKUP($E$35,$I$1:$J$4,2,FALSE),VLOOKUP($F$35,$I$1:$J$4,2,FALSE)))</f>
        <v>#N/A</v>
      </c>
      <c r="T2" s="150">
        <f>IF($B$41&gt;=K2,K2,"")</f>
        <v>1</v>
      </c>
      <c r="U2" s="150" t="e">
        <f>IF(T2="","",IF(T2&lt;=$E$43,VLOOKUP($E$42,$I$1:$J$4,2,FALSE),VLOOKUP($F$42,$I$1:$J$4,2,FALSE)))</f>
        <v>#N/A</v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6" t="str">
        <f>'Cover - Location Info'!J8</f>
        <v>101408</v>
      </c>
      <c r="C3" s="22"/>
      <c r="D3" s="22"/>
      <c r="E3" s="339" t="str">
        <f>'Cover - Location Info'!J10</f>
        <v>3.0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>
        <f t="shared" ref="R3:R66" si="6">IF($B$34&gt;=K3,K3,"")</f>
        <v>2</v>
      </c>
      <c r="S3" s="150" t="e">
        <f t="shared" ref="S3:S66" si="7">IF(R3="","",IF(R3&lt;=$E$36,VLOOKUP($E$35,$I$1:$J$4,2,FALSE),VLOOKUP($F$35,$I$1:$J$4,2,FALSE)))</f>
        <v>#N/A</v>
      </c>
      <c r="T3" s="150">
        <f t="shared" ref="T3:T66" si="8">IF($B$41&gt;=K3,K3,"")</f>
        <v>2</v>
      </c>
      <c r="U3" s="150" t="e">
        <f t="shared" ref="U3:U66" si="9">IF(T3="","",IF(T3&lt;=$E$43,VLOOKUP($E$42,$I$1:$J$4,2,FALSE),VLOOKUP($F$42,$I$1:$J$4,2,FALSE)))</f>
        <v>#N/A</v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>
        <f t="shared" si="6"/>
        <v>3</v>
      </c>
      <c r="S4" s="150" t="e">
        <f t="shared" si="7"/>
        <v>#N/A</v>
      </c>
      <c r="T4" s="150">
        <f t="shared" si="8"/>
        <v>3</v>
      </c>
      <c r="U4" s="150" t="e">
        <f t="shared" si="9"/>
        <v>#N/A</v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>
        <f t="shared" si="6"/>
        <v>4</v>
      </c>
      <c r="S5" s="150" t="e">
        <f t="shared" si="7"/>
        <v>#N/A</v>
      </c>
      <c r="T5" s="150">
        <f t="shared" si="8"/>
        <v>4</v>
      </c>
      <c r="U5" s="150" t="e">
        <f t="shared" si="9"/>
        <v>#N/A</v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>
        <f t="shared" si="6"/>
        <v>5</v>
      </c>
      <c r="S6" s="150" t="e">
        <f t="shared" si="7"/>
        <v>#N/A</v>
      </c>
      <c r="T6" s="150">
        <f t="shared" si="8"/>
        <v>5</v>
      </c>
      <c r="U6" s="150" t="e">
        <f t="shared" si="9"/>
        <v>#N/A</v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>
        <f t="shared" si="6"/>
        <v>6</v>
      </c>
      <c r="S7" s="150" t="e">
        <f t="shared" si="7"/>
        <v>#N/A</v>
      </c>
      <c r="T7" s="150">
        <f t="shared" si="8"/>
        <v>6</v>
      </c>
      <c r="U7" s="150" t="e">
        <f t="shared" si="9"/>
        <v>#N/A</v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>
        <f t="shared" si="6"/>
        <v>7</v>
      </c>
      <c r="S8" s="150" t="e">
        <f t="shared" si="7"/>
        <v>#N/A</v>
      </c>
      <c r="T8" s="150">
        <f t="shared" si="8"/>
        <v>7</v>
      </c>
      <c r="U8" s="150" t="e">
        <f t="shared" si="9"/>
        <v>#N/A</v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>
        <f t="shared" si="6"/>
        <v>8</v>
      </c>
      <c r="S9" s="150" t="e">
        <f t="shared" si="7"/>
        <v>#N/A</v>
      </c>
      <c r="T9" s="150">
        <f t="shared" si="8"/>
        <v>8</v>
      </c>
      <c r="U9" s="150" t="e">
        <f t="shared" si="9"/>
        <v>#N/A</v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>
        <f t="shared" si="6"/>
        <v>9</v>
      </c>
      <c r="S10" s="150" t="e">
        <f t="shared" si="7"/>
        <v>#N/A</v>
      </c>
      <c r="T10" s="150">
        <f t="shared" si="8"/>
        <v>9</v>
      </c>
      <c r="U10" s="150" t="e">
        <f t="shared" si="9"/>
        <v>#N/A</v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100</v>
      </c>
      <c r="D11" s="323" t="s">
        <v>101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>
        <f t="shared" si="6"/>
        <v>10</v>
      </c>
      <c r="S11" s="150" t="e">
        <f t="shared" si="7"/>
        <v>#N/A</v>
      </c>
      <c r="T11" s="150">
        <f t="shared" si="8"/>
        <v>10</v>
      </c>
      <c r="U11" s="150" t="e">
        <f t="shared" si="9"/>
        <v>#N/A</v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>
        <f t="shared" si="6"/>
        <v>11</v>
      </c>
      <c r="S12" s="150" t="e">
        <f t="shared" si="7"/>
        <v>#N/A</v>
      </c>
      <c r="T12" s="150">
        <f t="shared" si="8"/>
        <v>11</v>
      </c>
      <c r="U12" s="150" t="e">
        <f t="shared" si="9"/>
        <v>#N/A</v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8" t="s">
        <v>93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>
        <f t="shared" si="6"/>
        <v>12</v>
      </c>
      <c r="S13" s="150" t="e">
        <f t="shared" si="7"/>
        <v>#N/A</v>
      </c>
      <c r="T13" s="150">
        <f t="shared" si="8"/>
        <v>12</v>
      </c>
      <c r="U13" s="150" t="e">
        <f t="shared" si="9"/>
        <v>#N/A</v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>
        <f t="shared" si="6"/>
        <v>13</v>
      </c>
      <c r="S14" s="150" t="e">
        <f t="shared" si="7"/>
        <v>#N/A</v>
      </c>
      <c r="T14" s="150">
        <f t="shared" si="8"/>
        <v>13</v>
      </c>
      <c r="U14" s="150" t="e">
        <f t="shared" si="9"/>
        <v>#N/A</v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>
        <f t="shared" si="6"/>
        <v>14</v>
      </c>
      <c r="S15" s="150" t="e">
        <f t="shared" si="7"/>
        <v>#N/A</v>
      </c>
      <c r="T15" s="150">
        <f t="shared" si="8"/>
        <v>14</v>
      </c>
      <c r="U15" s="150" t="e">
        <f t="shared" si="9"/>
        <v>#N/A</v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>
        <f t="shared" si="6"/>
        <v>15</v>
      </c>
      <c r="S16" s="150" t="e">
        <f t="shared" si="7"/>
        <v>#N/A</v>
      </c>
      <c r="T16" s="150">
        <f t="shared" si="8"/>
        <v>15</v>
      </c>
      <c r="U16" s="150" t="e">
        <f t="shared" si="9"/>
        <v>#N/A</v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>
        <f t="shared" si="6"/>
        <v>16</v>
      </c>
      <c r="S17" s="150" t="e">
        <f t="shared" si="7"/>
        <v>#N/A</v>
      </c>
      <c r="T17" s="150">
        <f t="shared" si="8"/>
        <v>16</v>
      </c>
      <c r="U17" s="150" t="e">
        <f t="shared" si="9"/>
        <v>#N/A</v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97</v>
      </c>
      <c r="D18" s="323" t="s">
        <v>99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>
        <f t="shared" si="6"/>
        <v>17</v>
      </c>
      <c r="S18" s="150" t="e">
        <f t="shared" si="7"/>
        <v>#N/A</v>
      </c>
      <c r="T18" s="150">
        <f t="shared" si="8"/>
        <v>17</v>
      </c>
      <c r="U18" s="150" t="e">
        <f t="shared" si="9"/>
        <v>#N/A</v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>
        <f t="shared" si="6"/>
        <v>18</v>
      </c>
      <c r="S19" s="150" t="e">
        <f t="shared" si="7"/>
        <v>#N/A</v>
      </c>
      <c r="T19" s="150">
        <f t="shared" si="8"/>
        <v>18</v>
      </c>
      <c r="U19" s="150" t="e">
        <f t="shared" si="9"/>
        <v>#N/A</v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8" t="s">
        <v>93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>
        <f t="shared" si="6"/>
        <v>19</v>
      </c>
      <c r="S20" s="150" t="e">
        <f t="shared" si="7"/>
        <v>#N/A</v>
      </c>
      <c r="T20" s="150">
        <f t="shared" si="8"/>
        <v>19</v>
      </c>
      <c r="U20" s="150" t="e">
        <f t="shared" si="9"/>
        <v>#N/A</v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>
        <f t="shared" si="6"/>
        <v>20</v>
      </c>
      <c r="S21" s="150" t="e">
        <f t="shared" si="7"/>
        <v>#N/A</v>
      </c>
      <c r="T21" s="150">
        <f t="shared" si="8"/>
        <v>20</v>
      </c>
      <c r="U21" s="150" t="e">
        <f t="shared" si="9"/>
        <v>#N/A</v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>
        <f t="shared" si="6"/>
        <v>21</v>
      </c>
      <c r="S22" s="150" t="e">
        <f t="shared" si="7"/>
        <v>#N/A</v>
      </c>
      <c r="T22" s="150">
        <f t="shared" si="8"/>
        <v>21</v>
      </c>
      <c r="U22" s="150" t="e">
        <f t="shared" si="9"/>
        <v>#N/A</v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>
        <f t="shared" si="6"/>
        <v>22</v>
      </c>
      <c r="S23" s="150" t="e">
        <f t="shared" si="7"/>
        <v>#N/A</v>
      </c>
      <c r="T23" s="150">
        <f t="shared" si="8"/>
        <v>22</v>
      </c>
      <c r="U23" s="150" t="e">
        <f t="shared" si="9"/>
        <v>#N/A</v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>
        <f t="shared" si="6"/>
        <v>23</v>
      </c>
      <c r="S24" s="150" t="e">
        <f t="shared" si="7"/>
        <v>#N/A</v>
      </c>
      <c r="T24" s="150">
        <f t="shared" si="8"/>
        <v>23</v>
      </c>
      <c r="U24" s="150" t="e">
        <f t="shared" si="9"/>
        <v>#N/A</v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 t="s">
        <v>92</v>
      </c>
      <c r="D25" s="323" t="s">
        <v>98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>
        <f t="shared" si="6"/>
        <v>24</v>
      </c>
      <c r="S25" s="150" t="e">
        <f t="shared" si="7"/>
        <v>#N/A</v>
      </c>
      <c r="T25" s="150">
        <f t="shared" si="8"/>
        <v>24</v>
      </c>
      <c r="U25" s="150" t="e">
        <f t="shared" si="9"/>
        <v>#N/A</v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>
        <f t="shared" si="6"/>
        <v>25</v>
      </c>
      <c r="S26" s="150" t="e">
        <f t="shared" si="7"/>
        <v>#N/A</v>
      </c>
      <c r="T26" s="150">
        <f t="shared" si="8"/>
        <v>25</v>
      </c>
      <c r="U26" s="150" t="e">
        <f t="shared" si="9"/>
        <v>#N/A</v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8" t="s">
        <v>93</v>
      </c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>
        <f t="shared" si="6"/>
        <v>26</v>
      </c>
      <c r="S27" s="150" t="e">
        <f t="shared" si="7"/>
        <v>#N/A</v>
      </c>
      <c r="T27" s="150">
        <f t="shared" si="8"/>
        <v>26</v>
      </c>
      <c r="U27" s="150" t="e">
        <f t="shared" si="9"/>
        <v>#N/A</v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>
        <f t="shared" si="6"/>
        <v>27</v>
      </c>
      <c r="S28" s="150" t="e">
        <f t="shared" si="7"/>
        <v>#N/A</v>
      </c>
      <c r="T28" s="150">
        <f t="shared" si="8"/>
        <v>27</v>
      </c>
      <c r="U28" s="150" t="e">
        <f t="shared" si="9"/>
        <v>#N/A</v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>
        <f t="shared" si="6"/>
        <v>28</v>
      </c>
      <c r="S29" s="150" t="e">
        <f t="shared" si="7"/>
        <v>#N/A</v>
      </c>
      <c r="T29" s="150">
        <f t="shared" si="8"/>
        <v>28</v>
      </c>
      <c r="U29" s="150" t="e">
        <f t="shared" si="9"/>
        <v>#N/A</v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>
        <f t="shared" si="6"/>
        <v>29</v>
      </c>
      <c r="S30" s="150" t="e">
        <f t="shared" si="7"/>
        <v>#N/A</v>
      </c>
      <c r="T30" s="150">
        <f t="shared" si="8"/>
        <v>29</v>
      </c>
      <c r="U30" s="150" t="e">
        <f t="shared" si="9"/>
        <v>#N/A</v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>
        <f t="shared" si="6"/>
        <v>30</v>
      </c>
      <c r="S31" s="150" t="e">
        <f t="shared" si="7"/>
        <v>#N/A</v>
      </c>
      <c r="T31" s="150">
        <f t="shared" si="8"/>
        <v>30</v>
      </c>
      <c r="U31" s="150" t="e">
        <f t="shared" si="9"/>
        <v>#N/A</v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 t="s">
        <v>114</v>
      </c>
      <c r="D32" s="323" t="s">
        <v>102</v>
      </c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>
        <f t="shared" si="6"/>
        <v>31</v>
      </c>
      <c r="S32" s="150" t="e">
        <f t="shared" si="7"/>
        <v>#N/A</v>
      </c>
      <c r="T32" s="150">
        <f t="shared" si="8"/>
        <v>31</v>
      </c>
      <c r="U32" s="150" t="e">
        <f t="shared" si="9"/>
        <v>#N/A</v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>
        <f t="shared" si="6"/>
        <v>32</v>
      </c>
      <c r="S33" s="150" t="e">
        <f t="shared" si="7"/>
        <v>#N/A</v>
      </c>
      <c r="T33" s="150">
        <f t="shared" si="8"/>
        <v>32</v>
      </c>
      <c r="U33" s="150" t="e">
        <f t="shared" si="9"/>
        <v>#N/A</v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8" t="s">
        <v>93</v>
      </c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>
        <f t="shared" si="6"/>
        <v>33</v>
      </c>
      <c r="S34" s="150" t="e">
        <f t="shared" si="7"/>
        <v>#N/A</v>
      </c>
      <c r="T34" s="150">
        <f t="shared" si="8"/>
        <v>33</v>
      </c>
      <c r="U34" s="150" t="e">
        <f t="shared" si="9"/>
        <v>#N/A</v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>
        <f t="shared" si="6"/>
        <v>34</v>
      </c>
      <c r="S35" s="150" t="e">
        <f t="shared" si="7"/>
        <v>#N/A</v>
      </c>
      <c r="T35" s="150">
        <f t="shared" si="8"/>
        <v>34</v>
      </c>
      <c r="U35" s="150" t="e">
        <f t="shared" si="9"/>
        <v>#N/A</v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>
        <f t="shared" si="6"/>
        <v>35</v>
      </c>
      <c r="S36" s="150" t="e">
        <f t="shared" si="7"/>
        <v>#N/A</v>
      </c>
      <c r="T36" s="150">
        <f t="shared" si="8"/>
        <v>35</v>
      </c>
      <c r="U36" s="150" t="e">
        <f t="shared" si="9"/>
        <v>#N/A</v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>
        <f t="shared" si="6"/>
        <v>36</v>
      </c>
      <c r="S37" s="150" t="e">
        <f t="shared" si="7"/>
        <v>#N/A</v>
      </c>
      <c r="T37" s="150">
        <f t="shared" si="8"/>
        <v>36</v>
      </c>
      <c r="U37" s="150" t="e">
        <f t="shared" si="9"/>
        <v>#N/A</v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>
        <f t="shared" si="6"/>
        <v>37</v>
      </c>
      <c r="S38" s="150" t="e">
        <f t="shared" si="7"/>
        <v>#N/A</v>
      </c>
      <c r="T38" s="150">
        <f t="shared" si="8"/>
        <v>37</v>
      </c>
      <c r="U38" s="150" t="e">
        <f t="shared" si="9"/>
        <v>#N/A</v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 t="s">
        <v>104</v>
      </c>
      <c r="D39" s="323" t="s">
        <v>103</v>
      </c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>
        <f t="shared" si="6"/>
        <v>38</v>
      </c>
      <c r="S39" s="150" t="e">
        <f t="shared" si="7"/>
        <v>#N/A</v>
      </c>
      <c r="T39" s="150">
        <f t="shared" si="8"/>
        <v>38</v>
      </c>
      <c r="U39" s="150" t="e">
        <f t="shared" si="9"/>
        <v>#N/A</v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>
        <f t="shared" si="6"/>
        <v>39</v>
      </c>
      <c r="S40" s="150" t="e">
        <f t="shared" si="7"/>
        <v>#N/A</v>
      </c>
      <c r="T40" s="150">
        <f t="shared" si="8"/>
        <v>39</v>
      </c>
      <c r="U40" s="150" t="e">
        <f t="shared" si="9"/>
        <v>#N/A</v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8" t="s">
        <v>93</v>
      </c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>
        <f t="shared" si="6"/>
        <v>40</v>
      </c>
      <c r="S41" s="150" t="e">
        <f t="shared" si="7"/>
        <v>#N/A</v>
      </c>
      <c r="T41" s="150">
        <f t="shared" si="8"/>
        <v>40</v>
      </c>
      <c r="U41" s="150" t="e">
        <f t="shared" si="9"/>
        <v>#N/A</v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>
        <f t="shared" si="6"/>
        <v>41</v>
      </c>
      <c r="S42" s="150" t="e">
        <f t="shared" si="7"/>
        <v>#N/A</v>
      </c>
      <c r="T42" s="150">
        <f t="shared" si="8"/>
        <v>41</v>
      </c>
      <c r="U42" s="150" t="e">
        <f t="shared" si="9"/>
        <v>#N/A</v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>
        <f t="shared" si="6"/>
        <v>42</v>
      </c>
      <c r="S43" s="150" t="e">
        <f t="shared" si="7"/>
        <v>#N/A</v>
      </c>
      <c r="T43" s="150">
        <f t="shared" si="8"/>
        <v>42</v>
      </c>
      <c r="U43" s="150" t="e">
        <f t="shared" si="9"/>
        <v>#N/A</v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>
        <f t="shared" si="6"/>
        <v>43</v>
      </c>
      <c r="S44" s="150" t="e">
        <f t="shared" si="7"/>
        <v>#N/A</v>
      </c>
      <c r="T44" s="150">
        <f t="shared" si="8"/>
        <v>43</v>
      </c>
      <c r="U44" s="150" t="e">
        <f t="shared" si="9"/>
        <v>#N/A</v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>
        <f t="shared" si="6"/>
        <v>44</v>
      </c>
      <c r="S45" s="150" t="e">
        <f t="shared" si="7"/>
        <v>#N/A</v>
      </c>
      <c r="T45" s="150">
        <f t="shared" si="8"/>
        <v>44</v>
      </c>
      <c r="U45" s="150" t="e">
        <f t="shared" si="9"/>
        <v>#N/A</v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>
        <f t="shared" si="6"/>
        <v>45</v>
      </c>
      <c r="S46" s="150" t="e">
        <f t="shared" si="7"/>
        <v>#N/A</v>
      </c>
      <c r="T46" s="150">
        <f t="shared" si="8"/>
        <v>45</v>
      </c>
      <c r="U46" s="150" t="e">
        <f t="shared" si="9"/>
        <v>#N/A</v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>
        <f t="shared" si="6"/>
        <v>46</v>
      </c>
      <c r="S47" s="150" t="e">
        <f t="shared" si="7"/>
        <v>#N/A</v>
      </c>
      <c r="T47" s="150">
        <f t="shared" si="8"/>
        <v>46</v>
      </c>
      <c r="U47" s="150" t="e">
        <f t="shared" si="9"/>
        <v>#N/A</v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>
        <f t="shared" si="6"/>
        <v>47</v>
      </c>
      <c r="S48" s="150" t="e">
        <f t="shared" si="7"/>
        <v>#N/A</v>
      </c>
      <c r="T48" s="150">
        <f t="shared" si="8"/>
        <v>47</v>
      </c>
      <c r="U48" s="150" t="e">
        <f t="shared" si="9"/>
        <v>#N/A</v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>
        <f t="shared" si="6"/>
        <v>48</v>
      </c>
      <c r="S49" s="150" t="e">
        <f t="shared" si="7"/>
        <v>#N/A</v>
      </c>
      <c r="T49" s="150">
        <f t="shared" si="8"/>
        <v>48</v>
      </c>
      <c r="U49" s="150" t="e">
        <f t="shared" si="9"/>
        <v>#N/A</v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>
        <f t="shared" si="6"/>
        <v>49</v>
      </c>
      <c r="S50" s="150" t="e">
        <f t="shared" si="7"/>
        <v>#N/A</v>
      </c>
      <c r="T50" s="150">
        <f t="shared" si="8"/>
        <v>49</v>
      </c>
      <c r="U50" s="150" t="e">
        <f t="shared" si="9"/>
        <v>#N/A</v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>
        <f t="shared" si="6"/>
        <v>50</v>
      </c>
      <c r="S51" s="150" t="e">
        <f t="shared" si="7"/>
        <v>#N/A</v>
      </c>
      <c r="T51" s="150">
        <f t="shared" si="8"/>
        <v>50</v>
      </c>
      <c r="U51" s="150" t="e">
        <f t="shared" si="9"/>
        <v>#N/A</v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>
        <f t="shared" si="6"/>
        <v>51</v>
      </c>
      <c r="S52" s="150" t="e">
        <f t="shared" si="7"/>
        <v>#N/A</v>
      </c>
      <c r="T52" s="150">
        <f t="shared" si="8"/>
        <v>51</v>
      </c>
      <c r="U52" s="150" t="e">
        <f t="shared" si="9"/>
        <v>#N/A</v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>
        <f t="shared" si="6"/>
        <v>52</v>
      </c>
      <c r="S53" s="150" t="e">
        <f t="shared" si="7"/>
        <v>#N/A</v>
      </c>
      <c r="T53" s="150">
        <f t="shared" si="8"/>
        <v>52</v>
      </c>
      <c r="U53" s="150" t="e">
        <f t="shared" si="9"/>
        <v>#N/A</v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>
        <f t="shared" si="6"/>
        <v>53</v>
      </c>
      <c r="S54" s="150" t="e">
        <f t="shared" si="7"/>
        <v>#N/A</v>
      </c>
      <c r="T54" s="150">
        <f t="shared" si="8"/>
        <v>53</v>
      </c>
      <c r="U54" s="150" t="e">
        <f t="shared" si="9"/>
        <v>#N/A</v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>
        <f t="shared" si="6"/>
        <v>54</v>
      </c>
      <c r="S55" s="150" t="e">
        <f t="shared" si="7"/>
        <v>#N/A</v>
      </c>
      <c r="T55" s="150">
        <f t="shared" si="8"/>
        <v>54</v>
      </c>
      <c r="U55" s="150" t="e">
        <f t="shared" si="9"/>
        <v>#N/A</v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>
        <f t="shared" si="6"/>
        <v>55</v>
      </c>
      <c r="S56" s="150" t="e">
        <f t="shared" si="7"/>
        <v>#N/A</v>
      </c>
      <c r="T56" s="150">
        <f t="shared" si="8"/>
        <v>55</v>
      </c>
      <c r="U56" s="150" t="e">
        <f t="shared" si="9"/>
        <v>#N/A</v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>
        <f t="shared" si="6"/>
        <v>56</v>
      </c>
      <c r="S57" s="150" t="e">
        <f t="shared" si="7"/>
        <v>#N/A</v>
      </c>
      <c r="T57" s="150">
        <f t="shared" si="8"/>
        <v>56</v>
      </c>
      <c r="U57" s="150" t="e">
        <f t="shared" si="9"/>
        <v>#N/A</v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>
        <f t="shared" si="6"/>
        <v>57</v>
      </c>
      <c r="S58" s="150" t="e">
        <f t="shared" si="7"/>
        <v>#N/A</v>
      </c>
      <c r="T58" s="150">
        <f t="shared" si="8"/>
        <v>57</v>
      </c>
      <c r="U58" s="150" t="e">
        <f t="shared" si="9"/>
        <v>#N/A</v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>
        <f t="shared" si="6"/>
        <v>58</v>
      </c>
      <c r="S59" s="150" t="e">
        <f t="shared" si="7"/>
        <v>#N/A</v>
      </c>
      <c r="T59" s="150">
        <f t="shared" si="8"/>
        <v>58</v>
      </c>
      <c r="U59" s="150" t="e">
        <f t="shared" si="9"/>
        <v>#N/A</v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>
        <f t="shared" si="6"/>
        <v>59</v>
      </c>
      <c r="S60" s="150" t="e">
        <f t="shared" si="7"/>
        <v>#N/A</v>
      </c>
      <c r="T60" s="150">
        <f t="shared" si="8"/>
        <v>59</v>
      </c>
      <c r="U60" s="150" t="e">
        <f t="shared" si="9"/>
        <v>#N/A</v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>
        <f t="shared" si="6"/>
        <v>60</v>
      </c>
      <c r="S61" s="150" t="e">
        <f t="shared" si="7"/>
        <v>#N/A</v>
      </c>
      <c r="T61" s="150">
        <f t="shared" si="8"/>
        <v>60</v>
      </c>
      <c r="U61" s="150" t="e">
        <f t="shared" si="9"/>
        <v>#N/A</v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>
        <f t="shared" si="6"/>
        <v>61</v>
      </c>
      <c r="S62" s="150" t="e">
        <f t="shared" si="7"/>
        <v>#N/A</v>
      </c>
      <c r="T62" s="150">
        <f t="shared" si="8"/>
        <v>61</v>
      </c>
      <c r="U62" s="150" t="e">
        <f t="shared" si="9"/>
        <v>#N/A</v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>
        <f t="shared" si="6"/>
        <v>62</v>
      </c>
      <c r="S63" s="150" t="e">
        <f t="shared" si="7"/>
        <v>#N/A</v>
      </c>
      <c r="T63" s="150">
        <f t="shared" si="8"/>
        <v>62</v>
      </c>
      <c r="U63" s="150" t="e">
        <f t="shared" si="9"/>
        <v>#N/A</v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>
        <f t="shared" si="6"/>
        <v>63</v>
      </c>
      <c r="S64" s="150" t="e">
        <f t="shared" si="7"/>
        <v>#N/A</v>
      </c>
      <c r="T64" s="150">
        <f t="shared" si="8"/>
        <v>63</v>
      </c>
      <c r="U64" s="150" t="e">
        <f t="shared" si="9"/>
        <v>#N/A</v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>
        <f t="shared" si="6"/>
        <v>64</v>
      </c>
      <c r="S65" s="150" t="e">
        <f t="shared" si="7"/>
        <v>#N/A</v>
      </c>
      <c r="T65" s="150">
        <f t="shared" si="8"/>
        <v>64</v>
      </c>
      <c r="U65" s="150" t="e">
        <f t="shared" si="9"/>
        <v>#N/A</v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>
        <f t="shared" si="6"/>
        <v>65</v>
      </c>
      <c r="S66" s="150" t="e">
        <f t="shared" si="7"/>
        <v>#N/A</v>
      </c>
      <c r="T66" s="150">
        <f t="shared" si="8"/>
        <v>65</v>
      </c>
      <c r="U66" s="150" t="e">
        <f t="shared" si="9"/>
        <v>#N/A</v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>
        <f t="shared" ref="R67:R130" si="18">IF($B$34&gt;=K67,K67,"")</f>
        <v>66</v>
      </c>
      <c r="S67" s="150" t="e">
        <f t="shared" ref="S67:S130" si="19">IF(R67="","",IF(R67&lt;=$E$36,VLOOKUP($E$35,$I$1:$J$4,2,FALSE),VLOOKUP($F$35,$I$1:$J$4,2,FALSE)))</f>
        <v>#N/A</v>
      </c>
      <c r="T67" s="150">
        <f t="shared" ref="T67:T130" si="20">IF($B$41&gt;=K67,K67,"")</f>
        <v>66</v>
      </c>
      <c r="U67" s="150" t="e">
        <f t="shared" ref="U67:U130" si="21">IF(T67="","",IF(T67&lt;=$E$43,VLOOKUP($E$42,$I$1:$J$4,2,FALSE),VLOOKUP($F$42,$I$1:$J$4,2,FALSE)))</f>
        <v>#N/A</v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>
        <f t="shared" si="18"/>
        <v>67</v>
      </c>
      <c r="S68" s="150" t="e">
        <f t="shared" si="19"/>
        <v>#N/A</v>
      </c>
      <c r="T68" s="150">
        <f t="shared" si="20"/>
        <v>67</v>
      </c>
      <c r="U68" s="150" t="e">
        <f t="shared" si="21"/>
        <v>#N/A</v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>
        <f t="shared" si="18"/>
        <v>68</v>
      </c>
      <c r="S69" s="150" t="e">
        <f t="shared" si="19"/>
        <v>#N/A</v>
      </c>
      <c r="T69" s="150">
        <f t="shared" si="20"/>
        <v>68</v>
      </c>
      <c r="U69" s="150" t="e">
        <f t="shared" si="21"/>
        <v>#N/A</v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>
        <f t="shared" si="18"/>
        <v>69</v>
      </c>
      <c r="S70" s="150" t="e">
        <f t="shared" si="19"/>
        <v>#N/A</v>
      </c>
      <c r="T70" s="150">
        <f t="shared" si="20"/>
        <v>69</v>
      </c>
      <c r="U70" s="150" t="e">
        <f t="shared" si="21"/>
        <v>#N/A</v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>
        <f t="shared" si="18"/>
        <v>70</v>
      </c>
      <c r="S71" s="150" t="e">
        <f t="shared" si="19"/>
        <v>#N/A</v>
      </c>
      <c r="T71" s="150">
        <f t="shared" si="20"/>
        <v>70</v>
      </c>
      <c r="U71" s="150" t="e">
        <f t="shared" si="21"/>
        <v>#N/A</v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>
        <f t="shared" si="18"/>
        <v>71</v>
      </c>
      <c r="S72" s="150" t="e">
        <f t="shared" si="19"/>
        <v>#N/A</v>
      </c>
      <c r="T72" s="150">
        <f t="shared" si="20"/>
        <v>71</v>
      </c>
      <c r="U72" s="150" t="e">
        <f t="shared" si="21"/>
        <v>#N/A</v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>
        <f t="shared" si="18"/>
        <v>72</v>
      </c>
      <c r="S73" s="150" t="e">
        <f t="shared" si="19"/>
        <v>#N/A</v>
      </c>
      <c r="T73" s="150">
        <f t="shared" si="20"/>
        <v>72</v>
      </c>
      <c r="U73" s="150" t="e">
        <f t="shared" si="21"/>
        <v>#N/A</v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>
        <f t="shared" si="18"/>
        <v>73</v>
      </c>
      <c r="S74" s="150" t="e">
        <f t="shared" si="19"/>
        <v>#N/A</v>
      </c>
      <c r="T74" s="150">
        <f t="shared" si="20"/>
        <v>73</v>
      </c>
      <c r="U74" s="150" t="e">
        <f t="shared" si="21"/>
        <v>#N/A</v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>
        <f t="shared" si="18"/>
        <v>74</v>
      </c>
      <c r="S75" s="150" t="e">
        <f t="shared" si="19"/>
        <v>#N/A</v>
      </c>
      <c r="T75" s="150">
        <f t="shared" si="20"/>
        <v>74</v>
      </c>
      <c r="U75" s="150" t="e">
        <f t="shared" si="21"/>
        <v>#N/A</v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>
        <f t="shared" si="18"/>
        <v>75</v>
      </c>
      <c r="S76" s="150" t="e">
        <f t="shared" si="19"/>
        <v>#N/A</v>
      </c>
      <c r="T76" s="150">
        <f t="shared" si="20"/>
        <v>75</v>
      </c>
      <c r="U76" s="150" t="e">
        <f t="shared" si="21"/>
        <v>#N/A</v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>
        <f t="shared" si="18"/>
        <v>76</v>
      </c>
      <c r="S77" s="150" t="e">
        <f t="shared" si="19"/>
        <v>#N/A</v>
      </c>
      <c r="T77" s="150">
        <f t="shared" si="20"/>
        <v>76</v>
      </c>
      <c r="U77" s="150" t="e">
        <f t="shared" si="21"/>
        <v>#N/A</v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>
        <f t="shared" si="18"/>
        <v>77</v>
      </c>
      <c r="S78" s="150" t="e">
        <f t="shared" si="19"/>
        <v>#N/A</v>
      </c>
      <c r="T78" s="150">
        <f t="shared" si="20"/>
        <v>77</v>
      </c>
      <c r="U78" s="150" t="e">
        <f t="shared" si="21"/>
        <v>#N/A</v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>
        <f t="shared" si="18"/>
        <v>78</v>
      </c>
      <c r="S79" s="150" t="e">
        <f t="shared" si="19"/>
        <v>#N/A</v>
      </c>
      <c r="T79" s="150">
        <f t="shared" si="20"/>
        <v>78</v>
      </c>
      <c r="U79" s="150" t="e">
        <f t="shared" si="21"/>
        <v>#N/A</v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>
        <f t="shared" si="18"/>
        <v>79</v>
      </c>
      <c r="S80" s="150" t="e">
        <f t="shared" si="19"/>
        <v>#N/A</v>
      </c>
      <c r="T80" s="150">
        <f t="shared" si="20"/>
        <v>79</v>
      </c>
      <c r="U80" s="150" t="e">
        <f t="shared" si="21"/>
        <v>#N/A</v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>
        <f t="shared" si="18"/>
        <v>80</v>
      </c>
      <c r="S81" s="150" t="e">
        <f t="shared" si="19"/>
        <v>#N/A</v>
      </c>
      <c r="T81" s="150">
        <f t="shared" si="20"/>
        <v>80</v>
      </c>
      <c r="U81" s="150" t="e">
        <f t="shared" si="21"/>
        <v>#N/A</v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>
        <f t="shared" si="18"/>
        <v>81</v>
      </c>
      <c r="S82" s="150" t="e">
        <f t="shared" si="19"/>
        <v>#N/A</v>
      </c>
      <c r="T82" s="150">
        <f t="shared" si="20"/>
        <v>81</v>
      </c>
      <c r="U82" s="150" t="e">
        <f t="shared" si="21"/>
        <v>#N/A</v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>
        <f t="shared" si="18"/>
        <v>82</v>
      </c>
      <c r="S83" s="150" t="e">
        <f t="shared" si="19"/>
        <v>#N/A</v>
      </c>
      <c r="T83" s="150">
        <f t="shared" si="20"/>
        <v>82</v>
      </c>
      <c r="U83" s="150" t="e">
        <f t="shared" si="21"/>
        <v>#N/A</v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>
        <f t="shared" si="18"/>
        <v>83</v>
      </c>
      <c r="S84" s="150" t="e">
        <f t="shared" si="19"/>
        <v>#N/A</v>
      </c>
      <c r="T84" s="150">
        <f t="shared" si="20"/>
        <v>83</v>
      </c>
      <c r="U84" s="150" t="e">
        <f t="shared" si="21"/>
        <v>#N/A</v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>
        <f t="shared" si="18"/>
        <v>84</v>
      </c>
      <c r="S85" s="150" t="e">
        <f t="shared" si="19"/>
        <v>#N/A</v>
      </c>
      <c r="T85" s="150">
        <f t="shared" si="20"/>
        <v>84</v>
      </c>
      <c r="U85" s="150" t="e">
        <f t="shared" si="21"/>
        <v>#N/A</v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>
        <f t="shared" si="18"/>
        <v>85</v>
      </c>
      <c r="S86" s="150" t="e">
        <f t="shared" si="19"/>
        <v>#N/A</v>
      </c>
      <c r="T86" s="150">
        <f t="shared" si="20"/>
        <v>85</v>
      </c>
      <c r="U86" s="150" t="e">
        <f t="shared" si="21"/>
        <v>#N/A</v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>
        <f t="shared" si="18"/>
        <v>86</v>
      </c>
      <c r="S87" s="150" t="e">
        <f t="shared" si="19"/>
        <v>#N/A</v>
      </c>
      <c r="T87" s="150">
        <f t="shared" si="20"/>
        <v>86</v>
      </c>
      <c r="U87" s="150" t="e">
        <f t="shared" si="21"/>
        <v>#N/A</v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>
        <f t="shared" si="18"/>
        <v>87</v>
      </c>
      <c r="S88" s="150" t="e">
        <f t="shared" si="19"/>
        <v>#N/A</v>
      </c>
      <c r="T88" s="150">
        <f t="shared" si="20"/>
        <v>87</v>
      </c>
      <c r="U88" s="150" t="e">
        <f t="shared" si="21"/>
        <v>#N/A</v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>
        <f t="shared" si="18"/>
        <v>88</v>
      </c>
      <c r="S89" s="150" t="e">
        <f t="shared" si="19"/>
        <v>#N/A</v>
      </c>
      <c r="T89" s="150">
        <f t="shared" si="20"/>
        <v>88</v>
      </c>
      <c r="U89" s="150" t="e">
        <f t="shared" si="21"/>
        <v>#N/A</v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>
        <f t="shared" si="18"/>
        <v>89</v>
      </c>
      <c r="S90" s="150" t="e">
        <f t="shared" si="19"/>
        <v>#N/A</v>
      </c>
      <c r="T90" s="150">
        <f t="shared" si="20"/>
        <v>89</v>
      </c>
      <c r="U90" s="150" t="e">
        <f t="shared" si="21"/>
        <v>#N/A</v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>
        <f t="shared" si="18"/>
        <v>90</v>
      </c>
      <c r="S91" s="150" t="e">
        <f t="shared" si="19"/>
        <v>#N/A</v>
      </c>
      <c r="T91" s="150">
        <f t="shared" si="20"/>
        <v>90</v>
      </c>
      <c r="U91" s="150" t="e">
        <f t="shared" si="21"/>
        <v>#N/A</v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>
        <f t="shared" si="18"/>
        <v>91</v>
      </c>
      <c r="S92" s="150" t="e">
        <f t="shared" si="19"/>
        <v>#N/A</v>
      </c>
      <c r="T92" s="150">
        <f t="shared" si="20"/>
        <v>91</v>
      </c>
      <c r="U92" s="150" t="e">
        <f t="shared" si="21"/>
        <v>#N/A</v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>
        <f t="shared" si="18"/>
        <v>92</v>
      </c>
      <c r="S93" s="150" t="e">
        <f t="shared" si="19"/>
        <v>#N/A</v>
      </c>
      <c r="T93" s="150">
        <f t="shared" si="20"/>
        <v>92</v>
      </c>
      <c r="U93" s="150" t="e">
        <f t="shared" si="21"/>
        <v>#N/A</v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>
        <f t="shared" si="18"/>
        <v>93</v>
      </c>
      <c r="S94" s="150" t="e">
        <f t="shared" si="19"/>
        <v>#N/A</v>
      </c>
      <c r="T94" s="150">
        <f t="shared" si="20"/>
        <v>93</v>
      </c>
      <c r="U94" s="150" t="e">
        <f t="shared" si="21"/>
        <v>#N/A</v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>
        <f t="shared" si="18"/>
        <v>94</v>
      </c>
      <c r="S95" s="150" t="e">
        <f t="shared" si="19"/>
        <v>#N/A</v>
      </c>
      <c r="T95" s="150">
        <f t="shared" si="20"/>
        <v>94</v>
      </c>
      <c r="U95" s="150" t="e">
        <f t="shared" si="21"/>
        <v>#N/A</v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>
        <f t="shared" si="18"/>
        <v>95</v>
      </c>
      <c r="S96" s="150" t="e">
        <f t="shared" si="19"/>
        <v>#N/A</v>
      </c>
      <c r="T96" s="150">
        <f t="shared" si="20"/>
        <v>95</v>
      </c>
      <c r="U96" s="150" t="e">
        <f t="shared" si="21"/>
        <v>#N/A</v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>
        <f t="shared" si="18"/>
        <v>96</v>
      </c>
      <c r="S97" s="150" t="e">
        <f t="shared" si="19"/>
        <v>#N/A</v>
      </c>
      <c r="T97" s="150">
        <f t="shared" si="20"/>
        <v>96</v>
      </c>
      <c r="U97" s="150" t="e">
        <f t="shared" si="21"/>
        <v>#N/A</v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>
        <f t="shared" si="18"/>
        <v>97</v>
      </c>
      <c r="S98" s="150" t="e">
        <f t="shared" si="19"/>
        <v>#N/A</v>
      </c>
      <c r="T98" s="150">
        <f t="shared" si="20"/>
        <v>97</v>
      </c>
      <c r="U98" s="150" t="e">
        <f t="shared" si="21"/>
        <v>#N/A</v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>
        <f t="shared" si="18"/>
        <v>98</v>
      </c>
      <c r="S99" s="150" t="e">
        <f t="shared" si="19"/>
        <v>#N/A</v>
      </c>
      <c r="T99" s="150">
        <f t="shared" si="20"/>
        <v>98</v>
      </c>
      <c r="U99" s="150" t="e">
        <f t="shared" si="21"/>
        <v>#N/A</v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>
        <f t="shared" si="18"/>
        <v>99</v>
      </c>
      <c r="S100" s="150" t="e">
        <f t="shared" si="19"/>
        <v>#N/A</v>
      </c>
      <c r="T100" s="150">
        <f t="shared" si="20"/>
        <v>99</v>
      </c>
      <c r="U100" s="150" t="e">
        <f t="shared" si="21"/>
        <v>#N/A</v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>
        <f t="shared" si="18"/>
        <v>100</v>
      </c>
      <c r="S101" s="150" t="e">
        <f t="shared" si="19"/>
        <v>#N/A</v>
      </c>
      <c r="T101" s="150">
        <f t="shared" si="20"/>
        <v>100</v>
      </c>
      <c r="U101" s="150" t="e">
        <f t="shared" si="21"/>
        <v>#N/A</v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>
        <f t="shared" si="18"/>
        <v>101</v>
      </c>
      <c r="S102" s="150" t="e">
        <f t="shared" si="19"/>
        <v>#N/A</v>
      </c>
      <c r="T102" s="150">
        <f t="shared" si="20"/>
        <v>101</v>
      </c>
      <c r="U102" s="150" t="e">
        <f t="shared" si="21"/>
        <v>#N/A</v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>
        <f t="shared" si="18"/>
        <v>102</v>
      </c>
      <c r="S103" s="150" t="e">
        <f t="shared" si="19"/>
        <v>#N/A</v>
      </c>
      <c r="T103" s="150">
        <f t="shared" si="20"/>
        <v>102</v>
      </c>
      <c r="U103" s="150" t="e">
        <f t="shared" si="21"/>
        <v>#N/A</v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>
        <f t="shared" si="18"/>
        <v>103</v>
      </c>
      <c r="S104" s="150" t="e">
        <f t="shared" si="19"/>
        <v>#N/A</v>
      </c>
      <c r="T104" s="150">
        <f t="shared" si="20"/>
        <v>103</v>
      </c>
      <c r="U104" s="150" t="e">
        <f t="shared" si="21"/>
        <v>#N/A</v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>
        <f t="shared" si="18"/>
        <v>104</v>
      </c>
      <c r="S105" s="150" t="e">
        <f t="shared" si="19"/>
        <v>#N/A</v>
      </c>
      <c r="T105" s="150">
        <f t="shared" si="20"/>
        <v>104</v>
      </c>
      <c r="U105" s="150" t="e">
        <f t="shared" si="21"/>
        <v>#N/A</v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>
        <f t="shared" si="18"/>
        <v>105</v>
      </c>
      <c r="S106" s="150" t="e">
        <f t="shared" si="19"/>
        <v>#N/A</v>
      </c>
      <c r="T106" s="150">
        <f t="shared" si="20"/>
        <v>105</v>
      </c>
      <c r="U106" s="150" t="e">
        <f t="shared" si="21"/>
        <v>#N/A</v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>
        <f t="shared" si="18"/>
        <v>106</v>
      </c>
      <c r="S107" s="150" t="e">
        <f t="shared" si="19"/>
        <v>#N/A</v>
      </c>
      <c r="T107" s="150">
        <f t="shared" si="20"/>
        <v>106</v>
      </c>
      <c r="U107" s="150" t="e">
        <f t="shared" si="21"/>
        <v>#N/A</v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>
        <f t="shared" si="18"/>
        <v>107</v>
      </c>
      <c r="S108" s="150" t="e">
        <f t="shared" si="19"/>
        <v>#N/A</v>
      </c>
      <c r="T108" s="150">
        <f t="shared" si="20"/>
        <v>107</v>
      </c>
      <c r="U108" s="150" t="e">
        <f t="shared" si="21"/>
        <v>#N/A</v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>
        <f t="shared" si="18"/>
        <v>108</v>
      </c>
      <c r="S109" s="150" t="e">
        <f t="shared" si="19"/>
        <v>#N/A</v>
      </c>
      <c r="T109" s="150">
        <f t="shared" si="20"/>
        <v>108</v>
      </c>
      <c r="U109" s="150" t="e">
        <f t="shared" si="21"/>
        <v>#N/A</v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>
        <f t="shared" si="18"/>
        <v>109</v>
      </c>
      <c r="S110" s="150" t="e">
        <f t="shared" si="19"/>
        <v>#N/A</v>
      </c>
      <c r="T110" s="150">
        <f t="shared" si="20"/>
        <v>109</v>
      </c>
      <c r="U110" s="150" t="e">
        <f t="shared" si="21"/>
        <v>#N/A</v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>
        <f t="shared" si="18"/>
        <v>110</v>
      </c>
      <c r="S111" s="150" t="e">
        <f t="shared" si="19"/>
        <v>#N/A</v>
      </c>
      <c r="T111" s="150">
        <f t="shared" si="20"/>
        <v>110</v>
      </c>
      <c r="U111" s="150" t="e">
        <f t="shared" si="21"/>
        <v>#N/A</v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>
        <f t="shared" si="18"/>
        <v>111</v>
      </c>
      <c r="S112" s="150" t="e">
        <f t="shared" si="19"/>
        <v>#N/A</v>
      </c>
      <c r="T112" s="150">
        <f t="shared" si="20"/>
        <v>111</v>
      </c>
      <c r="U112" s="150" t="e">
        <f t="shared" si="21"/>
        <v>#N/A</v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>
        <f t="shared" si="18"/>
        <v>112</v>
      </c>
      <c r="S113" s="150" t="e">
        <f t="shared" si="19"/>
        <v>#N/A</v>
      </c>
      <c r="T113" s="150">
        <f t="shared" si="20"/>
        <v>112</v>
      </c>
      <c r="U113" s="150" t="e">
        <f t="shared" si="21"/>
        <v>#N/A</v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>
        <f t="shared" si="18"/>
        <v>113</v>
      </c>
      <c r="S114" s="150" t="e">
        <f t="shared" si="19"/>
        <v>#N/A</v>
      </c>
      <c r="T114" s="150">
        <f t="shared" si="20"/>
        <v>113</v>
      </c>
      <c r="U114" s="150" t="e">
        <f t="shared" si="21"/>
        <v>#N/A</v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>
        <f t="shared" si="18"/>
        <v>114</v>
      </c>
      <c r="S115" s="150" t="e">
        <f t="shared" si="19"/>
        <v>#N/A</v>
      </c>
      <c r="T115" s="150">
        <f t="shared" si="20"/>
        <v>114</v>
      </c>
      <c r="U115" s="150" t="e">
        <f t="shared" si="21"/>
        <v>#N/A</v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>
        <f t="shared" si="18"/>
        <v>115</v>
      </c>
      <c r="S116" s="150" t="e">
        <f t="shared" si="19"/>
        <v>#N/A</v>
      </c>
      <c r="T116" s="150">
        <f t="shared" si="20"/>
        <v>115</v>
      </c>
      <c r="U116" s="150" t="e">
        <f t="shared" si="21"/>
        <v>#N/A</v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>
        <f t="shared" si="18"/>
        <v>116</v>
      </c>
      <c r="S117" s="150" t="e">
        <f t="shared" si="19"/>
        <v>#N/A</v>
      </c>
      <c r="T117" s="150">
        <f t="shared" si="20"/>
        <v>116</v>
      </c>
      <c r="U117" s="150" t="e">
        <f t="shared" si="21"/>
        <v>#N/A</v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>
        <f t="shared" si="18"/>
        <v>117</v>
      </c>
      <c r="S118" s="150" t="e">
        <f t="shared" si="19"/>
        <v>#N/A</v>
      </c>
      <c r="T118" s="150">
        <f t="shared" si="20"/>
        <v>117</v>
      </c>
      <c r="U118" s="150" t="e">
        <f t="shared" si="21"/>
        <v>#N/A</v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>
        <f t="shared" si="18"/>
        <v>118</v>
      </c>
      <c r="S119" s="150" t="e">
        <f t="shared" si="19"/>
        <v>#N/A</v>
      </c>
      <c r="T119" s="150">
        <f t="shared" si="20"/>
        <v>118</v>
      </c>
      <c r="U119" s="150" t="e">
        <f t="shared" si="21"/>
        <v>#N/A</v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>
        <f t="shared" si="18"/>
        <v>119</v>
      </c>
      <c r="S120" s="150" t="e">
        <f t="shared" si="19"/>
        <v>#N/A</v>
      </c>
      <c r="T120" s="150">
        <f t="shared" si="20"/>
        <v>119</v>
      </c>
      <c r="U120" s="150" t="e">
        <f t="shared" si="21"/>
        <v>#N/A</v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>
        <f t="shared" si="18"/>
        <v>120</v>
      </c>
      <c r="S121" s="150" t="e">
        <f t="shared" si="19"/>
        <v>#N/A</v>
      </c>
      <c r="T121" s="150">
        <f t="shared" si="20"/>
        <v>120</v>
      </c>
      <c r="U121" s="150" t="e">
        <f t="shared" si="21"/>
        <v>#N/A</v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>
        <f t="shared" si="18"/>
        <v>121</v>
      </c>
      <c r="S122" s="150" t="e">
        <f t="shared" si="19"/>
        <v>#N/A</v>
      </c>
      <c r="T122" s="150">
        <f t="shared" si="20"/>
        <v>121</v>
      </c>
      <c r="U122" s="150" t="e">
        <f t="shared" si="21"/>
        <v>#N/A</v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>
        <f t="shared" si="18"/>
        <v>122</v>
      </c>
      <c r="S123" s="150" t="e">
        <f t="shared" si="19"/>
        <v>#N/A</v>
      </c>
      <c r="T123" s="150">
        <f t="shared" si="20"/>
        <v>122</v>
      </c>
      <c r="U123" s="150" t="e">
        <f t="shared" si="21"/>
        <v>#N/A</v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>
        <f t="shared" si="18"/>
        <v>123</v>
      </c>
      <c r="S124" s="150" t="e">
        <f t="shared" si="19"/>
        <v>#N/A</v>
      </c>
      <c r="T124" s="150">
        <f t="shared" si="20"/>
        <v>123</v>
      </c>
      <c r="U124" s="150" t="e">
        <f t="shared" si="21"/>
        <v>#N/A</v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>
        <f t="shared" si="18"/>
        <v>124</v>
      </c>
      <c r="S125" s="150" t="e">
        <f t="shared" si="19"/>
        <v>#N/A</v>
      </c>
      <c r="T125" s="150">
        <f t="shared" si="20"/>
        <v>124</v>
      </c>
      <c r="U125" s="150" t="e">
        <f t="shared" si="21"/>
        <v>#N/A</v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>
        <f t="shared" si="18"/>
        <v>125</v>
      </c>
      <c r="S126" s="150" t="e">
        <f t="shared" si="19"/>
        <v>#N/A</v>
      </c>
      <c r="T126" s="150">
        <f t="shared" si="20"/>
        <v>125</v>
      </c>
      <c r="U126" s="150" t="e">
        <f t="shared" si="21"/>
        <v>#N/A</v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>
        <f t="shared" si="18"/>
        <v>126</v>
      </c>
      <c r="S127" s="150" t="e">
        <f t="shared" si="19"/>
        <v>#N/A</v>
      </c>
      <c r="T127" s="150">
        <f t="shared" si="20"/>
        <v>126</v>
      </c>
      <c r="U127" s="150" t="e">
        <f t="shared" si="21"/>
        <v>#N/A</v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>
        <f t="shared" si="18"/>
        <v>127</v>
      </c>
      <c r="S128" s="150" t="e">
        <f t="shared" si="19"/>
        <v>#N/A</v>
      </c>
      <c r="T128" s="150">
        <f t="shared" si="20"/>
        <v>127</v>
      </c>
      <c r="U128" s="150" t="e">
        <f t="shared" si="21"/>
        <v>#N/A</v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>
        <f t="shared" si="18"/>
        <v>128</v>
      </c>
      <c r="S129" s="150" t="e">
        <f t="shared" si="19"/>
        <v>#N/A</v>
      </c>
      <c r="T129" s="150">
        <f t="shared" si="20"/>
        <v>128</v>
      </c>
      <c r="U129" s="150" t="e">
        <f t="shared" si="21"/>
        <v>#N/A</v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>
        <f t="shared" si="18"/>
        <v>129</v>
      </c>
      <c r="S130" s="150" t="e">
        <f t="shared" si="19"/>
        <v>#N/A</v>
      </c>
      <c r="T130" s="150">
        <f t="shared" si="20"/>
        <v>129</v>
      </c>
      <c r="U130" s="150" t="e">
        <f t="shared" si="21"/>
        <v>#N/A</v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>
        <f t="shared" ref="R131:R194" si="30">IF($B$34&gt;=K131,K131,"")</f>
        <v>130</v>
      </c>
      <c r="S131" s="150" t="e">
        <f t="shared" ref="S131:S194" si="31">IF(R131="","",IF(R131&lt;=$E$36,VLOOKUP($E$35,$I$1:$J$4,2,FALSE),VLOOKUP($F$35,$I$1:$J$4,2,FALSE)))</f>
        <v>#N/A</v>
      </c>
      <c r="T131" s="150">
        <f t="shared" ref="T131:T194" si="32">IF($B$41&gt;=K131,K131,"")</f>
        <v>130</v>
      </c>
      <c r="U131" s="150" t="e">
        <f t="shared" ref="U131:U194" si="33">IF(T131="","",IF(T131&lt;=$E$43,VLOOKUP($E$42,$I$1:$J$4,2,FALSE),VLOOKUP($F$42,$I$1:$J$4,2,FALSE)))</f>
        <v>#N/A</v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>
        <f t="shared" si="30"/>
        <v>131</v>
      </c>
      <c r="S132" s="150" t="e">
        <f t="shared" si="31"/>
        <v>#N/A</v>
      </c>
      <c r="T132" s="150">
        <f t="shared" si="32"/>
        <v>131</v>
      </c>
      <c r="U132" s="150" t="e">
        <f t="shared" si="33"/>
        <v>#N/A</v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>
        <f t="shared" si="30"/>
        <v>132</v>
      </c>
      <c r="S133" s="150" t="e">
        <f t="shared" si="31"/>
        <v>#N/A</v>
      </c>
      <c r="T133" s="150">
        <f t="shared" si="32"/>
        <v>132</v>
      </c>
      <c r="U133" s="150" t="e">
        <f t="shared" si="33"/>
        <v>#N/A</v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>
        <f t="shared" si="30"/>
        <v>133</v>
      </c>
      <c r="S134" s="150" t="e">
        <f t="shared" si="31"/>
        <v>#N/A</v>
      </c>
      <c r="T134" s="150">
        <f t="shared" si="32"/>
        <v>133</v>
      </c>
      <c r="U134" s="150" t="e">
        <f t="shared" si="33"/>
        <v>#N/A</v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>
        <f t="shared" si="30"/>
        <v>134</v>
      </c>
      <c r="S135" s="150" t="e">
        <f t="shared" si="31"/>
        <v>#N/A</v>
      </c>
      <c r="T135" s="150">
        <f t="shared" si="32"/>
        <v>134</v>
      </c>
      <c r="U135" s="150" t="e">
        <f t="shared" si="33"/>
        <v>#N/A</v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>
        <f t="shared" si="30"/>
        <v>135</v>
      </c>
      <c r="S136" s="150" t="e">
        <f t="shared" si="31"/>
        <v>#N/A</v>
      </c>
      <c r="T136" s="150">
        <f t="shared" si="32"/>
        <v>135</v>
      </c>
      <c r="U136" s="150" t="e">
        <f t="shared" si="33"/>
        <v>#N/A</v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>
        <f t="shared" si="30"/>
        <v>136</v>
      </c>
      <c r="S137" s="150" t="e">
        <f t="shared" si="31"/>
        <v>#N/A</v>
      </c>
      <c r="T137" s="150">
        <f t="shared" si="32"/>
        <v>136</v>
      </c>
      <c r="U137" s="150" t="e">
        <f t="shared" si="33"/>
        <v>#N/A</v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>
        <f t="shared" si="30"/>
        <v>137</v>
      </c>
      <c r="S138" s="150" t="e">
        <f t="shared" si="31"/>
        <v>#N/A</v>
      </c>
      <c r="T138" s="150">
        <f t="shared" si="32"/>
        <v>137</v>
      </c>
      <c r="U138" s="150" t="e">
        <f t="shared" si="33"/>
        <v>#N/A</v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>
        <f t="shared" si="30"/>
        <v>138</v>
      </c>
      <c r="S139" s="150" t="e">
        <f t="shared" si="31"/>
        <v>#N/A</v>
      </c>
      <c r="T139" s="150">
        <f t="shared" si="32"/>
        <v>138</v>
      </c>
      <c r="U139" s="150" t="e">
        <f t="shared" si="33"/>
        <v>#N/A</v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>
        <f t="shared" si="30"/>
        <v>139</v>
      </c>
      <c r="S140" s="150" t="e">
        <f t="shared" si="31"/>
        <v>#N/A</v>
      </c>
      <c r="T140" s="150">
        <f t="shared" si="32"/>
        <v>139</v>
      </c>
      <c r="U140" s="150" t="e">
        <f t="shared" si="33"/>
        <v>#N/A</v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>
        <f t="shared" si="30"/>
        <v>140</v>
      </c>
      <c r="S141" s="150" t="e">
        <f t="shared" si="31"/>
        <v>#N/A</v>
      </c>
      <c r="T141" s="150">
        <f t="shared" si="32"/>
        <v>140</v>
      </c>
      <c r="U141" s="150" t="e">
        <f t="shared" si="33"/>
        <v>#N/A</v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>
        <f t="shared" si="30"/>
        <v>141</v>
      </c>
      <c r="S142" s="150" t="e">
        <f t="shared" si="31"/>
        <v>#N/A</v>
      </c>
      <c r="T142" s="150">
        <f t="shared" si="32"/>
        <v>141</v>
      </c>
      <c r="U142" s="150" t="e">
        <f t="shared" si="33"/>
        <v>#N/A</v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>
        <f t="shared" si="30"/>
        <v>142</v>
      </c>
      <c r="S143" s="150" t="e">
        <f t="shared" si="31"/>
        <v>#N/A</v>
      </c>
      <c r="T143" s="150">
        <f t="shared" si="32"/>
        <v>142</v>
      </c>
      <c r="U143" s="150" t="e">
        <f t="shared" si="33"/>
        <v>#N/A</v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>
        <f t="shared" si="30"/>
        <v>143</v>
      </c>
      <c r="S144" s="150" t="e">
        <f t="shared" si="31"/>
        <v>#N/A</v>
      </c>
      <c r="T144" s="150">
        <f t="shared" si="32"/>
        <v>143</v>
      </c>
      <c r="U144" s="150" t="e">
        <f t="shared" si="33"/>
        <v>#N/A</v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>
        <f t="shared" si="30"/>
        <v>144</v>
      </c>
      <c r="S145" s="150" t="e">
        <f t="shared" si="31"/>
        <v>#N/A</v>
      </c>
      <c r="T145" s="150">
        <f t="shared" si="32"/>
        <v>144</v>
      </c>
      <c r="U145" s="150" t="e">
        <f t="shared" si="33"/>
        <v>#N/A</v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>
        <f t="shared" si="30"/>
        <v>145</v>
      </c>
      <c r="S146" s="150" t="e">
        <f t="shared" si="31"/>
        <v>#N/A</v>
      </c>
      <c r="T146" s="150">
        <f t="shared" si="32"/>
        <v>145</v>
      </c>
      <c r="U146" s="150" t="e">
        <f t="shared" si="33"/>
        <v>#N/A</v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>
        <f t="shared" si="30"/>
        <v>146</v>
      </c>
      <c r="S147" s="150" t="e">
        <f t="shared" si="31"/>
        <v>#N/A</v>
      </c>
      <c r="T147" s="150">
        <f t="shared" si="32"/>
        <v>146</v>
      </c>
      <c r="U147" s="150" t="e">
        <f t="shared" si="33"/>
        <v>#N/A</v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>
        <f t="shared" si="30"/>
        <v>147</v>
      </c>
      <c r="S148" s="150" t="e">
        <f t="shared" si="31"/>
        <v>#N/A</v>
      </c>
      <c r="T148" s="150">
        <f t="shared" si="32"/>
        <v>147</v>
      </c>
      <c r="U148" s="150" t="e">
        <f t="shared" si="33"/>
        <v>#N/A</v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>
        <f t="shared" si="30"/>
        <v>148</v>
      </c>
      <c r="S149" s="150" t="e">
        <f t="shared" si="31"/>
        <v>#N/A</v>
      </c>
      <c r="T149" s="150">
        <f t="shared" si="32"/>
        <v>148</v>
      </c>
      <c r="U149" s="150" t="e">
        <f t="shared" si="33"/>
        <v>#N/A</v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>
        <f t="shared" si="30"/>
        <v>149</v>
      </c>
      <c r="S150" s="150" t="e">
        <f t="shared" si="31"/>
        <v>#N/A</v>
      </c>
      <c r="T150" s="150">
        <f t="shared" si="32"/>
        <v>149</v>
      </c>
      <c r="U150" s="150" t="e">
        <f t="shared" si="33"/>
        <v>#N/A</v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>
        <f t="shared" si="30"/>
        <v>150</v>
      </c>
      <c r="S151" s="150" t="e">
        <f t="shared" si="31"/>
        <v>#N/A</v>
      </c>
      <c r="T151" s="150">
        <f t="shared" si="32"/>
        <v>150</v>
      </c>
      <c r="U151" s="150" t="e">
        <f t="shared" si="33"/>
        <v>#N/A</v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>
        <f t="shared" si="30"/>
        <v>151</v>
      </c>
      <c r="S152" s="150" t="e">
        <f t="shared" si="31"/>
        <v>#N/A</v>
      </c>
      <c r="T152" s="150">
        <f t="shared" si="32"/>
        <v>151</v>
      </c>
      <c r="U152" s="150" t="e">
        <f t="shared" si="33"/>
        <v>#N/A</v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>
        <f t="shared" si="30"/>
        <v>152</v>
      </c>
      <c r="S153" s="150" t="e">
        <f t="shared" si="31"/>
        <v>#N/A</v>
      </c>
      <c r="T153" s="150">
        <f t="shared" si="32"/>
        <v>152</v>
      </c>
      <c r="U153" s="150" t="e">
        <f t="shared" si="33"/>
        <v>#N/A</v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>
        <f t="shared" si="30"/>
        <v>153</v>
      </c>
      <c r="S154" s="150" t="e">
        <f t="shared" si="31"/>
        <v>#N/A</v>
      </c>
      <c r="T154" s="150">
        <f t="shared" si="32"/>
        <v>153</v>
      </c>
      <c r="U154" s="150" t="e">
        <f t="shared" si="33"/>
        <v>#N/A</v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>
        <f t="shared" si="30"/>
        <v>154</v>
      </c>
      <c r="S155" s="150" t="e">
        <f t="shared" si="31"/>
        <v>#N/A</v>
      </c>
      <c r="T155" s="150">
        <f t="shared" si="32"/>
        <v>154</v>
      </c>
      <c r="U155" s="150" t="e">
        <f t="shared" si="33"/>
        <v>#N/A</v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>
        <f t="shared" si="30"/>
        <v>155</v>
      </c>
      <c r="S156" s="150" t="e">
        <f t="shared" si="31"/>
        <v>#N/A</v>
      </c>
      <c r="T156" s="150">
        <f t="shared" si="32"/>
        <v>155</v>
      </c>
      <c r="U156" s="150" t="e">
        <f t="shared" si="33"/>
        <v>#N/A</v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>
        <f t="shared" si="30"/>
        <v>156</v>
      </c>
      <c r="S157" s="150" t="e">
        <f t="shared" si="31"/>
        <v>#N/A</v>
      </c>
      <c r="T157" s="150">
        <f t="shared" si="32"/>
        <v>156</v>
      </c>
      <c r="U157" s="150" t="e">
        <f t="shared" si="33"/>
        <v>#N/A</v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>
        <f t="shared" si="30"/>
        <v>157</v>
      </c>
      <c r="S158" s="150" t="e">
        <f t="shared" si="31"/>
        <v>#N/A</v>
      </c>
      <c r="T158" s="150">
        <f t="shared" si="32"/>
        <v>157</v>
      </c>
      <c r="U158" s="150" t="e">
        <f t="shared" si="33"/>
        <v>#N/A</v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>
        <f t="shared" si="30"/>
        <v>158</v>
      </c>
      <c r="S159" s="150" t="e">
        <f t="shared" si="31"/>
        <v>#N/A</v>
      </c>
      <c r="T159" s="150">
        <f t="shared" si="32"/>
        <v>158</v>
      </c>
      <c r="U159" s="150" t="e">
        <f t="shared" si="33"/>
        <v>#N/A</v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>
        <f t="shared" si="30"/>
        <v>159</v>
      </c>
      <c r="S160" s="150" t="e">
        <f t="shared" si="31"/>
        <v>#N/A</v>
      </c>
      <c r="T160" s="150">
        <f t="shared" si="32"/>
        <v>159</v>
      </c>
      <c r="U160" s="150" t="e">
        <f t="shared" si="33"/>
        <v>#N/A</v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>
        <f t="shared" si="30"/>
        <v>160</v>
      </c>
      <c r="S161" s="150" t="e">
        <f t="shared" si="31"/>
        <v>#N/A</v>
      </c>
      <c r="T161" s="150">
        <f t="shared" si="32"/>
        <v>160</v>
      </c>
      <c r="U161" s="150" t="e">
        <f t="shared" si="33"/>
        <v>#N/A</v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>
        <f t="shared" si="30"/>
        <v>161</v>
      </c>
      <c r="S162" s="150" t="e">
        <f t="shared" si="31"/>
        <v>#N/A</v>
      </c>
      <c r="T162" s="150">
        <f t="shared" si="32"/>
        <v>161</v>
      </c>
      <c r="U162" s="150" t="e">
        <f t="shared" si="33"/>
        <v>#N/A</v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>
        <f t="shared" si="30"/>
        <v>162</v>
      </c>
      <c r="S163" s="150" t="e">
        <f t="shared" si="31"/>
        <v>#N/A</v>
      </c>
      <c r="T163" s="150">
        <f t="shared" si="32"/>
        <v>162</v>
      </c>
      <c r="U163" s="150" t="e">
        <f t="shared" si="33"/>
        <v>#N/A</v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>
        <f t="shared" si="30"/>
        <v>163</v>
      </c>
      <c r="S164" s="150" t="e">
        <f t="shared" si="31"/>
        <v>#N/A</v>
      </c>
      <c r="T164" s="150">
        <f t="shared" si="32"/>
        <v>163</v>
      </c>
      <c r="U164" s="150" t="e">
        <f t="shared" si="33"/>
        <v>#N/A</v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>
        <f t="shared" si="30"/>
        <v>164</v>
      </c>
      <c r="S165" s="150" t="e">
        <f t="shared" si="31"/>
        <v>#N/A</v>
      </c>
      <c r="T165" s="150">
        <f t="shared" si="32"/>
        <v>164</v>
      </c>
      <c r="U165" s="150" t="e">
        <f t="shared" si="33"/>
        <v>#N/A</v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>
        <f t="shared" si="30"/>
        <v>165</v>
      </c>
      <c r="S166" s="150" t="e">
        <f t="shared" si="31"/>
        <v>#N/A</v>
      </c>
      <c r="T166" s="150">
        <f t="shared" si="32"/>
        <v>165</v>
      </c>
      <c r="U166" s="150" t="e">
        <f t="shared" si="33"/>
        <v>#N/A</v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>
        <f t="shared" si="30"/>
        <v>166</v>
      </c>
      <c r="S167" s="150" t="e">
        <f t="shared" si="31"/>
        <v>#N/A</v>
      </c>
      <c r="T167" s="150">
        <f t="shared" si="32"/>
        <v>166</v>
      </c>
      <c r="U167" s="150" t="e">
        <f t="shared" si="33"/>
        <v>#N/A</v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>
        <f t="shared" si="30"/>
        <v>167</v>
      </c>
      <c r="S168" s="150" t="e">
        <f t="shared" si="31"/>
        <v>#N/A</v>
      </c>
      <c r="T168" s="150">
        <f t="shared" si="32"/>
        <v>167</v>
      </c>
      <c r="U168" s="150" t="e">
        <f t="shared" si="33"/>
        <v>#N/A</v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>
        <f t="shared" si="30"/>
        <v>168</v>
      </c>
      <c r="S169" s="150" t="e">
        <f t="shared" si="31"/>
        <v>#N/A</v>
      </c>
      <c r="T169" s="150">
        <f t="shared" si="32"/>
        <v>168</v>
      </c>
      <c r="U169" s="150" t="e">
        <f t="shared" si="33"/>
        <v>#N/A</v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>
        <f t="shared" si="30"/>
        <v>169</v>
      </c>
      <c r="S170" s="150" t="e">
        <f t="shared" si="31"/>
        <v>#N/A</v>
      </c>
      <c r="T170" s="150">
        <f t="shared" si="32"/>
        <v>169</v>
      </c>
      <c r="U170" s="150" t="e">
        <f t="shared" si="33"/>
        <v>#N/A</v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>
        <f t="shared" si="30"/>
        <v>170</v>
      </c>
      <c r="S171" s="150" t="e">
        <f t="shared" si="31"/>
        <v>#N/A</v>
      </c>
      <c r="T171" s="150">
        <f t="shared" si="32"/>
        <v>170</v>
      </c>
      <c r="U171" s="150" t="e">
        <f t="shared" si="33"/>
        <v>#N/A</v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>
        <f t="shared" si="30"/>
        <v>171</v>
      </c>
      <c r="S172" s="150" t="e">
        <f t="shared" si="31"/>
        <v>#N/A</v>
      </c>
      <c r="T172" s="150">
        <f t="shared" si="32"/>
        <v>171</v>
      </c>
      <c r="U172" s="150" t="e">
        <f t="shared" si="33"/>
        <v>#N/A</v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>
        <f t="shared" si="30"/>
        <v>172</v>
      </c>
      <c r="S173" s="150" t="e">
        <f t="shared" si="31"/>
        <v>#N/A</v>
      </c>
      <c r="T173" s="150">
        <f t="shared" si="32"/>
        <v>172</v>
      </c>
      <c r="U173" s="150" t="e">
        <f t="shared" si="33"/>
        <v>#N/A</v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>
        <f t="shared" si="30"/>
        <v>173</v>
      </c>
      <c r="S174" s="150" t="e">
        <f t="shared" si="31"/>
        <v>#N/A</v>
      </c>
      <c r="T174" s="150">
        <f t="shared" si="32"/>
        <v>173</v>
      </c>
      <c r="U174" s="150" t="e">
        <f t="shared" si="33"/>
        <v>#N/A</v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>
        <f t="shared" si="30"/>
        <v>174</v>
      </c>
      <c r="S175" s="150" t="e">
        <f t="shared" si="31"/>
        <v>#N/A</v>
      </c>
      <c r="T175" s="150">
        <f t="shared" si="32"/>
        <v>174</v>
      </c>
      <c r="U175" s="150" t="e">
        <f t="shared" si="33"/>
        <v>#N/A</v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>
        <f t="shared" si="30"/>
        <v>175</v>
      </c>
      <c r="S176" s="150" t="e">
        <f t="shared" si="31"/>
        <v>#N/A</v>
      </c>
      <c r="T176" s="150">
        <f t="shared" si="32"/>
        <v>175</v>
      </c>
      <c r="U176" s="150" t="e">
        <f t="shared" si="33"/>
        <v>#N/A</v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>
        <f t="shared" si="30"/>
        <v>176</v>
      </c>
      <c r="S177" s="150" t="e">
        <f t="shared" si="31"/>
        <v>#N/A</v>
      </c>
      <c r="T177" s="150">
        <f t="shared" si="32"/>
        <v>176</v>
      </c>
      <c r="U177" s="150" t="e">
        <f t="shared" si="33"/>
        <v>#N/A</v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>
        <f t="shared" si="30"/>
        <v>177</v>
      </c>
      <c r="S178" s="150" t="e">
        <f t="shared" si="31"/>
        <v>#N/A</v>
      </c>
      <c r="T178" s="150">
        <f t="shared" si="32"/>
        <v>177</v>
      </c>
      <c r="U178" s="150" t="e">
        <f t="shared" si="33"/>
        <v>#N/A</v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>
        <f t="shared" si="30"/>
        <v>178</v>
      </c>
      <c r="S179" s="150" t="e">
        <f t="shared" si="31"/>
        <v>#N/A</v>
      </c>
      <c r="T179" s="150">
        <f t="shared" si="32"/>
        <v>178</v>
      </c>
      <c r="U179" s="150" t="e">
        <f t="shared" si="33"/>
        <v>#N/A</v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>
        <f t="shared" si="30"/>
        <v>179</v>
      </c>
      <c r="S180" s="150" t="e">
        <f t="shared" si="31"/>
        <v>#N/A</v>
      </c>
      <c r="T180" s="150">
        <f t="shared" si="32"/>
        <v>179</v>
      </c>
      <c r="U180" s="150" t="e">
        <f t="shared" si="33"/>
        <v>#N/A</v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>
        <f t="shared" si="30"/>
        <v>180</v>
      </c>
      <c r="S181" s="150" t="e">
        <f t="shared" si="31"/>
        <v>#N/A</v>
      </c>
      <c r="T181" s="150">
        <f t="shared" si="32"/>
        <v>180</v>
      </c>
      <c r="U181" s="150" t="e">
        <f t="shared" si="33"/>
        <v>#N/A</v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>
        <f t="shared" si="30"/>
        <v>181</v>
      </c>
      <c r="S182" s="150" t="e">
        <f t="shared" si="31"/>
        <v>#N/A</v>
      </c>
      <c r="T182" s="150">
        <f t="shared" si="32"/>
        <v>181</v>
      </c>
      <c r="U182" s="150" t="e">
        <f t="shared" si="33"/>
        <v>#N/A</v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>
        <f t="shared" si="30"/>
        <v>182</v>
      </c>
      <c r="S183" s="150" t="e">
        <f t="shared" si="31"/>
        <v>#N/A</v>
      </c>
      <c r="T183" s="150">
        <f t="shared" si="32"/>
        <v>182</v>
      </c>
      <c r="U183" s="150" t="e">
        <f t="shared" si="33"/>
        <v>#N/A</v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>
        <f t="shared" si="30"/>
        <v>183</v>
      </c>
      <c r="S184" s="150" t="e">
        <f t="shared" si="31"/>
        <v>#N/A</v>
      </c>
      <c r="T184" s="150">
        <f t="shared" si="32"/>
        <v>183</v>
      </c>
      <c r="U184" s="150" t="e">
        <f t="shared" si="33"/>
        <v>#N/A</v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>
        <f t="shared" si="30"/>
        <v>184</v>
      </c>
      <c r="S185" s="150" t="e">
        <f t="shared" si="31"/>
        <v>#N/A</v>
      </c>
      <c r="T185" s="150">
        <f t="shared" si="32"/>
        <v>184</v>
      </c>
      <c r="U185" s="150" t="e">
        <f t="shared" si="33"/>
        <v>#N/A</v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>
        <f t="shared" si="30"/>
        <v>185</v>
      </c>
      <c r="S186" s="150" t="e">
        <f t="shared" si="31"/>
        <v>#N/A</v>
      </c>
      <c r="T186" s="150">
        <f t="shared" si="32"/>
        <v>185</v>
      </c>
      <c r="U186" s="150" t="e">
        <f t="shared" si="33"/>
        <v>#N/A</v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>
        <f t="shared" si="30"/>
        <v>186</v>
      </c>
      <c r="S187" s="150" t="e">
        <f t="shared" si="31"/>
        <v>#N/A</v>
      </c>
      <c r="T187" s="150">
        <f t="shared" si="32"/>
        <v>186</v>
      </c>
      <c r="U187" s="150" t="e">
        <f t="shared" si="33"/>
        <v>#N/A</v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>
        <f t="shared" si="30"/>
        <v>187</v>
      </c>
      <c r="S188" s="150" t="e">
        <f t="shared" si="31"/>
        <v>#N/A</v>
      </c>
      <c r="T188" s="150">
        <f t="shared" si="32"/>
        <v>187</v>
      </c>
      <c r="U188" s="150" t="e">
        <f t="shared" si="33"/>
        <v>#N/A</v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>
        <f t="shared" si="30"/>
        <v>188</v>
      </c>
      <c r="S189" s="150" t="e">
        <f t="shared" si="31"/>
        <v>#N/A</v>
      </c>
      <c r="T189" s="150">
        <f t="shared" si="32"/>
        <v>188</v>
      </c>
      <c r="U189" s="150" t="e">
        <f t="shared" si="33"/>
        <v>#N/A</v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>
        <f t="shared" si="30"/>
        <v>189</v>
      </c>
      <c r="S190" s="150" t="e">
        <f t="shared" si="31"/>
        <v>#N/A</v>
      </c>
      <c r="T190" s="150">
        <f t="shared" si="32"/>
        <v>189</v>
      </c>
      <c r="U190" s="150" t="e">
        <f t="shared" si="33"/>
        <v>#N/A</v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>
        <f t="shared" si="30"/>
        <v>190</v>
      </c>
      <c r="S191" s="150" t="e">
        <f t="shared" si="31"/>
        <v>#N/A</v>
      </c>
      <c r="T191" s="150">
        <f t="shared" si="32"/>
        <v>190</v>
      </c>
      <c r="U191" s="150" t="e">
        <f t="shared" si="33"/>
        <v>#N/A</v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>
        <f t="shared" si="30"/>
        <v>191</v>
      </c>
      <c r="S192" s="150" t="e">
        <f t="shared" si="31"/>
        <v>#N/A</v>
      </c>
      <c r="T192" s="150">
        <f t="shared" si="32"/>
        <v>191</v>
      </c>
      <c r="U192" s="150" t="e">
        <f t="shared" si="33"/>
        <v>#N/A</v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>
        <f t="shared" si="30"/>
        <v>192</v>
      </c>
      <c r="S193" s="150" t="e">
        <f t="shared" si="31"/>
        <v>#N/A</v>
      </c>
      <c r="T193" s="150">
        <f t="shared" si="32"/>
        <v>192</v>
      </c>
      <c r="U193" s="150" t="e">
        <f t="shared" si="33"/>
        <v>#N/A</v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>
        <f t="shared" si="30"/>
        <v>193</v>
      </c>
      <c r="S194" s="150" t="e">
        <f t="shared" si="31"/>
        <v>#N/A</v>
      </c>
      <c r="T194" s="150">
        <f t="shared" si="32"/>
        <v>193</v>
      </c>
      <c r="U194" s="150" t="e">
        <f t="shared" si="33"/>
        <v>#N/A</v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>
        <f t="shared" ref="R195:R258" si="42">IF($B$34&gt;=K195,K195,"")</f>
        <v>194</v>
      </c>
      <c r="S195" s="150" t="e">
        <f t="shared" ref="S195:S258" si="43">IF(R195="","",IF(R195&lt;=$E$36,VLOOKUP($E$35,$I$1:$J$4,2,FALSE),VLOOKUP($F$35,$I$1:$J$4,2,FALSE)))</f>
        <v>#N/A</v>
      </c>
      <c r="T195" s="150">
        <f t="shared" ref="T195:T258" si="44">IF($B$41&gt;=K195,K195,"")</f>
        <v>194</v>
      </c>
      <c r="U195" s="150" t="e">
        <f t="shared" ref="U195:U258" si="45">IF(T195="","",IF(T195&lt;=$E$43,VLOOKUP($E$42,$I$1:$J$4,2,FALSE),VLOOKUP($F$42,$I$1:$J$4,2,FALSE)))</f>
        <v>#N/A</v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>
        <f t="shared" si="42"/>
        <v>195</v>
      </c>
      <c r="S196" s="150" t="e">
        <f t="shared" si="43"/>
        <v>#N/A</v>
      </c>
      <c r="T196" s="150">
        <f t="shared" si="44"/>
        <v>195</v>
      </c>
      <c r="U196" s="150" t="e">
        <f t="shared" si="45"/>
        <v>#N/A</v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>
        <f t="shared" si="42"/>
        <v>196</v>
      </c>
      <c r="S197" s="150" t="e">
        <f t="shared" si="43"/>
        <v>#N/A</v>
      </c>
      <c r="T197" s="150">
        <f t="shared" si="44"/>
        <v>196</v>
      </c>
      <c r="U197" s="150" t="e">
        <f t="shared" si="45"/>
        <v>#N/A</v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>
        <f t="shared" si="42"/>
        <v>197</v>
      </c>
      <c r="S198" s="150" t="e">
        <f t="shared" si="43"/>
        <v>#N/A</v>
      </c>
      <c r="T198" s="150">
        <f t="shared" si="44"/>
        <v>197</v>
      </c>
      <c r="U198" s="150" t="e">
        <f t="shared" si="45"/>
        <v>#N/A</v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>
        <f t="shared" si="42"/>
        <v>198</v>
      </c>
      <c r="S199" s="150" t="e">
        <f t="shared" si="43"/>
        <v>#N/A</v>
      </c>
      <c r="T199" s="150">
        <f t="shared" si="44"/>
        <v>198</v>
      </c>
      <c r="U199" s="150" t="e">
        <f t="shared" si="45"/>
        <v>#N/A</v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>
        <f t="shared" si="42"/>
        <v>199</v>
      </c>
      <c r="S200" s="150" t="e">
        <f t="shared" si="43"/>
        <v>#N/A</v>
      </c>
      <c r="T200" s="150">
        <f t="shared" si="44"/>
        <v>199</v>
      </c>
      <c r="U200" s="150" t="e">
        <f t="shared" si="45"/>
        <v>#N/A</v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>
        <f t="shared" si="42"/>
        <v>200</v>
      </c>
      <c r="S201" s="150" t="e">
        <f t="shared" si="43"/>
        <v>#N/A</v>
      </c>
      <c r="T201" s="150">
        <f t="shared" si="44"/>
        <v>200</v>
      </c>
      <c r="U201" s="150" t="e">
        <f t="shared" si="45"/>
        <v>#N/A</v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>
        <f t="shared" si="42"/>
        <v>201</v>
      </c>
      <c r="S202" s="150" t="e">
        <f t="shared" si="43"/>
        <v>#N/A</v>
      </c>
      <c r="T202" s="150">
        <f t="shared" si="44"/>
        <v>201</v>
      </c>
      <c r="U202" s="150" t="e">
        <f t="shared" si="45"/>
        <v>#N/A</v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>
        <f t="shared" si="42"/>
        <v>202</v>
      </c>
      <c r="S203" s="150" t="e">
        <f t="shared" si="43"/>
        <v>#N/A</v>
      </c>
      <c r="T203" s="150">
        <f t="shared" si="44"/>
        <v>202</v>
      </c>
      <c r="U203" s="150" t="e">
        <f t="shared" si="45"/>
        <v>#N/A</v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>
        <f t="shared" si="42"/>
        <v>203</v>
      </c>
      <c r="S204" s="150" t="e">
        <f t="shared" si="43"/>
        <v>#N/A</v>
      </c>
      <c r="T204" s="150">
        <f t="shared" si="44"/>
        <v>203</v>
      </c>
      <c r="U204" s="150" t="e">
        <f t="shared" si="45"/>
        <v>#N/A</v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>
        <f t="shared" si="42"/>
        <v>204</v>
      </c>
      <c r="S205" s="150" t="e">
        <f t="shared" si="43"/>
        <v>#N/A</v>
      </c>
      <c r="T205" s="150">
        <f t="shared" si="44"/>
        <v>204</v>
      </c>
      <c r="U205" s="150" t="e">
        <f t="shared" si="45"/>
        <v>#N/A</v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>
        <f t="shared" si="42"/>
        <v>205</v>
      </c>
      <c r="S206" s="150" t="e">
        <f t="shared" si="43"/>
        <v>#N/A</v>
      </c>
      <c r="T206" s="150">
        <f t="shared" si="44"/>
        <v>205</v>
      </c>
      <c r="U206" s="150" t="e">
        <f t="shared" si="45"/>
        <v>#N/A</v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>
        <f t="shared" si="42"/>
        <v>206</v>
      </c>
      <c r="S207" s="150" t="e">
        <f t="shared" si="43"/>
        <v>#N/A</v>
      </c>
      <c r="T207" s="150">
        <f t="shared" si="44"/>
        <v>206</v>
      </c>
      <c r="U207" s="150" t="e">
        <f t="shared" si="45"/>
        <v>#N/A</v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>
        <f t="shared" si="42"/>
        <v>207</v>
      </c>
      <c r="S208" s="150" t="e">
        <f t="shared" si="43"/>
        <v>#N/A</v>
      </c>
      <c r="T208" s="150">
        <f t="shared" si="44"/>
        <v>207</v>
      </c>
      <c r="U208" s="150" t="e">
        <f t="shared" si="45"/>
        <v>#N/A</v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>
        <f t="shared" si="42"/>
        <v>208</v>
      </c>
      <c r="S209" s="150" t="e">
        <f t="shared" si="43"/>
        <v>#N/A</v>
      </c>
      <c r="T209" s="150">
        <f t="shared" si="44"/>
        <v>208</v>
      </c>
      <c r="U209" s="150" t="e">
        <f t="shared" si="45"/>
        <v>#N/A</v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>
        <f t="shared" si="42"/>
        <v>209</v>
      </c>
      <c r="S210" s="150" t="e">
        <f t="shared" si="43"/>
        <v>#N/A</v>
      </c>
      <c r="T210" s="150">
        <f t="shared" si="44"/>
        <v>209</v>
      </c>
      <c r="U210" s="150" t="e">
        <f t="shared" si="45"/>
        <v>#N/A</v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>
        <f t="shared" si="42"/>
        <v>210</v>
      </c>
      <c r="S211" s="150" t="e">
        <f t="shared" si="43"/>
        <v>#N/A</v>
      </c>
      <c r="T211" s="150">
        <f t="shared" si="44"/>
        <v>210</v>
      </c>
      <c r="U211" s="150" t="e">
        <f t="shared" si="45"/>
        <v>#N/A</v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>
        <f t="shared" si="42"/>
        <v>211</v>
      </c>
      <c r="S212" s="150" t="e">
        <f t="shared" si="43"/>
        <v>#N/A</v>
      </c>
      <c r="T212" s="150">
        <f t="shared" si="44"/>
        <v>211</v>
      </c>
      <c r="U212" s="150" t="e">
        <f t="shared" si="45"/>
        <v>#N/A</v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>
        <f t="shared" si="42"/>
        <v>212</v>
      </c>
      <c r="S213" s="150" t="e">
        <f t="shared" si="43"/>
        <v>#N/A</v>
      </c>
      <c r="T213" s="150">
        <f t="shared" si="44"/>
        <v>212</v>
      </c>
      <c r="U213" s="150" t="e">
        <f t="shared" si="45"/>
        <v>#N/A</v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>
        <f t="shared" si="42"/>
        <v>213</v>
      </c>
      <c r="S214" s="150" t="e">
        <f t="shared" si="43"/>
        <v>#N/A</v>
      </c>
      <c r="T214" s="150">
        <f t="shared" si="44"/>
        <v>213</v>
      </c>
      <c r="U214" s="150" t="e">
        <f t="shared" si="45"/>
        <v>#N/A</v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>
        <f t="shared" si="42"/>
        <v>214</v>
      </c>
      <c r="S215" s="150" t="e">
        <f t="shared" si="43"/>
        <v>#N/A</v>
      </c>
      <c r="T215" s="150">
        <f t="shared" si="44"/>
        <v>214</v>
      </c>
      <c r="U215" s="150" t="e">
        <f t="shared" si="45"/>
        <v>#N/A</v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>
        <f t="shared" si="42"/>
        <v>215</v>
      </c>
      <c r="S216" s="150" t="e">
        <f t="shared" si="43"/>
        <v>#N/A</v>
      </c>
      <c r="T216" s="150">
        <f t="shared" si="44"/>
        <v>215</v>
      </c>
      <c r="U216" s="150" t="e">
        <f t="shared" si="45"/>
        <v>#N/A</v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>
        <f t="shared" si="42"/>
        <v>216</v>
      </c>
      <c r="S217" s="150" t="e">
        <f t="shared" si="43"/>
        <v>#N/A</v>
      </c>
      <c r="T217" s="150">
        <f t="shared" si="44"/>
        <v>216</v>
      </c>
      <c r="U217" s="150" t="e">
        <f t="shared" si="45"/>
        <v>#N/A</v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>
        <f t="shared" si="42"/>
        <v>217</v>
      </c>
      <c r="S218" s="150" t="e">
        <f t="shared" si="43"/>
        <v>#N/A</v>
      </c>
      <c r="T218" s="150">
        <f t="shared" si="44"/>
        <v>217</v>
      </c>
      <c r="U218" s="150" t="e">
        <f t="shared" si="45"/>
        <v>#N/A</v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>
        <f t="shared" si="42"/>
        <v>218</v>
      </c>
      <c r="S219" s="150" t="e">
        <f t="shared" si="43"/>
        <v>#N/A</v>
      </c>
      <c r="T219" s="150">
        <f t="shared" si="44"/>
        <v>218</v>
      </c>
      <c r="U219" s="150" t="e">
        <f t="shared" si="45"/>
        <v>#N/A</v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>
        <f t="shared" si="42"/>
        <v>219</v>
      </c>
      <c r="S220" s="150" t="e">
        <f t="shared" si="43"/>
        <v>#N/A</v>
      </c>
      <c r="T220" s="150">
        <f t="shared" si="44"/>
        <v>219</v>
      </c>
      <c r="U220" s="150" t="e">
        <f t="shared" si="45"/>
        <v>#N/A</v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>
        <f t="shared" si="42"/>
        <v>220</v>
      </c>
      <c r="S221" s="150" t="e">
        <f t="shared" si="43"/>
        <v>#N/A</v>
      </c>
      <c r="T221" s="150">
        <f t="shared" si="44"/>
        <v>220</v>
      </c>
      <c r="U221" s="150" t="e">
        <f t="shared" si="45"/>
        <v>#N/A</v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>
        <f t="shared" si="42"/>
        <v>221</v>
      </c>
      <c r="S222" s="150" t="e">
        <f t="shared" si="43"/>
        <v>#N/A</v>
      </c>
      <c r="T222" s="150">
        <f t="shared" si="44"/>
        <v>221</v>
      </c>
      <c r="U222" s="150" t="e">
        <f t="shared" si="45"/>
        <v>#N/A</v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>
        <f t="shared" si="42"/>
        <v>222</v>
      </c>
      <c r="S223" s="150" t="e">
        <f t="shared" si="43"/>
        <v>#N/A</v>
      </c>
      <c r="T223" s="150">
        <f t="shared" si="44"/>
        <v>222</v>
      </c>
      <c r="U223" s="150" t="e">
        <f t="shared" si="45"/>
        <v>#N/A</v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>
        <f t="shared" si="42"/>
        <v>223</v>
      </c>
      <c r="S224" s="150" t="e">
        <f t="shared" si="43"/>
        <v>#N/A</v>
      </c>
      <c r="T224" s="150">
        <f t="shared" si="44"/>
        <v>223</v>
      </c>
      <c r="U224" s="150" t="e">
        <f t="shared" si="45"/>
        <v>#N/A</v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>
        <f t="shared" si="42"/>
        <v>224</v>
      </c>
      <c r="S225" s="150" t="e">
        <f t="shared" si="43"/>
        <v>#N/A</v>
      </c>
      <c r="T225" s="150">
        <f t="shared" si="44"/>
        <v>224</v>
      </c>
      <c r="U225" s="150" t="e">
        <f t="shared" si="45"/>
        <v>#N/A</v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>
        <f t="shared" si="42"/>
        <v>225</v>
      </c>
      <c r="S226" s="150" t="e">
        <f t="shared" si="43"/>
        <v>#N/A</v>
      </c>
      <c r="T226" s="150">
        <f t="shared" si="44"/>
        <v>225</v>
      </c>
      <c r="U226" s="150" t="e">
        <f t="shared" si="45"/>
        <v>#N/A</v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>
        <f t="shared" si="42"/>
        <v>226</v>
      </c>
      <c r="S227" s="150" t="e">
        <f t="shared" si="43"/>
        <v>#N/A</v>
      </c>
      <c r="T227" s="150">
        <f t="shared" si="44"/>
        <v>226</v>
      </c>
      <c r="U227" s="150" t="e">
        <f t="shared" si="45"/>
        <v>#N/A</v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>
        <f t="shared" si="42"/>
        <v>227</v>
      </c>
      <c r="S228" s="150" t="e">
        <f t="shared" si="43"/>
        <v>#N/A</v>
      </c>
      <c r="T228" s="150">
        <f t="shared" si="44"/>
        <v>227</v>
      </c>
      <c r="U228" s="150" t="e">
        <f t="shared" si="45"/>
        <v>#N/A</v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>
        <f t="shared" si="42"/>
        <v>228</v>
      </c>
      <c r="S229" s="150" t="e">
        <f t="shared" si="43"/>
        <v>#N/A</v>
      </c>
      <c r="T229" s="150">
        <f t="shared" si="44"/>
        <v>228</v>
      </c>
      <c r="U229" s="150" t="e">
        <f t="shared" si="45"/>
        <v>#N/A</v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>
        <f t="shared" si="42"/>
        <v>229</v>
      </c>
      <c r="S230" s="150" t="e">
        <f t="shared" si="43"/>
        <v>#N/A</v>
      </c>
      <c r="T230" s="150">
        <f t="shared" si="44"/>
        <v>229</v>
      </c>
      <c r="U230" s="150" t="e">
        <f t="shared" si="45"/>
        <v>#N/A</v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>
        <f t="shared" si="42"/>
        <v>230</v>
      </c>
      <c r="S231" s="150" t="e">
        <f t="shared" si="43"/>
        <v>#N/A</v>
      </c>
      <c r="T231" s="150">
        <f t="shared" si="44"/>
        <v>230</v>
      </c>
      <c r="U231" s="150" t="e">
        <f t="shared" si="45"/>
        <v>#N/A</v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>
        <f t="shared" si="42"/>
        <v>231</v>
      </c>
      <c r="S232" s="150" t="e">
        <f t="shared" si="43"/>
        <v>#N/A</v>
      </c>
      <c r="T232" s="150">
        <f t="shared" si="44"/>
        <v>231</v>
      </c>
      <c r="U232" s="150" t="e">
        <f t="shared" si="45"/>
        <v>#N/A</v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>
        <f t="shared" si="42"/>
        <v>232</v>
      </c>
      <c r="S233" s="150" t="e">
        <f t="shared" si="43"/>
        <v>#N/A</v>
      </c>
      <c r="T233" s="150">
        <f t="shared" si="44"/>
        <v>232</v>
      </c>
      <c r="U233" s="150" t="e">
        <f t="shared" si="45"/>
        <v>#N/A</v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>
        <f t="shared" si="42"/>
        <v>233</v>
      </c>
      <c r="S234" s="150" t="e">
        <f t="shared" si="43"/>
        <v>#N/A</v>
      </c>
      <c r="T234" s="150">
        <f t="shared" si="44"/>
        <v>233</v>
      </c>
      <c r="U234" s="150" t="e">
        <f t="shared" si="45"/>
        <v>#N/A</v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>
        <f t="shared" si="42"/>
        <v>234</v>
      </c>
      <c r="S235" s="150" t="e">
        <f t="shared" si="43"/>
        <v>#N/A</v>
      </c>
      <c r="T235" s="150">
        <f t="shared" si="44"/>
        <v>234</v>
      </c>
      <c r="U235" s="150" t="e">
        <f t="shared" si="45"/>
        <v>#N/A</v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>
        <f t="shared" si="42"/>
        <v>235</v>
      </c>
      <c r="S236" s="150" t="e">
        <f t="shared" si="43"/>
        <v>#N/A</v>
      </c>
      <c r="T236" s="150">
        <f t="shared" si="44"/>
        <v>235</v>
      </c>
      <c r="U236" s="150" t="e">
        <f t="shared" si="45"/>
        <v>#N/A</v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>
        <f t="shared" si="42"/>
        <v>236</v>
      </c>
      <c r="S237" s="150" t="e">
        <f t="shared" si="43"/>
        <v>#N/A</v>
      </c>
      <c r="T237" s="150">
        <f t="shared" si="44"/>
        <v>236</v>
      </c>
      <c r="U237" s="150" t="e">
        <f t="shared" si="45"/>
        <v>#N/A</v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>
        <f t="shared" si="42"/>
        <v>237</v>
      </c>
      <c r="S238" s="150" t="e">
        <f t="shared" si="43"/>
        <v>#N/A</v>
      </c>
      <c r="T238" s="150">
        <f t="shared" si="44"/>
        <v>237</v>
      </c>
      <c r="U238" s="150" t="e">
        <f t="shared" si="45"/>
        <v>#N/A</v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>
        <f t="shared" si="42"/>
        <v>238</v>
      </c>
      <c r="S239" s="150" t="e">
        <f t="shared" si="43"/>
        <v>#N/A</v>
      </c>
      <c r="T239" s="150">
        <f t="shared" si="44"/>
        <v>238</v>
      </c>
      <c r="U239" s="150" t="e">
        <f t="shared" si="45"/>
        <v>#N/A</v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>
        <f t="shared" si="42"/>
        <v>239</v>
      </c>
      <c r="S240" s="150" t="e">
        <f t="shared" si="43"/>
        <v>#N/A</v>
      </c>
      <c r="T240" s="150">
        <f t="shared" si="44"/>
        <v>239</v>
      </c>
      <c r="U240" s="150" t="e">
        <f t="shared" si="45"/>
        <v>#N/A</v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>
        <f t="shared" si="42"/>
        <v>240</v>
      </c>
      <c r="S241" s="150" t="e">
        <f t="shared" si="43"/>
        <v>#N/A</v>
      </c>
      <c r="T241" s="150">
        <f t="shared" si="44"/>
        <v>240</v>
      </c>
      <c r="U241" s="150" t="e">
        <f t="shared" si="45"/>
        <v>#N/A</v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>
        <f t="shared" si="42"/>
        <v>241</v>
      </c>
      <c r="S242" s="150" t="e">
        <f t="shared" si="43"/>
        <v>#N/A</v>
      </c>
      <c r="T242" s="150">
        <f t="shared" si="44"/>
        <v>241</v>
      </c>
      <c r="U242" s="150" t="e">
        <f t="shared" si="45"/>
        <v>#N/A</v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>
        <f t="shared" si="42"/>
        <v>242</v>
      </c>
      <c r="S243" s="150" t="e">
        <f t="shared" si="43"/>
        <v>#N/A</v>
      </c>
      <c r="T243" s="150">
        <f t="shared" si="44"/>
        <v>242</v>
      </c>
      <c r="U243" s="150" t="e">
        <f t="shared" si="45"/>
        <v>#N/A</v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>
        <f t="shared" si="42"/>
        <v>243</v>
      </c>
      <c r="S244" s="150" t="e">
        <f t="shared" si="43"/>
        <v>#N/A</v>
      </c>
      <c r="T244" s="150">
        <f t="shared" si="44"/>
        <v>243</v>
      </c>
      <c r="U244" s="150" t="e">
        <f t="shared" si="45"/>
        <v>#N/A</v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>
        <f t="shared" si="42"/>
        <v>244</v>
      </c>
      <c r="S245" s="150" t="e">
        <f t="shared" si="43"/>
        <v>#N/A</v>
      </c>
      <c r="T245" s="150">
        <f t="shared" si="44"/>
        <v>244</v>
      </c>
      <c r="U245" s="150" t="e">
        <f t="shared" si="45"/>
        <v>#N/A</v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>
        <f t="shared" si="42"/>
        <v>245</v>
      </c>
      <c r="S246" s="150" t="e">
        <f t="shared" si="43"/>
        <v>#N/A</v>
      </c>
      <c r="T246" s="150">
        <f t="shared" si="44"/>
        <v>245</v>
      </c>
      <c r="U246" s="150" t="e">
        <f t="shared" si="45"/>
        <v>#N/A</v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>
        <f t="shared" si="42"/>
        <v>246</v>
      </c>
      <c r="S247" s="150" t="e">
        <f t="shared" si="43"/>
        <v>#N/A</v>
      </c>
      <c r="T247" s="150">
        <f t="shared" si="44"/>
        <v>246</v>
      </c>
      <c r="U247" s="150" t="e">
        <f t="shared" si="45"/>
        <v>#N/A</v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>
        <f t="shared" si="42"/>
        <v>247</v>
      </c>
      <c r="S248" s="150" t="e">
        <f t="shared" si="43"/>
        <v>#N/A</v>
      </c>
      <c r="T248" s="150">
        <f t="shared" si="44"/>
        <v>247</v>
      </c>
      <c r="U248" s="150" t="e">
        <f t="shared" si="45"/>
        <v>#N/A</v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>
        <f t="shared" si="42"/>
        <v>248</v>
      </c>
      <c r="S249" s="150" t="e">
        <f t="shared" si="43"/>
        <v>#N/A</v>
      </c>
      <c r="T249" s="150">
        <f t="shared" si="44"/>
        <v>248</v>
      </c>
      <c r="U249" s="150" t="e">
        <f t="shared" si="45"/>
        <v>#N/A</v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>
        <f t="shared" si="42"/>
        <v>249</v>
      </c>
      <c r="S250" s="150" t="e">
        <f t="shared" si="43"/>
        <v>#N/A</v>
      </c>
      <c r="T250" s="150">
        <f t="shared" si="44"/>
        <v>249</v>
      </c>
      <c r="U250" s="150" t="e">
        <f t="shared" si="45"/>
        <v>#N/A</v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>
        <f t="shared" si="42"/>
        <v>250</v>
      </c>
      <c r="S251" s="150" t="e">
        <f t="shared" si="43"/>
        <v>#N/A</v>
      </c>
      <c r="T251" s="150">
        <f t="shared" si="44"/>
        <v>250</v>
      </c>
      <c r="U251" s="150" t="e">
        <f t="shared" si="45"/>
        <v>#N/A</v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>
        <f t="shared" si="42"/>
        <v>251</v>
      </c>
      <c r="S252" s="150" t="e">
        <f t="shared" si="43"/>
        <v>#N/A</v>
      </c>
      <c r="T252" s="150">
        <f t="shared" si="44"/>
        <v>251</v>
      </c>
      <c r="U252" s="150" t="e">
        <f t="shared" si="45"/>
        <v>#N/A</v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>
        <f t="shared" si="42"/>
        <v>252</v>
      </c>
      <c r="S253" s="150" t="e">
        <f t="shared" si="43"/>
        <v>#N/A</v>
      </c>
      <c r="T253" s="150">
        <f t="shared" si="44"/>
        <v>252</v>
      </c>
      <c r="U253" s="150" t="e">
        <f t="shared" si="45"/>
        <v>#N/A</v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>
        <f t="shared" si="42"/>
        <v>253</v>
      </c>
      <c r="S254" s="150" t="e">
        <f t="shared" si="43"/>
        <v>#N/A</v>
      </c>
      <c r="T254" s="150">
        <f t="shared" si="44"/>
        <v>253</v>
      </c>
      <c r="U254" s="150" t="e">
        <f t="shared" si="45"/>
        <v>#N/A</v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>
        <f t="shared" si="42"/>
        <v>254</v>
      </c>
      <c r="S255" s="150" t="e">
        <f t="shared" si="43"/>
        <v>#N/A</v>
      </c>
      <c r="T255" s="150">
        <f t="shared" si="44"/>
        <v>254</v>
      </c>
      <c r="U255" s="150" t="e">
        <f t="shared" si="45"/>
        <v>#N/A</v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>
        <f t="shared" si="42"/>
        <v>255</v>
      </c>
      <c r="S256" s="150" t="e">
        <f t="shared" si="43"/>
        <v>#N/A</v>
      </c>
      <c r="T256" s="150">
        <f t="shared" si="44"/>
        <v>255</v>
      </c>
      <c r="U256" s="150" t="e">
        <f t="shared" si="45"/>
        <v>#N/A</v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>
        <f t="shared" si="42"/>
        <v>256</v>
      </c>
      <c r="S257" s="150" t="e">
        <f t="shared" si="43"/>
        <v>#N/A</v>
      </c>
      <c r="T257" s="150">
        <f t="shared" si="44"/>
        <v>256</v>
      </c>
      <c r="U257" s="150" t="e">
        <f t="shared" si="45"/>
        <v>#N/A</v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>
        <f t="shared" si="42"/>
        <v>257</v>
      </c>
      <c r="S258" s="150" t="e">
        <f t="shared" si="43"/>
        <v>#N/A</v>
      </c>
      <c r="T258" s="150">
        <f t="shared" si="44"/>
        <v>257</v>
      </c>
      <c r="U258" s="150" t="e">
        <f t="shared" si="45"/>
        <v>#N/A</v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>
        <f t="shared" ref="R259:R322" si="54">IF($B$34&gt;=K259,K259,"")</f>
        <v>258</v>
      </c>
      <c r="S259" s="150" t="e">
        <f t="shared" ref="S259:S322" si="55">IF(R259="","",IF(R259&lt;=$E$36,VLOOKUP($E$35,$I$1:$J$4,2,FALSE),VLOOKUP($F$35,$I$1:$J$4,2,FALSE)))</f>
        <v>#N/A</v>
      </c>
      <c r="T259" s="150">
        <f t="shared" ref="T259:T322" si="56">IF($B$41&gt;=K259,K259,"")</f>
        <v>258</v>
      </c>
      <c r="U259" s="150" t="e">
        <f t="shared" ref="U259:U322" si="57">IF(T259="","",IF(T259&lt;=$E$43,VLOOKUP($E$42,$I$1:$J$4,2,FALSE),VLOOKUP($F$42,$I$1:$J$4,2,FALSE)))</f>
        <v>#N/A</v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>
        <f t="shared" si="54"/>
        <v>259</v>
      </c>
      <c r="S260" s="150" t="e">
        <f t="shared" si="55"/>
        <v>#N/A</v>
      </c>
      <c r="T260" s="150">
        <f t="shared" si="56"/>
        <v>259</v>
      </c>
      <c r="U260" s="150" t="e">
        <f t="shared" si="57"/>
        <v>#N/A</v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>
        <f t="shared" si="54"/>
        <v>260</v>
      </c>
      <c r="S261" s="150" t="e">
        <f t="shared" si="55"/>
        <v>#N/A</v>
      </c>
      <c r="T261" s="150">
        <f t="shared" si="56"/>
        <v>260</v>
      </c>
      <c r="U261" s="150" t="e">
        <f t="shared" si="57"/>
        <v>#N/A</v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>
        <f t="shared" si="54"/>
        <v>261</v>
      </c>
      <c r="S262" s="150" t="e">
        <f t="shared" si="55"/>
        <v>#N/A</v>
      </c>
      <c r="T262" s="150">
        <f t="shared" si="56"/>
        <v>261</v>
      </c>
      <c r="U262" s="150" t="e">
        <f t="shared" si="57"/>
        <v>#N/A</v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>
        <f t="shared" si="54"/>
        <v>262</v>
      </c>
      <c r="S263" s="150" t="e">
        <f t="shared" si="55"/>
        <v>#N/A</v>
      </c>
      <c r="T263" s="150">
        <f t="shared" si="56"/>
        <v>262</v>
      </c>
      <c r="U263" s="150" t="e">
        <f t="shared" si="57"/>
        <v>#N/A</v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>
        <f t="shared" si="54"/>
        <v>263</v>
      </c>
      <c r="S264" s="150" t="e">
        <f t="shared" si="55"/>
        <v>#N/A</v>
      </c>
      <c r="T264" s="150">
        <f t="shared" si="56"/>
        <v>263</v>
      </c>
      <c r="U264" s="150" t="e">
        <f t="shared" si="57"/>
        <v>#N/A</v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>
        <f t="shared" si="54"/>
        <v>264</v>
      </c>
      <c r="S265" s="150" t="e">
        <f t="shared" si="55"/>
        <v>#N/A</v>
      </c>
      <c r="T265" s="150">
        <f t="shared" si="56"/>
        <v>264</v>
      </c>
      <c r="U265" s="150" t="e">
        <f t="shared" si="57"/>
        <v>#N/A</v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>
        <f t="shared" si="54"/>
        <v>265</v>
      </c>
      <c r="S266" s="150" t="e">
        <f t="shared" si="55"/>
        <v>#N/A</v>
      </c>
      <c r="T266" s="150">
        <f t="shared" si="56"/>
        <v>265</v>
      </c>
      <c r="U266" s="150" t="e">
        <f t="shared" si="57"/>
        <v>#N/A</v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>
        <f t="shared" si="54"/>
        <v>266</v>
      </c>
      <c r="S267" s="150" t="e">
        <f t="shared" si="55"/>
        <v>#N/A</v>
      </c>
      <c r="T267" s="150">
        <f t="shared" si="56"/>
        <v>266</v>
      </c>
      <c r="U267" s="150" t="e">
        <f t="shared" si="57"/>
        <v>#N/A</v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>
        <f t="shared" si="54"/>
        <v>267</v>
      </c>
      <c r="S268" s="150" t="e">
        <f t="shared" si="55"/>
        <v>#N/A</v>
      </c>
      <c r="T268" s="150">
        <f t="shared" si="56"/>
        <v>267</v>
      </c>
      <c r="U268" s="150" t="e">
        <f t="shared" si="57"/>
        <v>#N/A</v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>
        <f t="shared" si="54"/>
        <v>268</v>
      </c>
      <c r="S269" s="150" t="e">
        <f t="shared" si="55"/>
        <v>#N/A</v>
      </c>
      <c r="T269" s="150">
        <f t="shared" si="56"/>
        <v>268</v>
      </c>
      <c r="U269" s="150" t="e">
        <f t="shared" si="57"/>
        <v>#N/A</v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>
        <f t="shared" si="54"/>
        <v>269</v>
      </c>
      <c r="S270" s="150" t="e">
        <f t="shared" si="55"/>
        <v>#N/A</v>
      </c>
      <c r="T270" s="150">
        <f t="shared" si="56"/>
        <v>269</v>
      </c>
      <c r="U270" s="150" t="e">
        <f t="shared" si="57"/>
        <v>#N/A</v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>
        <f t="shared" si="54"/>
        <v>270</v>
      </c>
      <c r="S271" s="150" t="e">
        <f t="shared" si="55"/>
        <v>#N/A</v>
      </c>
      <c r="T271" s="150">
        <f t="shared" si="56"/>
        <v>270</v>
      </c>
      <c r="U271" s="150" t="e">
        <f t="shared" si="57"/>
        <v>#N/A</v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>
        <f t="shared" si="54"/>
        <v>271</v>
      </c>
      <c r="S272" s="150" t="e">
        <f t="shared" si="55"/>
        <v>#N/A</v>
      </c>
      <c r="T272" s="150">
        <f t="shared" si="56"/>
        <v>271</v>
      </c>
      <c r="U272" s="150" t="e">
        <f t="shared" si="57"/>
        <v>#N/A</v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>
        <f t="shared" si="54"/>
        <v>272</v>
      </c>
      <c r="S273" s="150" t="e">
        <f t="shared" si="55"/>
        <v>#N/A</v>
      </c>
      <c r="T273" s="150">
        <f t="shared" si="56"/>
        <v>272</v>
      </c>
      <c r="U273" s="150" t="e">
        <f t="shared" si="57"/>
        <v>#N/A</v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>
        <f t="shared" si="54"/>
        <v>273</v>
      </c>
      <c r="S274" s="150" t="e">
        <f t="shared" si="55"/>
        <v>#N/A</v>
      </c>
      <c r="T274" s="150">
        <f t="shared" si="56"/>
        <v>273</v>
      </c>
      <c r="U274" s="150" t="e">
        <f t="shared" si="57"/>
        <v>#N/A</v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>
        <f t="shared" si="54"/>
        <v>274</v>
      </c>
      <c r="S275" s="150" t="e">
        <f t="shared" si="55"/>
        <v>#N/A</v>
      </c>
      <c r="T275" s="150">
        <f t="shared" si="56"/>
        <v>274</v>
      </c>
      <c r="U275" s="150" t="e">
        <f t="shared" si="57"/>
        <v>#N/A</v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>
        <f t="shared" si="54"/>
        <v>275</v>
      </c>
      <c r="S276" s="150" t="e">
        <f t="shared" si="55"/>
        <v>#N/A</v>
      </c>
      <c r="T276" s="150">
        <f t="shared" si="56"/>
        <v>275</v>
      </c>
      <c r="U276" s="150" t="e">
        <f t="shared" si="57"/>
        <v>#N/A</v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>
        <f t="shared" si="54"/>
        <v>276</v>
      </c>
      <c r="S277" s="150" t="e">
        <f t="shared" si="55"/>
        <v>#N/A</v>
      </c>
      <c r="T277" s="150">
        <f t="shared" si="56"/>
        <v>276</v>
      </c>
      <c r="U277" s="150" t="e">
        <f t="shared" si="57"/>
        <v>#N/A</v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>
        <f t="shared" si="54"/>
        <v>277</v>
      </c>
      <c r="S278" s="150" t="e">
        <f t="shared" si="55"/>
        <v>#N/A</v>
      </c>
      <c r="T278" s="150">
        <f t="shared" si="56"/>
        <v>277</v>
      </c>
      <c r="U278" s="150" t="e">
        <f t="shared" si="57"/>
        <v>#N/A</v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>
        <f t="shared" si="54"/>
        <v>278</v>
      </c>
      <c r="S279" s="150" t="e">
        <f t="shared" si="55"/>
        <v>#N/A</v>
      </c>
      <c r="T279" s="150">
        <f t="shared" si="56"/>
        <v>278</v>
      </c>
      <c r="U279" s="150" t="e">
        <f t="shared" si="57"/>
        <v>#N/A</v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>
        <f t="shared" si="54"/>
        <v>279</v>
      </c>
      <c r="S280" s="150" t="e">
        <f t="shared" si="55"/>
        <v>#N/A</v>
      </c>
      <c r="T280" s="150">
        <f t="shared" si="56"/>
        <v>279</v>
      </c>
      <c r="U280" s="150" t="e">
        <f t="shared" si="57"/>
        <v>#N/A</v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>
        <f t="shared" si="54"/>
        <v>280</v>
      </c>
      <c r="S281" s="150" t="e">
        <f t="shared" si="55"/>
        <v>#N/A</v>
      </c>
      <c r="T281" s="150">
        <f t="shared" si="56"/>
        <v>280</v>
      </c>
      <c r="U281" s="150" t="e">
        <f t="shared" si="57"/>
        <v>#N/A</v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>
        <f t="shared" si="54"/>
        <v>281</v>
      </c>
      <c r="S282" s="150" t="e">
        <f t="shared" si="55"/>
        <v>#N/A</v>
      </c>
      <c r="T282" s="150">
        <f t="shared" si="56"/>
        <v>281</v>
      </c>
      <c r="U282" s="150" t="e">
        <f t="shared" si="57"/>
        <v>#N/A</v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>
        <f t="shared" si="54"/>
        <v>282</v>
      </c>
      <c r="S283" s="150" t="e">
        <f t="shared" si="55"/>
        <v>#N/A</v>
      </c>
      <c r="T283" s="150">
        <f t="shared" si="56"/>
        <v>282</v>
      </c>
      <c r="U283" s="150" t="e">
        <f t="shared" si="57"/>
        <v>#N/A</v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>
        <f t="shared" si="54"/>
        <v>283</v>
      </c>
      <c r="S284" s="150" t="e">
        <f t="shared" si="55"/>
        <v>#N/A</v>
      </c>
      <c r="T284" s="150">
        <f t="shared" si="56"/>
        <v>283</v>
      </c>
      <c r="U284" s="150" t="e">
        <f t="shared" si="57"/>
        <v>#N/A</v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>
        <f t="shared" si="54"/>
        <v>284</v>
      </c>
      <c r="S285" s="150" t="e">
        <f t="shared" si="55"/>
        <v>#N/A</v>
      </c>
      <c r="T285" s="150">
        <f t="shared" si="56"/>
        <v>284</v>
      </c>
      <c r="U285" s="150" t="e">
        <f t="shared" si="57"/>
        <v>#N/A</v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>
        <f t="shared" si="54"/>
        <v>285</v>
      </c>
      <c r="S286" s="150" t="e">
        <f t="shared" si="55"/>
        <v>#N/A</v>
      </c>
      <c r="T286" s="150">
        <f t="shared" si="56"/>
        <v>285</v>
      </c>
      <c r="U286" s="150" t="e">
        <f t="shared" si="57"/>
        <v>#N/A</v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>
        <f t="shared" si="54"/>
        <v>286</v>
      </c>
      <c r="S287" s="150" t="e">
        <f t="shared" si="55"/>
        <v>#N/A</v>
      </c>
      <c r="T287" s="150">
        <f t="shared" si="56"/>
        <v>286</v>
      </c>
      <c r="U287" s="150" t="e">
        <f t="shared" si="57"/>
        <v>#N/A</v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>
        <f t="shared" si="54"/>
        <v>287</v>
      </c>
      <c r="S288" s="150" t="e">
        <f t="shared" si="55"/>
        <v>#N/A</v>
      </c>
      <c r="T288" s="150">
        <f t="shared" si="56"/>
        <v>287</v>
      </c>
      <c r="U288" s="150" t="e">
        <f t="shared" si="57"/>
        <v>#N/A</v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>
        <f t="shared" si="54"/>
        <v>288</v>
      </c>
      <c r="S289" s="150" t="e">
        <f t="shared" si="55"/>
        <v>#N/A</v>
      </c>
      <c r="T289" s="150">
        <f t="shared" si="56"/>
        <v>288</v>
      </c>
      <c r="U289" s="150" t="e">
        <f t="shared" si="57"/>
        <v>#N/A</v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>
        <f t="shared" si="54"/>
        <v>289</v>
      </c>
      <c r="S290" s="150" t="e">
        <f t="shared" si="55"/>
        <v>#N/A</v>
      </c>
      <c r="T290" s="150">
        <f t="shared" si="56"/>
        <v>289</v>
      </c>
      <c r="U290" s="150" t="e">
        <f t="shared" si="57"/>
        <v>#N/A</v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>
        <f t="shared" si="54"/>
        <v>290</v>
      </c>
      <c r="S291" s="150" t="e">
        <f t="shared" si="55"/>
        <v>#N/A</v>
      </c>
      <c r="T291" s="150">
        <f t="shared" si="56"/>
        <v>290</v>
      </c>
      <c r="U291" s="150" t="e">
        <f t="shared" si="57"/>
        <v>#N/A</v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>
        <f t="shared" si="54"/>
        <v>291</v>
      </c>
      <c r="S292" s="150" t="e">
        <f t="shared" si="55"/>
        <v>#N/A</v>
      </c>
      <c r="T292" s="150">
        <f t="shared" si="56"/>
        <v>291</v>
      </c>
      <c r="U292" s="150" t="e">
        <f t="shared" si="57"/>
        <v>#N/A</v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>
        <f t="shared" si="54"/>
        <v>292</v>
      </c>
      <c r="S293" s="150" t="e">
        <f t="shared" si="55"/>
        <v>#N/A</v>
      </c>
      <c r="T293" s="150">
        <f t="shared" si="56"/>
        <v>292</v>
      </c>
      <c r="U293" s="150" t="e">
        <f t="shared" si="57"/>
        <v>#N/A</v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>
        <f t="shared" si="54"/>
        <v>293</v>
      </c>
      <c r="S294" s="150" t="e">
        <f t="shared" si="55"/>
        <v>#N/A</v>
      </c>
      <c r="T294" s="150">
        <f t="shared" si="56"/>
        <v>293</v>
      </c>
      <c r="U294" s="150" t="e">
        <f t="shared" si="57"/>
        <v>#N/A</v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>
        <f t="shared" si="54"/>
        <v>294</v>
      </c>
      <c r="S295" s="150" t="e">
        <f t="shared" si="55"/>
        <v>#N/A</v>
      </c>
      <c r="T295" s="150">
        <f t="shared" si="56"/>
        <v>294</v>
      </c>
      <c r="U295" s="150" t="e">
        <f t="shared" si="57"/>
        <v>#N/A</v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>
        <f t="shared" si="54"/>
        <v>295</v>
      </c>
      <c r="S296" s="150" t="e">
        <f t="shared" si="55"/>
        <v>#N/A</v>
      </c>
      <c r="T296" s="150">
        <f t="shared" si="56"/>
        <v>295</v>
      </c>
      <c r="U296" s="150" t="e">
        <f t="shared" si="57"/>
        <v>#N/A</v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>
        <f t="shared" si="54"/>
        <v>296</v>
      </c>
      <c r="S297" s="150" t="e">
        <f t="shared" si="55"/>
        <v>#N/A</v>
      </c>
      <c r="T297" s="150">
        <f t="shared" si="56"/>
        <v>296</v>
      </c>
      <c r="U297" s="150" t="e">
        <f t="shared" si="57"/>
        <v>#N/A</v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>
        <f t="shared" si="54"/>
        <v>297</v>
      </c>
      <c r="S298" s="150" t="e">
        <f t="shared" si="55"/>
        <v>#N/A</v>
      </c>
      <c r="T298" s="150">
        <f t="shared" si="56"/>
        <v>297</v>
      </c>
      <c r="U298" s="150" t="e">
        <f t="shared" si="57"/>
        <v>#N/A</v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>
        <f t="shared" si="54"/>
        <v>298</v>
      </c>
      <c r="S299" s="150" t="e">
        <f t="shared" si="55"/>
        <v>#N/A</v>
      </c>
      <c r="T299" s="150">
        <f t="shared" si="56"/>
        <v>298</v>
      </c>
      <c r="U299" s="150" t="e">
        <f t="shared" si="57"/>
        <v>#N/A</v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>
        <f t="shared" si="54"/>
        <v>299</v>
      </c>
      <c r="S300" s="150" t="e">
        <f t="shared" si="55"/>
        <v>#N/A</v>
      </c>
      <c r="T300" s="150">
        <f t="shared" si="56"/>
        <v>299</v>
      </c>
      <c r="U300" s="150" t="e">
        <f t="shared" si="57"/>
        <v>#N/A</v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>
        <f t="shared" si="54"/>
        <v>300</v>
      </c>
      <c r="S301" s="150" t="e">
        <f t="shared" si="55"/>
        <v>#N/A</v>
      </c>
      <c r="T301" s="150">
        <f t="shared" si="56"/>
        <v>300</v>
      </c>
      <c r="U301" s="150" t="e">
        <f t="shared" si="57"/>
        <v>#N/A</v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>
        <f t="shared" si="54"/>
        <v>301</v>
      </c>
      <c r="S302" s="150" t="e">
        <f t="shared" si="55"/>
        <v>#N/A</v>
      </c>
      <c r="T302" s="150">
        <f t="shared" si="56"/>
        <v>301</v>
      </c>
      <c r="U302" s="150" t="e">
        <f t="shared" si="57"/>
        <v>#N/A</v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>
        <f t="shared" si="54"/>
        <v>302</v>
      </c>
      <c r="S303" s="150" t="e">
        <f t="shared" si="55"/>
        <v>#N/A</v>
      </c>
      <c r="T303" s="150">
        <f t="shared" si="56"/>
        <v>302</v>
      </c>
      <c r="U303" s="150" t="e">
        <f t="shared" si="57"/>
        <v>#N/A</v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>
        <f t="shared" si="54"/>
        <v>303</v>
      </c>
      <c r="S304" s="150" t="e">
        <f t="shared" si="55"/>
        <v>#N/A</v>
      </c>
      <c r="T304" s="150">
        <f t="shared" si="56"/>
        <v>303</v>
      </c>
      <c r="U304" s="150" t="e">
        <f t="shared" si="57"/>
        <v>#N/A</v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>
        <f t="shared" si="54"/>
        <v>304</v>
      </c>
      <c r="S305" s="150" t="e">
        <f t="shared" si="55"/>
        <v>#N/A</v>
      </c>
      <c r="T305" s="150">
        <f t="shared" si="56"/>
        <v>304</v>
      </c>
      <c r="U305" s="150" t="e">
        <f t="shared" si="57"/>
        <v>#N/A</v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>
        <f t="shared" si="54"/>
        <v>305</v>
      </c>
      <c r="S306" s="150" t="e">
        <f t="shared" si="55"/>
        <v>#N/A</v>
      </c>
      <c r="T306" s="150">
        <f t="shared" si="56"/>
        <v>305</v>
      </c>
      <c r="U306" s="150" t="e">
        <f t="shared" si="57"/>
        <v>#N/A</v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>
        <f t="shared" si="54"/>
        <v>306</v>
      </c>
      <c r="S307" s="150" t="e">
        <f t="shared" si="55"/>
        <v>#N/A</v>
      </c>
      <c r="T307" s="150">
        <f t="shared" si="56"/>
        <v>306</v>
      </c>
      <c r="U307" s="150" t="e">
        <f t="shared" si="57"/>
        <v>#N/A</v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>
        <f t="shared" si="54"/>
        <v>307</v>
      </c>
      <c r="S308" s="150" t="e">
        <f t="shared" si="55"/>
        <v>#N/A</v>
      </c>
      <c r="T308" s="150">
        <f t="shared" si="56"/>
        <v>307</v>
      </c>
      <c r="U308" s="150" t="e">
        <f t="shared" si="57"/>
        <v>#N/A</v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>
        <f t="shared" si="54"/>
        <v>308</v>
      </c>
      <c r="S309" s="150" t="e">
        <f t="shared" si="55"/>
        <v>#N/A</v>
      </c>
      <c r="T309" s="150">
        <f t="shared" si="56"/>
        <v>308</v>
      </c>
      <c r="U309" s="150" t="e">
        <f t="shared" si="57"/>
        <v>#N/A</v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>
        <f t="shared" si="54"/>
        <v>309</v>
      </c>
      <c r="S310" s="150" t="e">
        <f t="shared" si="55"/>
        <v>#N/A</v>
      </c>
      <c r="T310" s="150">
        <f t="shared" si="56"/>
        <v>309</v>
      </c>
      <c r="U310" s="150" t="e">
        <f t="shared" si="57"/>
        <v>#N/A</v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>
        <f t="shared" si="54"/>
        <v>310</v>
      </c>
      <c r="S311" s="150" t="e">
        <f t="shared" si="55"/>
        <v>#N/A</v>
      </c>
      <c r="T311" s="150">
        <f t="shared" si="56"/>
        <v>310</v>
      </c>
      <c r="U311" s="150" t="e">
        <f t="shared" si="57"/>
        <v>#N/A</v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>
        <f t="shared" si="54"/>
        <v>311</v>
      </c>
      <c r="S312" s="150" t="e">
        <f t="shared" si="55"/>
        <v>#N/A</v>
      </c>
      <c r="T312" s="150">
        <f t="shared" si="56"/>
        <v>311</v>
      </c>
      <c r="U312" s="150" t="e">
        <f t="shared" si="57"/>
        <v>#N/A</v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>
        <f t="shared" si="54"/>
        <v>312</v>
      </c>
      <c r="S313" s="150" t="e">
        <f t="shared" si="55"/>
        <v>#N/A</v>
      </c>
      <c r="T313" s="150">
        <f t="shared" si="56"/>
        <v>312</v>
      </c>
      <c r="U313" s="150" t="e">
        <f t="shared" si="57"/>
        <v>#N/A</v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>
        <f t="shared" si="54"/>
        <v>313</v>
      </c>
      <c r="S314" s="150" t="e">
        <f t="shared" si="55"/>
        <v>#N/A</v>
      </c>
      <c r="T314" s="150">
        <f t="shared" si="56"/>
        <v>313</v>
      </c>
      <c r="U314" s="150" t="e">
        <f t="shared" si="57"/>
        <v>#N/A</v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>
        <f t="shared" si="54"/>
        <v>314</v>
      </c>
      <c r="S315" s="150" t="e">
        <f t="shared" si="55"/>
        <v>#N/A</v>
      </c>
      <c r="T315" s="150">
        <f t="shared" si="56"/>
        <v>314</v>
      </c>
      <c r="U315" s="150" t="e">
        <f t="shared" si="57"/>
        <v>#N/A</v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>
        <f t="shared" si="54"/>
        <v>315</v>
      </c>
      <c r="S316" s="150" t="e">
        <f t="shared" si="55"/>
        <v>#N/A</v>
      </c>
      <c r="T316" s="150">
        <f t="shared" si="56"/>
        <v>315</v>
      </c>
      <c r="U316" s="150" t="e">
        <f t="shared" si="57"/>
        <v>#N/A</v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>
        <f t="shared" si="54"/>
        <v>316</v>
      </c>
      <c r="S317" s="150" t="e">
        <f t="shared" si="55"/>
        <v>#N/A</v>
      </c>
      <c r="T317" s="150">
        <f t="shared" si="56"/>
        <v>316</v>
      </c>
      <c r="U317" s="150" t="e">
        <f t="shared" si="57"/>
        <v>#N/A</v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>
        <f t="shared" si="54"/>
        <v>317</v>
      </c>
      <c r="S318" s="150" t="e">
        <f t="shared" si="55"/>
        <v>#N/A</v>
      </c>
      <c r="T318" s="150">
        <f t="shared" si="56"/>
        <v>317</v>
      </c>
      <c r="U318" s="150" t="e">
        <f t="shared" si="57"/>
        <v>#N/A</v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>
        <f t="shared" si="54"/>
        <v>318</v>
      </c>
      <c r="S319" s="150" t="e">
        <f t="shared" si="55"/>
        <v>#N/A</v>
      </c>
      <c r="T319" s="150">
        <f t="shared" si="56"/>
        <v>318</v>
      </c>
      <c r="U319" s="150" t="e">
        <f t="shared" si="57"/>
        <v>#N/A</v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>
        <f t="shared" si="54"/>
        <v>319</v>
      </c>
      <c r="S320" s="150" t="e">
        <f t="shared" si="55"/>
        <v>#N/A</v>
      </c>
      <c r="T320" s="150">
        <f t="shared" si="56"/>
        <v>319</v>
      </c>
      <c r="U320" s="150" t="e">
        <f t="shared" si="57"/>
        <v>#N/A</v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>
        <f t="shared" si="54"/>
        <v>320</v>
      </c>
      <c r="S321" s="150" t="e">
        <f t="shared" si="55"/>
        <v>#N/A</v>
      </c>
      <c r="T321" s="150">
        <f t="shared" si="56"/>
        <v>320</v>
      </c>
      <c r="U321" s="150" t="e">
        <f t="shared" si="57"/>
        <v>#N/A</v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>
        <f t="shared" si="54"/>
        <v>321</v>
      </c>
      <c r="S322" s="150" t="e">
        <f t="shared" si="55"/>
        <v>#N/A</v>
      </c>
      <c r="T322" s="150">
        <f t="shared" si="56"/>
        <v>321</v>
      </c>
      <c r="U322" s="150" t="e">
        <f t="shared" si="57"/>
        <v>#N/A</v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>
        <f t="shared" ref="R323:R386" si="66">IF($B$34&gt;=K323,K323,"")</f>
        <v>322</v>
      </c>
      <c r="S323" s="150" t="e">
        <f t="shared" ref="S323:S386" si="67">IF(R323="","",IF(R323&lt;=$E$36,VLOOKUP($E$35,$I$1:$J$4,2,FALSE),VLOOKUP($F$35,$I$1:$J$4,2,FALSE)))</f>
        <v>#N/A</v>
      </c>
      <c r="T323" s="150">
        <f t="shared" ref="T323:T386" si="68">IF($B$41&gt;=K323,K323,"")</f>
        <v>322</v>
      </c>
      <c r="U323" s="150" t="e">
        <f t="shared" ref="U323:U386" si="69">IF(T323="","",IF(T323&lt;=$E$43,VLOOKUP($E$42,$I$1:$J$4,2,FALSE),VLOOKUP($F$42,$I$1:$J$4,2,FALSE)))</f>
        <v>#N/A</v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>
        <f t="shared" si="66"/>
        <v>323</v>
      </c>
      <c r="S324" s="150" t="e">
        <f t="shared" si="67"/>
        <v>#N/A</v>
      </c>
      <c r="T324" s="150">
        <f t="shared" si="68"/>
        <v>323</v>
      </c>
      <c r="U324" s="150" t="e">
        <f t="shared" si="69"/>
        <v>#N/A</v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>
        <f t="shared" si="66"/>
        <v>324</v>
      </c>
      <c r="S325" s="150" t="e">
        <f t="shared" si="67"/>
        <v>#N/A</v>
      </c>
      <c r="T325" s="150">
        <f t="shared" si="68"/>
        <v>324</v>
      </c>
      <c r="U325" s="150" t="e">
        <f t="shared" si="69"/>
        <v>#N/A</v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>
        <f t="shared" si="66"/>
        <v>325</v>
      </c>
      <c r="S326" s="150" t="e">
        <f t="shared" si="67"/>
        <v>#N/A</v>
      </c>
      <c r="T326" s="150">
        <f t="shared" si="68"/>
        <v>325</v>
      </c>
      <c r="U326" s="150" t="e">
        <f t="shared" si="69"/>
        <v>#N/A</v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>
        <f t="shared" si="66"/>
        <v>326</v>
      </c>
      <c r="S327" s="150" t="e">
        <f t="shared" si="67"/>
        <v>#N/A</v>
      </c>
      <c r="T327" s="150">
        <f t="shared" si="68"/>
        <v>326</v>
      </c>
      <c r="U327" s="150" t="e">
        <f t="shared" si="69"/>
        <v>#N/A</v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>
        <f t="shared" si="66"/>
        <v>327</v>
      </c>
      <c r="S328" s="150" t="e">
        <f t="shared" si="67"/>
        <v>#N/A</v>
      </c>
      <c r="T328" s="150">
        <f t="shared" si="68"/>
        <v>327</v>
      </c>
      <c r="U328" s="150" t="e">
        <f t="shared" si="69"/>
        <v>#N/A</v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>
        <f t="shared" si="66"/>
        <v>328</v>
      </c>
      <c r="S329" s="150" t="e">
        <f t="shared" si="67"/>
        <v>#N/A</v>
      </c>
      <c r="T329" s="150">
        <f t="shared" si="68"/>
        <v>328</v>
      </c>
      <c r="U329" s="150" t="e">
        <f t="shared" si="69"/>
        <v>#N/A</v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>
        <f t="shared" si="66"/>
        <v>329</v>
      </c>
      <c r="S330" s="150" t="e">
        <f t="shared" si="67"/>
        <v>#N/A</v>
      </c>
      <c r="T330" s="150">
        <f t="shared" si="68"/>
        <v>329</v>
      </c>
      <c r="U330" s="150" t="e">
        <f t="shared" si="69"/>
        <v>#N/A</v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>
        <f t="shared" si="66"/>
        <v>330</v>
      </c>
      <c r="S331" s="150" t="e">
        <f t="shared" si="67"/>
        <v>#N/A</v>
      </c>
      <c r="T331" s="150">
        <f t="shared" si="68"/>
        <v>330</v>
      </c>
      <c r="U331" s="150" t="e">
        <f t="shared" si="69"/>
        <v>#N/A</v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>
        <f t="shared" si="66"/>
        <v>331</v>
      </c>
      <c r="S332" s="150" t="e">
        <f t="shared" si="67"/>
        <v>#N/A</v>
      </c>
      <c r="T332" s="150">
        <f t="shared" si="68"/>
        <v>331</v>
      </c>
      <c r="U332" s="150" t="e">
        <f t="shared" si="69"/>
        <v>#N/A</v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>
        <f t="shared" si="66"/>
        <v>332</v>
      </c>
      <c r="S333" s="150" t="e">
        <f t="shared" si="67"/>
        <v>#N/A</v>
      </c>
      <c r="T333" s="150">
        <f t="shared" si="68"/>
        <v>332</v>
      </c>
      <c r="U333" s="150" t="e">
        <f t="shared" si="69"/>
        <v>#N/A</v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>
        <f t="shared" si="66"/>
        <v>333</v>
      </c>
      <c r="S334" s="150" t="e">
        <f t="shared" si="67"/>
        <v>#N/A</v>
      </c>
      <c r="T334" s="150">
        <f t="shared" si="68"/>
        <v>333</v>
      </c>
      <c r="U334" s="150" t="e">
        <f t="shared" si="69"/>
        <v>#N/A</v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>
        <f t="shared" si="66"/>
        <v>334</v>
      </c>
      <c r="S335" s="150" t="e">
        <f t="shared" si="67"/>
        <v>#N/A</v>
      </c>
      <c r="T335" s="150">
        <f t="shared" si="68"/>
        <v>334</v>
      </c>
      <c r="U335" s="150" t="e">
        <f t="shared" si="69"/>
        <v>#N/A</v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>
        <f t="shared" si="66"/>
        <v>335</v>
      </c>
      <c r="S336" s="150" t="e">
        <f t="shared" si="67"/>
        <v>#N/A</v>
      </c>
      <c r="T336" s="150">
        <f t="shared" si="68"/>
        <v>335</v>
      </c>
      <c r="U336" s="150" t="e">
        <f t="shared" si="69"/>
        <v>#N/A</v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>
        <f t="shared" si="66"/>
        <v>336</v>
      </c>
      <c r="S337" s="150" t="e">
        <f t="shared" si="67"/>
        <v>#N/A</v>
      </c>
      <c r="T337" s="150">
        <f t="shared" si="68"/>
        <v>336</v>
      </c>
      <c r="U337" s="150" t="e">
        <f t="shared" si="69"/>
        <v>#N/A</v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>
        <f t="shared" si="66"/>
        <v>337</v>
      </c>
      <c r="S338" s="150" t="e">
        <f t="shared" si="67"/>
        <v>#N/A</v>
      </c>
      <c r="T338" s="150">
        <f t="shared" si="68"/>
        <v>337</v>
      </c>
      <c r="U338" s="150" t="e">
        <f t="shared" si="69"/>
        <v>#N/A</v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>
        <f t="shared" si="66"/>
        <v>338</v>
      </c>
      <c r="S339" s="150" t="e">
        <f t="shared" si="67"/>
        <v>#N/A</v>
      </c>
      <c r="T339" s="150">
        <f t="shared" si="68"/>
        <v>338</v>
      </c>
      <c r="U339" s="150" t="e">
        <f t="shared" si="69"/>
        <v>#N/A</v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>
        <f t="shared" si="66"/>
        <v>339</v>
      </c>
      <c r="S340" s="150" t="e">
        <f t="shared" si="67"/>
        <v>#N/A</v>
      </c>
      <c r="T340" s="150">
        <f t="shared" si="68"/>
        <v>339</v>
      </c>
      <c r="U340" s="150" t="e">
        <f t="shared" si="69"/>
        <v>#N/A</v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>
        <f t="shared" si="66"/>
        <v>340</v>
      </c>
      <c r="S341" s="150" t="e">
        <f t="shared" si="67"/>
        <v>#N/A</v>
      </c>
      <c r="T341" s="150">
        <f t="shared" si="68"/>
        <v>340</v>
      </c>
      <c r="U341" s="150" t="e">
        <f t="shared" si="69"/>
        <v>#N/A</v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>
        <f t="shared" si="66"/>
        <v>341</v>
      </c>
      <c r="S342" s="150" t="e">
        <f t="shared" si="67"/>
        <v>#N/A</v>
      </c>
      <c r="T342" s="150">
        <f t="shared" si="68"/>
        <v>341</v>
      </c>
      <c r="U342" s="150" t="e">
        <f t="shared" si="69"/>
        <v>#N/A</v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>
        <f t="shared" si="66"/>
        <v>342</v>
      </c>
      <c r="S343" s="150" t="e">
        <f t="shared" si="67"/>
        <v>#N/A</v>
      </c>
      <c r="T343" s="150">
        <f t="shared" si="68"/>
        <v>342</v>
      </c>
      <c r="U343" s="150" t="e">
        <f t="shared" si="69"/>
        <v>#N/A</v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>
        <f t="shared" si="66"/>
        <v>343</v>
      </c>
      <c r="S344" s="150" t="e">
        <f t="shared" si="67"/>
        <v>#N/A</v>
      </c>
      <c r="T344" s="150">
        <f t="shared" si="68"/>
        <v>343</v>
      </c>
      <c r="U344" s="150" t="e">
        <f t="shared" si="69"/>
        <v>#N/A</v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>
        <f t="shared" si="66"/>
        <v>344</v>
      </c>
      <c r="S345" s="150" t="e">
        <f t="shared" si="67"/>
        <v>#N/A</v>
      </c>
      <c r="T345" s="150">
        <f t="shared" si="68"/>
        <v>344</v>
      </c>
      <c r="U345" s="150" t="e">
        <f t="shared" si="69"/>
        <v>#N/A</v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>
        <f t="shared" si="66"/>
        <v>345</v>
      </c>
      <c r="S346" s="150" t="e">
        <f t="shared" si="67"/>
        <v>#N/A</v>
      </c>
      <c r="T346" s="150">
        <f t="shared" si="68"/>
        <v>345</v>
      </c>
      <c r="U346" s="150" t="e">
        <f t="shared" si="69"/>
        <v>#N/A</v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>
        <f t="shared" si="66"/>
        <v>346</v>
      </c>
      <c r="S347" s="150" t="e">
        <f t="shared" si="67"/>
        <v>#N/A</v>
      </c>
      <c r="T347" s="150">
        <f t="shared" si="68"/>
        <v>346</v>
      </c>
      <c r="U347" s="150" t="e">
        <f t="shared" si="69"/>
        <v>#N/A</v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>
        <f t="shared" si="66"/>
        <v>347</v>
      </c>
      <c r="S348" s="150" t="e">
        <f t="shared" si="67"/>
        <v>#N/A</v>
      </c>
      <c r="T348" s="150">
        <f t="shared" si="68"/>
        <v>347</v>
      </c>
      <c r="U348" s="150" t="e">
        <f t="shared" si="69"/>
        <v>#N/A</v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>
        <f t="shared" si="66"/>
        <v>348</v>
      </c>
      <c r="S349" s="150" t="e">
        <f t="shared" si="67"/>
        <v>#N/A</v>
      </c>
      <c r="T349" s="150">
        <f t="shared" si="68"/>
        <v>348</v>
      </c>
      <c r="U349" s="150" t="e">
        <f t="shared" si="69"/>
        <v>#N/A</v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>
        <f t="shared" si="66"/>
        <v>349</v>
      </c>
      <c r="S350" s="150" t="e">
        <f t="shared" si="67"/>
        <v>#N/A</v>
      </c>
      <c r="T350" s="150">
        <f t="shared" si="68"/>
        <v>349</v>
      </c>
      <c r="U350" s="150" t="e">
        <f t="shared" si="69"/>
        <v>#N/A</v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>
        <f t="shared" si="66"/>
        <v>350</v>
      </c>
      <c r="S351" s="150" t="e">
        <f t="shared" si="67"/>
        <v>#N/A</v>
      </c>
      <c r="T351" s="150">
        <f t="shared" si="68"/>
        <v>350</v>
      </c>
      <c r="U351" s="150" t="e">
        <f t="shared" si="69"/>
        <v>#N/A</v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>
        <f t="shared" si="66"/>
        <v>351</v>
      </c>
      <c r="S352" s="150" t="e">
        <f t="shared" si="67"/>
        <v>#N/A</v>
      </c>
      <c r="T352" s="150">
        <f t="shared" si="68"/>
        <v>351</v>
      </c>
      <c r="U352" s="150" t="e">
        <f t="shared" si="69"/>
        <v>#N/A</v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>
        <f t="shared" si="66"/>
        <v>352</v>
      </c>
      <c r="S353" s="150" t="e">
        <f t="shared" si="67"/>
        <v>#N/A</v>
      </c>
      <c r="T353" s="150">
        <f t="shared" si="68"/>
        <v>352</v>
      </c>
      <c r="U353" s="150" t="e">
        <f t="shared" si="69"/>
        <v>#N/A</v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>
        <f t="shared" si="66"/>
        <v>353</v>
      </c>
      <c r="S354" s="150" t="e">
        <f t="shared" si="67"/>
        <v>#N/A</v>
      </c>
      <c r="T354" s="150">
        <f t="shared" si="68"/>
        <v>353</v>
      </c>
      <c r="U354" s="150" t="e">
        <f t="shared" si="69"/>
        <v>#N/A</v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>
        <f t="shared" si="66"/>
        <v>354</v>
      </c>
      <c r="S355" s="150" t="e">
        <f t="shared" si="67"/>
        <v>#N/A</v>
      </c>
      <c r="T355" s="150">
        <f t="shared" si="68"/>
        <v>354</v>
      </c>
      <c r="U355" s="150" t="e">
        <f t="shared" si="69"/>
        <v>#N/A</v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>
        <f t="shared" si="66"/>
        <v>355</v>
      </c>
      <c r="S356" s="150" t="e">
        <f t="shared" si="67"/>
        <v>#N/A</v>
      </c>
      <c r="T356" s="150">
        <f t="shared" si="68"/>
        <v>355</v>
      </c>
      <c r="U356" s="150" t="e">
        <f t="shared" si="69"/>
        <v>#N/A</v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>
        <f t="shared" si="66"/>
        <v>356</v>
      </c>
      <c r="S357" s="150" t="e">
        <f t="shared" si="67"/>
        <v>#N/A</v>
      </c>
      <c r="T357" s="150">
        <f t="shared" si="68"/>
        <v>356</v>
      </c>
      <c r="U357" s="150" t="e">
        <f t="shared" si="69"/>
        <v>#N/A</v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>
        <f t="shared" si="66"/>
        <v>357</v>
      </c>
      <c r="S358" s="150" t="e">
        <f t="shared" si="67"/>
        <v>#N/A</v>
      </c>
      <c r="T358" s="150">
        <f t="shared" si="68"/>
        <v>357</v>
      </c>
      <c r="U358" s="150" t="e">
        <f t="shared" si="69"/>
        <v>#N/A</v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>
        <f t="shared" si="66"/>
        <v>358</v>
      </c>
      <c r="S359" s="150" t="e">
        <f t="shared" si="67"/>
        <v>#N/A</v>
      </c>
      <c r="T359" s="150">
        <f t="shared" si="68"/>
        <v>358</v>
      </c>
      <c r="U359" s="150" t="e">
        <f t="shared" si="69"/>
        <v>#N/A</v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>
        <f t="shared" si="66"/>
        <v>359</v>
      </c>
      <c r="S360" s="150" t="e">
        <f t="shared" si="67"/>
        <v>#N/A</v>
      </c>
      <c r="T360" s="150">
        <f t="shared" si="68"/>
        <v>359</v>
      </c>
      <c r="U360" s="150" t="e">
        <f t="shared" si="69"/>
        <v>#N/A</v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>
        <f t="shared" si="66"/>
        <v>360</v>
      </c>
      <c r="S361" s="150" t="e">
        <f t="shared" si="67"/>
        <v>#N/A</v>
      </c>
      <c r="T361" s="150">
        <f t="shared" si="68"/>
        <v>360</v>
      </c>
      <c r="U361" s="150" t="e">
        <f t="shared" si="69"/>
        <v>#N/A</v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>
        <f t="shared" si="66"/>
        <v>361</v>
      </c>
      <c r="S362" s="150" t="e">
        <f t="shared" si="67"/>
        <v>#N/A</v>
      </c>
      <c r="T362" s="150">
        <f t="shared" si="68"/>
        <v>361</v>
      </c>
      <c r="U362" s="150" t="e">
        <f t="shared" si="69"/>
        <v>#N/A</v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>
        <f t="shared" si="66"/>
        <v>362</v>
      </c>
      <c r="S363" s="150" t="e">
        <f t="shared" si="67"/>
        <v>#N/A</v>
      </c>
      <c r="T363" s="150">
        <f t="shared" si="68"/>
        <v>362</v>
      </c>
      <c r="U363" s="150" t="e">
        <f t="shared" si="69"/>
        <v>#N/A</v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>
        <f t="shared" si="66"/>
        <v>363</v>
      </c>
      <c r="S364" s="150" t="e">
        <f t="shared" si="67"/>
        <v>#N/A</v>
      </c>
      <c r="T364" s="150">
        <f t="shared" si="68"/>
        <v>363</v>
      </c>
      <c r="U364" s="150" t="e">
        <f t="shared" si="69"/>
        <v>#N/A</v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>
        <f t="shared" si="66"/>
        <v>364</v>
      </c>
      <c r="S365" s="150" t="e">
        <f t="shared" si="67"/>
        <v>#N/A</v>
      </c>
      <c r="T365" s="150">
        <f t="shared" si="68"/>
        <v>364</v>
      </c>
      <c r="U365" s="150" t="e">
        <f t="shared" si="69"/>
        <v>#N/A</v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>
        <f t="shared" si="66"/>
        <v>365</v>
      </c>
      <c r="S366" s="150" t="e">
        <f t="shared" si="67"/>
        <v>#N/A</v>
      </c>
      <c r="T366" s="150">
        <f t="shared" si="68"/>
        <v>365</v>
      </c>
      <c r="U366" s="150" t="e">
        <f t="shared" si="69"/>
        <v>#N/A</v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>
        <f t="shared" si="66"/>
        <v>366</v>
      </c>
      <c r="S367" s="150" t="e">
        <f t="shared" si="67"/>
        <v>#N/A</v>
      </c>
      <c r="T367" s="150">
        <f t="shared" si="68"/>
        <v>366</v>
      </c>
      <c r="U367" s="150" t="e">
        <f t="shared" si="69"/>
        <v>#N/A</v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>
        <f t="shared" si="66"/>
        <v>367</v>
      </c>
      <c r="S368" s="150" t="e">
        <f t="shared" si="67"/>
        <v>#N/A</v>
      </c>
      <c r="T368" s="150">
        <f t="shared" si="68"/>
        <v>367</v>
      </c>
      <c r="U368" s="150" t="e">
        <f t="shared" si="69"/>
        <v>#N/A</v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>
        <f t="shared" si="66"/>
        <v>368</v>
      </c>
      <c r="S369" s="150" t="e">
        <f t="shared" si="67"/>
        <v>#N/A</v>
      </c>
      <c r="T369" s="150">
        <f t="shared" si="68"/>
        <v>368</v>
      </c>
      <c r="U369" s="150" t="e">
        <f t="shared" si="69"/>
        <v>#N/A</v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>
        <f t="shared" si="66"/>
        <v>369</v>
      </c>
      <c r="S370" s="150" t="e">
        <f t="shared" si="67"/>
        <v>#N/A</v>
      </c>
      <c r="T370" s="150">
        <f t="shared" si="68"/>
        <v>369</v>
      </c>
      <c r="U370" s="150" t="e">
        <f t="shared" si="69"/>
        <v>#N/A</v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>
        <f t="shared" si="66"/>
        <v>370</v>
      </c>
      <c r="S371" s="150" t="e">
        <f t="shared" si="67"/>
        <v>#N/A</v>
      </c>
      <c r="T371" s="150">
        <f t="shared" si="68"/>
        <v>370</v>
      </c>
      <c r="U371" s="150" t="e">
        <f t="shared" si="69"/>
        <v>#N/A</v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>
        <f t="shared" si="66"/>
        <v>371</v>
      </c>
      <c r="S372" s="150" t="e">
        <f t="shared" si="67"/>
        <v>#N/A</v>
      </c>
      <c r="T372" s="150">
        <f t="shared" si="68"/>
        <v>371</v>
      </c>
      <c r="U372" s="150" t="e">
        <f t="shared" si="69"/>
        <v>#N/A</v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>
        <f t="shared" si="66"/>
        <v>372</v>
      </c>
      <c r="S373" s="150" t="e">
        <f t="shared" si="67"/>
        <v>#N/A</v>
      </c>
      <c r="T373" s="150">
        <f t="shared" si="68"/>
        <v>372</v>
      </c>
      <c r="U373" s="150" t="e">
        <f t="shared" si="69"/>
        <v>#N/A</v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>
        <f t="shared" si="66"/>
        <v>373</v>
      </c>
      <c r="S374" s="150" t="e">
        <f t="shared" si="67"/>
        <v>#N/A</v>
      </c>
      <c r="T374" s="150">
        <f t="shared" si="68"/>
        <v>373</v>
      </c>
      <c r="U374" s="150" t="e">
        <f t="shared" si="69"/>
        <v>#N/A</v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>
        <f t="shared" si="66"/>
        <v>374</v>
      </c>
      <c r="S375" s="150" t="e">
        <f t="shared" si="67"/>
        <v>#N/A</v>
      </c>
      <c r="T375" s="150">
        <f t="shared" si="68"/>
        <v>374</v>
      </c>
      <c r="U375" s="150" t="e">
        <f t="shared" si="69"/>
        <v>#N/A</v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>
        <f t="shared" si="66"/>
        <v>375</v>
      </c>
      <c r="S376" s="150" t="e">
        <f t="shared" si="67"/>
        <v>#N/A</v>
      </c>
      <c r="T376" s="150">
        <f t="shared" si="68"/>
        <v>375</v>
      </c>
      <c r="U376" s="150" t="e">
        <f t="shared" si="69"/>
        <v>#N/A</v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>
        <f t="shared" si="66"/>
        <v>376</v>
      </c>
      <c r="S377" s="150" t="e">
        <f t="shared" si="67"/>
        <v>#N/A</v>
      </c>
      <c r="T377" s="150">
        <f t="shared" si="68"/>
        <v>376</v>
      </c>
      <c r="U377" s="150" t="e">
        <f t="shared" si="69"/>
        <v>#N/A</v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>
        <f t="shared" si="66"/>
        <v>377</v>
      </c>
      <c r="S378" s="150" t="e">
        <f t="shared" si="67"/>
        <v>#N/A</v>
      </c>
      <c r="T378" s="150">
        <f t="shared" si="68"/>
        <v>377</v>
      </c>
      <c r="U378" s="150" t="e">
        <f t="shared" si="69"/>
        <v>#N/A</v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>
        <f t="shared" si="66"/>
        <v>378</v>
      </c>
      <c r="S379" s="150" t="e">
        <f t="shared" si="67"/>
        <v>#N/A</v>
      </c>
      <c r="T379" s="150">
        <f t="shared" si="68"/>
        <v>378</v>
      </c>
      <c r="U379" s="150" t="e">
        <f t="shared" si="69"/>
        <v>#N/A</v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>
        <f t="shared" si="66"/>
        <v>379</v>
      </c>
      <c r="S380" s="150" t="e">
        <f t="shared" si="67"/>
        <v>#N/A</v>
      </c>
      <c r="T380" s="150">
        <f t="shared" si="68"/>
        <v>379</v>
      </c>
      <c r="U380" s="150" t="e">
        <f t="shared" si="69"/>
        <v>#N/A</v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>
        <f t="shared" si="66"/>
        <v>380</v>
      </c>
      <c r="S381" s="150" t="e">
        <f t="shared" si="67"/>
        <v>#N/A</v>
      </c>
      <c r="T381" s="150">
        <f t="shared" si="68"/>
        <v>380</v>
      </c>
      <c r="U381" s="150" t="e">
        <f t="shared" si="69"/>
        <v>#N/A</v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>
        <f t="shared" si="66"/>
        <v>381</v>
      </c>
      <c r="S382" s="150" t="e">
        <f t="shared" si="67"/>
        <v>#N/A</v>
      </c>
      <c r="T382" s="150">
        <f t="shared" si="68"/>
        <v>381</v>
      </c>
      <c r="U382" s="150" t="e">
        <f t="shared" si="69"/>
        <v>#N/A</v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>
        <f t="shared" si="66"/>
        <v>382</v>
      </c>
      <c r="S383" s="150" t="e">
        <f t="shared" si="67"/>
        <v>#N/A</v>
      </c>
      <c r="T383" s="150">
        <f t="shared" si="68"/>
        <v>382</v>
      </c>
      <c r="U383" s="150" t="e">
        <f t="shared" si="69"/>
        <v>#N/A</v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>
        <f t="shared" si="66"/>
        <v>383</v>
      </c>
      <c r="S384" s="150" t="e">
        <f t="shared" si="67"/>
        <v>#N/A</v>
      </c>
      <c r="T384" s="150">
        <f t="shared" si="68"/>
        <v>383</v>
      </c>
      <c r="U384" s="150" t="e">
        <f t="shared" si="69"/>
        <v>#N/A</v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>
        <f t="shared" si="66"/>
        <v>384</v>
      </c>
      <c r="S385" s="150" t="e">
        <f t="shared" si="67"/>
        <v>#N/A</v>
      </c>
      <c r="T385" s="150">
        <f t="shared" si="68"/>
        <v>384</v>
      </c>
      <c r="U385" s="150" t="e">
        <f t="shared" si="69"/>
        <v>#N/A</v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>
        <f t="shared" si="66"/>
        <v>385</v>
      </c>
      <c r="S386" s="150" t="e">
        <f t="shared" si="67"/>
        <v>#N/A</v>
      </c>
      <c r="T386" s="150">
        <f t="shared" si="68"/>
        <v>385</v>
      </c>
      <c r="U386" s="150" t="e">
        <f t="shared" si="69"/>
        <v>#N/A</v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>
        <f t="shared" ref="R387:R450" si="78">IF($B$34&gt;=K387,K387,"")</f>
        <v>386</v>
      </c>
      <c r="S387" s="150" t="e">
        <f t="shared" ref="S387:S450" si="79">IF(R387="","",IF(R387&lt;=$E$36,VLOOKUP($E$35,$I$1:$J$4,2,FALSE),VLOOKUP($F$35,$I$1:$J$4,2,FALSE)))</f>
        <v>#N/A</v>
      </c>
      <c r="T387" s="150">
        <f t="shared" ref="T387:T450" si="80">IF($B$41&gt;=K387,K387,"")</f>
        <v>386</v>
      </c>
      <c r="U387" s="150" t="e">
        <f t="shared" ref="U387:U450" si="81">IF(T387="","",IF(T387&lt;=$E$43,VLOOKUP($E$42,$I$1:$J$4,2,FALSE),VLOOKUP($F$42,$I$1:$J$4,2,FALSE)))</f>
        <v>#N/A</v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>
        <f t="shared" si="78"/>
        <v>387</v>
      </c>
      <c r="S388" s="150" t="e">
        <f t="shared" si="79"/>
        <v>#N/A</v>
      </c>
      <c r="T388" s="150">
        <f t="shared" si="80"/>
        <v>387</v>
      </c>
      <c r="U388" s="150" t="e">
        <f t="shared" si="81"/>
        <v>#N/A</v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>
        <f t="shared" si="78"/>
        <v>388</v>
      </c>
      <c r="S389" s="150" t="e">
        <f t="shared" si="79"/>
        <v>#N/A</v>
      </c>
      <c r="T389" s="150">
        <f t="shared" si="80"/>
        <v>388</v>
      </c>
      <c r="U389" s="150" t="e">
        <f t="shared" si="81"/>
        <v>#N/A</v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>
        <f t="shared" si="78"/>
        <v>389</v>
      </c>
      <c r="S390" s="150" t="e">
        <f t="shared" si="79"/>
        <v>#N/A</v>
      </c>
      <c r="T390" s="150">
        <f t="shared" si="80"/>
        <v>389</v>
      </c>
      <c r="U390" s="150" t="e">
        <f t="shared" si="81"/>
        <v>#N/A</v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>
        <f t="shared" si="78"/>
        <v>390</v>
      </c>
      <c r="S391" s="150" t="e">
        <f t="shared" si="79"/>
        <v>#N/A</v>
      </c>
      <c r="T391" s="150">
        <f t="shared" si="80"/>
        <v>390</v>
      </c>
      <c r="U391" s="150" t="e">
        <f t="shared" si="81"/>
        <v>#N/A</v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>
        <f t="shared" si="78"/>
        <v>391</v>
      </c>
      <c r="S392" s="150" t="e">
        <f t="shared" si="79"/>
        <v>#N/A</v>
      </c>
      <c r="T392" s="150">
        <f t="shared" si="80"/>
        <v>391</v>
      </c>
      <c r="U392" s="150" t="e">
        <f t="shared" si="81"/>
        <v>#N/A</v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>
        <f t="shared" si="78"/>
        <v>392</v>
      </c>
      <c r="S393" s="150" t="e">
        <f t="shared" si="79"/>
        <v>#N/A</v>
      </c>
      <c r="T393" s="150">
        <f t="shared" si="80"/>
        <v>392</v>
      </c>
      <c r="U393" s="150" t="e">
        <f t="shared" si="81"/>
        <v>#N/A</v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>
        <f t="shared" si="78"/>
        <v>393</v>
      </c>
      <c r="S394" s="150" t="e">
        <f t="shared" si="79"/>
        <v>#N/A</v>
      </c>
      <c r="T394" s="150">
        <f t="shared" si="80"/>
        <v>393</v>
      </c>
      <c r="U394" s="150" t="e">
        <f t="shared" si="81"/>
        <v>#N/A</v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>
        <f t="shared" si="78"/>
        <v>394</v>
      </c>
      <c r="S395" s="150" t="e">
        <f t="shared" si="79"/>
        <v>#N/A</v>
      </c>
      <c r="T395" s="150">
        <f t="shared" si="80"/>
        <v>394</v>
      </c>
      <c r="U395" s="150" t="e">
        <f t="shared" si="81"/>
        <v>#N/A</v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>
        <f t="shared" si="78"/>
        <v>395</v>
      </c>
      <c r="S396" s="150" t="e">
        <f t="shared" si="79"/>
        <v>#N/A</v>
      </c>
      <c r="T396" s="150">
        <f t="shared" si="80"/>
        <v>395</v>
      </c>
      <c r="U396" s="150" t="e">
        <f t="shared" si="81"/>
        <v>#N/A</v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>
        <f t="shared" si="78"/>
        <v>396</v>
      </c>
      <c r="S397" s="150" t="e">
        <f t="shared" si="79"/>
        <v>#N/A</v>
      </c>
      <c r="T397" s="150">
        <f t="shared" si="80"/>
        <v>396</v>
      </c>
      <c r="U397" s="150" t="e">
        <f t="shared" si="81"/>
        <v>#N/A</v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>
        <f t="shared" si="78"/>
        <v>397</v>
      </c>
      <c r="S398" s="150" t="e">
        <f t="shared" si="79"/>
        <v>#N/A</v>
      </c>
      <c r="T398" s="150">
        <f t="shared" si="80"/>
        <v>397</v>
      </c>
      <c r="U398" s="150" t="e">
        <f t="shared" si="81"/>
        <v>#N/A</v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>
        <f t="shared" si="78"/>
        <v>398</v>
      </c>
      <c r="S399" s="150" t="e">
        <f t="shared" si="79"/>
        <v>#N/A</v>
      </c>
      <c r="T399" s="150">
        <f t="shared" si="80"/>
        <v>398</v>
      </c>
      <c r="U399" s="150" t="e">
        <f t="shared" si="81"/>
        <v>#N/A</v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>
        <f t="shared" si="78"/>
        <v>399</v>
      </c>
      <c r="S400" s="150" t="e">
        <f t="shared" si="79"/>
        <v>#N/A</v>
      </c>
      <c r="T400" s="150">
        <f t="shared" si="80"/>
        <v>399</v>
      </c>
      <c r="U400" s="150" t="e">
        <f t="shared" si="81"/>
        <v>#N/A</v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>
        <f t="shared" si="78"/>
        <v>400</v>
      </c>
      <c r="S401" s="150" t="e">
        <f t="shared" si="79"/>
        <v>#N/A</v>
      </c>
      <c r="T401" s="150">
        <f t="shared" si="80"/>
        <v>400</v>
      </c>
      <c r="U401" s="150" t="e">
        <f t="shared" si="81"/>
        <v>#N/A</v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>
        <f t="shared" si="78"/>
        <v>401</v>
      </c>
      <c r="S402" s="150" t="e">
        <f t="shared" si="79"/>
        <v>#N/A</v>
      </c>
      <c r="T402" s="150">
        <f t="shared" si="80"/>
        <v>401</v>
      </c>
      <c r="U402" s="150" t="e">
        <f t="shared" si="81"/>
        <v>#N/A</v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>
        <f t="shared" si="78"/>
        <v>402</v>
      </c>
      <c r="S403" s="150" t="e">
        <f t="shared" si="79"/>
        <v>#N/A</v>
      </c>
      <c r="T403" s="150">
        <f t="shared" si="80"/>
        <v>402</v>
      </c>
      <c r="U403" s="150" t="e">
        <f t="shared" si="81"/>
        <v>#N/A</v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>
        <f t="shared" si="78"/>
        <v>403</v>
      </c>
      <c r="S404" s="150" t="e">
        <f t="shared" si="79"/>
        <v>#N/A</v>
      </c>
      <c r="T404" s="150">
        <f t="shared" si="80"/>
        <v>403</v>
      </c>
      <c r="U404" s="150" t="e">
        <f t="shared" si="81"/>
        <v>#N/A</v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>
        <f t="shared" si="78"/>
        <v>404</v>
      </c>
      <c r="S405" s="150" t="e">
        <f t="shared" si="79"/>
        <v>#N/A</v>
      </c>
      <c r="T405" s="150">
        <f t="shared" si="80"/>
        <v>404</v>
      </c>
      <c r="U405" s="150" t="e">
        <f t="shared" si="81"/>
        <v>#N/A</v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>
        <f t="shared" si="78"/>
        <v>405</v>
      </c>
      <c r="S406" s="150" t="e">
        <f t="shared" si="79"/>
        <v>#N/A</v>
      </c>
      <c r="T406" s="150">
        <f t="shared" si="80"/>
        <v>405</v>
      </c>
      <c r="U406" s="150" t="e">
        <f t="shared" si="81"/>
        <v>#N/A</v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>
        <f t="shared" si="78"/>
        <v>406</v>
      </c>
      <c r="S407" s="150" t="e">
        <f t="shared" si="79"/>
        <v>#N/A</v>
      </c>
      <c r="T407" s="150">
        <f t="shared" si="80"/>
        <v>406</v>
      </c>
      <c r="U407" s="150" t="e">
        <f t="shared" si="81"/>
        <v>#N/A</v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>
        <f t="shared" si="78"/>
        <v>407</v>
      </c>
      <c r="S408" s="150" t="e">
        <f t="shared" si="79"/>
        <v>#N/A</v>
      </c>
      <c r="T408" s="150">
        <f t="shared" si="80"/>
        <v>407</v>
      </c>
      <c r="U408" s="150" t="e">
        <f t="shared" si="81"/>
        <v>#N/A</v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>
        <f t="shared" si="78"/>
        <v>408</v>
      </c>
      <c r="S409" s="150" t="e">
        <f t="shared" si="79"/>
        <v>#N/A</v>
      </c>
      <c r="T409" s="150">
        <f t="shared" si="80"/>
        <v>408</v>
      </c>
      <c r="U409" s="150" t="e">
        <f t="shared" si="81"/>
        <v>#N/A</v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>
        <f t="shared" si="78"/>
        <v>409</v>
      </c>
      <c r="S410" s="150" t="e">
        <f t="shared" si="79"/>
        <v>#N/A</v>
      </c>
      <c r="T410" s="150">
        <f t="shared" si="80"/>
        <v>409</v>
      </c>
      <c r="U410" s="150" t="e">
        <f t="shared" si="81"/>
        <v>#N/A</v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>
        <f t="shared" si="78"/>
        <v>410</v>
      </c>
      <c r="S411" s="150" t="e">
        <f t="shared" si="79"/>
        <v>#N/A</v>
      </c>
      <c r="T411" s="150">
        <f t="shared" si="80"/>
        <v>410</v>
      </c>
      <c r="U411" s="150" t="e">
        <f t="shared" si="81"/>
        <v>#N/A</v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>
        <f t="shared" si="78"/>
        <v>411</v>
      </c>
      <c r="S412" s="150" t="e">
        <f t="shared" si="79"/>
        <v>#N/A</v>
      </c>
      <c r="T412" s="150">
        <f t="shared" si="80"/>
        <v>411</v>
      </c>
      <c r="U412" s="150" t="e">
        <f t="shared" si="81"/>
        <v>#N/A</v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>
        <f t="shared" si="78"/>
        <v>412</v>
      </c>
      <c r="S413" s="150" t="e">
        <f t="shared" si="79"/>
        <v>#N/A</v>
      </c>
      <c r="T413" s="150">
        <f t="shared" si="80"/>
        <v>412</v>
      </c>
      <c r="U413" s="150" t="e">
        <f t="shared" si="81"/>
        <v>#N/A</v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>
        <f t="shared" si="78"/>
        <v>413</v>
      </c>
      <c r="S414" s="150" t="e">
        <f t="shared" si="79"/>
        <v>#N/A</v>
      </c>
      <c r="T414" s="150">
        <f t="shared" si="80"/>
        <v>413</v>
      </c>
      <c r="U414" s="150" t="e">
        <f t="shared" si="81"/>
        <v>#N/A</v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>
        <f t="shared" si="78"/>
        <v>414</v>
      </c>
      <c r="S415" s="150" t="e">
        <f t="shared" si="79"/>
        <v>#N/A</v>
      </c>
      <c r="T415" s="150">
        <f t="shared" si="80"/>
        <v>414</v>
      </c>
      <c r="U415" s="150" t="e">
        <f t="shared" si="81"/>
        <v>#N/A</v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>
        <f t="shared" si="78"/>
        <v>415</v>
      </c>
      <c r="S416" s="150" t="e">
        <f t="shared" si="79"/>
        <v>#N/A</v>
      </c>
      <c r="T416" s="150">
        <f t="shared" si="80"/>
        <v>415</v>
      </c>
      <c r="U416" s="150" t="e">
        <f t="shared" si="81"/>
        <v>#N/A</v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>
        <f t="shared" si="78"/>
        <v>416</v>
      </c>
      <c r="S417" s="150" t="e">
        <f t="shared" si="79"/>
        <v>#N/A</v>
      </c>
      <c r="T417" s="150">
        <f t="shared" si="80"/>
        <v>416</v>
      </c>
      <c r="U417" s="150" t="e">
        <f t="shared" si="81"/>
        <v>#N/A</v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>
        <f t="shared" si="78"/>
        <v>417</v>
      </c>
      <c r="S418" s="150" t="e">
        <f t="shared" si="79"/>
        <v>#N/A</v>
      </c>
      <c r="T418" s="150">
        <f t="shared" si="80"/>
        <v>417</v>
      </c>
      <c r="U418" s="150" t="e">
        <f t="shared" si="81"/>
        <v>#N/A</v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>
        <f t="shared" si="78"/>
        <v>418</v>
      </c>
      <c r="S419" s="150" t="e">
        <f t="shared" si="79"/>
        <v>#N/A</v>
      </c>
      <c r="T419" s="150">
        <f t="shared" si="80"/>
        <v>418</v>
      </c>
      <c r="U419" s="150" t="e">
        <f t="shared" si="81"/>
        <v>#N/A</v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>
        <f t="shared" si="78"/>
        <v>419</v>
      </c>
      <c r="S420" s="150" t="e">
        <f t="shared" si="79"/>
        <v>#N/A</v>
      </c>
      <c r="T420" s="150">
        <f t="shared" si="80"/>
        <v>419</v>
      </c>
      <c r="U420" s="150" t="e">
        <f t="shared" si="81"/>
        <v>#N/A</v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>
        <f t="shared" si="78"/>
        <v>420</v>
      </c>
      <c r="S421" s="150" t="e">
        <f t="shared" si="79"/>
        <v>#N/A</v>
      </c>
      <c r="T421" s="150">
        <f t="shared" si="80"/>
        <v>420</v>
      </c>
      <c r="U421" s="150" t="e">
        <f t="shared" si="81"/>
        <v>#N/A</v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>
        <f t="shared" si="78"/>
        <v>421</v>
      </c>
      <c r="S422" s="150" t="e">
        <f t="shared" si="79"/>
        <v>#N/A</v>
      </c>
      <c r="T422" s="150">
        <f t="shared" si="80"/>
        <v>421</v>
      </c>
      <c r="U422" s="150" t="e">
        <f t="shared" si="81"/>
        <v>#N/A</v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>
        <f t="shared" si="78"/>
        <v>422</v>
      </c>
      <c r="S423" s="150" t="e">
        <f t="shared" si="79"/>
        <v>#N/A</v>
      </c>
      <c r="T423" s="150">
        <f t="shared" si="80"/>
        <v>422</v>
      </c>
      <c r="U423" s="150" t="e">
        <f t="shared" si="81"/>
        <v>#N/A</v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>
        <f t="shared" si="78"/>
        <v>423</v>
      </c>
      <c r="S424" s="150" t="e">
        <f t="shared" si="79"/>
        <v>#N/A</v>
      </c>
      <c r="T424" s="150">
        <f t="shared" si="80"/>
        <v>423</v>
      </c>
      <c r="U424" s="150" t="e">
        <f t="shared" si="81"/>
        <v>#N/A</v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>
        <f t="shared" si="78"/>
        <v>424</v>
      </c>
      <c r="S425" s="150" t="e">
        <f t="shared" si="79"/>
        <v>#N/A</v>
      </c>
      <c r="T425" s="150">
        <f t="shared" si="80"/>
        <v>424</v>
      </c>
      <c r="U425" s="150" t="e">
        <f t="shared" si="81"/>
        <v>#N/A</v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>
        <f t="shared" si="78"/>
        <v>425</v>
      </c>
      <c r="S426" s="150" t="e">
        <f t="shared" si="79"/>
        <v>#N/A</v>
      </c>
      <c r="T426" s="150">
        <f t="shared" si="80"/>
        <v>425</v>
      </c>
      <c r="U426" s="150" t="e">
        <f t="shared" si="81"/>
        <v>#N/A</v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>
        <f t="shared" si="78"/>
        <v>426</v>
      </c>
      <c r="S427" s="150" t="e">
        <f t="shared" si="79"/>
        <v>#N/A</v>
      </c>
      <c r="T427" s="150">
        <f t="shared" si="80"/>
        <v>426</v>
      </c>
      <c r="U427" s="150" t="e">
        <f t="shared" si="81"/>
        <v>#N/A</v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>
        <f t="shared" si="78"/>
        <v>427</v>
      </c>
      <c r="S428" s="150" t="e">
        <f t="shared" si="79"/>
        <v>#N/A</v>
      </c>
      <c r="T428" s="150">
        <f t="shared" si="80"/>
        <v>427</v>
      </c>
      <c r="U428" s="150" t="e">
        <f t="shared" si="81"/>
        <v>#N/A</v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>
        <f t="shared" si="78"/>
        <v>428</v>
      </c>
      <c r="S429" s="150" t="e">
        <f t="shared" si="79"/>
        <v>#N/A</v>
      </c>
      <c r="T429" s="150">
        <f t="shared" si="80"/>
        <v>428</v>
      </c>
      <c r="U429" s="150" t="e">
        <f t="shared" si="81"/>
        <v>#N/A</v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>
        <f t="shared" si="78"/>
        <v>429</v>
      </c>
      <c r="S430" s="150" t="e">
        <f t="shared" si="79"/>
        <v>#N/A</v>
      </c>
      <c r="T430" s="150">
        <f t="shared" si="80"/>
        <v>429</v>
      </c>
      <c r="U430" s="150" t="e">
        <f t="shared" si="81"/>
        <v>#N/A</v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>
        <f t="shared" si="78"/>
        <v>430</v>
      </c>
      <c r="S431" s="150" t="e">
        <f t="shared" si="79"/>
        <v>#N/A</v>
      </c>
      <c r="T431" s="150">
        <f t="shared" si="80"/>
        <v>430</v>
      </c>
      <c r="U431" s="150" t="e">
        <f t="shared" si="81"/>
        <v>#N/A</v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>
        <f t="shared" si="78"/>
        <v>431</v>
      </c>
      <c r="S432" s="150" t="e">
        <f t="shared" si="79"/>
        <v>#N/A</v>
      </c>
      <c r="T432" s="150">
        <f t="shared" si="80"/>
        <v>431</v>
      </c>
      <c r="U432" s="150" t="e">
        <f t="shared" si="81"/>
        <v>#N/A</v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>
        <f t="shared" si="78"/>
        <v>432</v>
      </c>
      <c r="S433" s="150" t="e">
        <f t="shared" si="79"/>
        <v>#N/A</v>
      </c>
      <c r="T433" s="150">
        <f t="shared" si="80"/>
        <v>432</v>
      </c>
      <c r="U433" s="150" t="e">
        <f t="shared" si="81"/>
        <v>#N/A</v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>
        <f t="shared" si="78"/>
        <v>433</v>
      </c>
      <c r="S434" s="150" t="e">
        <f t="shared" si="79"/>
        <v>#N/A</v>
      </c>
      <c r="T434" s="150">
        <f t="shared" si="80"/>
        <v>433</v>
      </c>
      <c r="U434" s="150" t="e">
        <f t="shared" si="81"/>
        <v>#N/A</v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>
        <f t="shared" si="78"/>
        <v>434</v>
      </c>
      <c r="S435" s="150" t="e">
        <f t="shared" si="79"/>
        <v>#N/A</v>
      </c>
      <c r="T435" s="150">
        <f t="shared" si="80"/>
        <v>434</v>
      </c>
      <c r="U435" s="150" t="e">
        <f t="shared" si="81"/>
        <v>#N/A</v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>
        <f t="shared" si="78"/>
        <v>435</v>
      </c>
      <c r="S436" s="150" t="e">
        <f t="shared" si="79"/>
        <v>#N/A</v>
      </c>
      <c r="T436" s="150">
        <f t="shared" si="80"/>
        <v>435</v>
      </c>
      <c r="U436" s="150" t="e">
        <f t="shared" si="81"/>
        <v>#N/A</v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>
        <f t="shared" si="78"/>
        <v>436</v>
      </c>
      <c r="S437" s="150" t="e">
        <f t="shared" si="79"/>
        <v>#N/A</v>
      </c>
      <c r="T437" s="150">
        <f t="shared" si="80"/>
        <v>436</v>
      </c>
      <c r="U437" s="150" t="e">
        <f t="shared" si="81"/>
        <v>#N/A</v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>
        <f t="shared" si="78"/>
        <v>437</v>
      </c>
      <c r="S438" s="150" t="e">
        <f t="shared" si="79"/>
        <v>#N/A</v>
      </c>
      <c r="T438" s="150">
        <f t="shared" si="80"/>
        <v>437</v>
      </c>
      <c r="U438" s="150" t="e">
        <f t="shared" si="81"/>
        <v>#N/A</v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>
        <f t="shared" si="78"/>
        <v>438</v>
      </c>
      <c r="S439" s="150" t="e">
        <f t="shared" si="79"/>
        <v>#N/A</v>
      </c>
      <c r="T439" s="150">
        <f t="shared" si="80"/>
        <v>438</v>
      </c>
      <c r="U439" s="150" t="e">
        <f t="shared" si="81"/>
        <v>#N/A</v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>
        <f t="shared" si="78"/>
        <v>439</v>
      </c>
      <c r="S440" s="150" t="e">
        <f t="shared" si="79"/>
        <v>#N/A</v>
      </c>
      <c r="T440" s="150">
        <f t="shared" si="80"/>
        <v>439</v>
      </c>
      <c r="U440" s="150" t="e">
        <f t="shared" si="81"/>
        <v>#N/A</v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>
        <f t="shared" si="78"/>
        <v>440</v>
      </c>
      <c r="S441" s="150" t="e">
        <f t="shared" si="79"/>
        <v>#N/A</v>
      </c>
      <c r="T441" s="150">
        <f t="shared" si="80"/>
        <v>440</v>
      </c>
      <c r="U441" s="150" t="e">
        <f t="shared" si="81"/>
        <v>#N/A</v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>
        <f t="shared" si="78"/>
        <v>441</v>
      </c>
      <c r="S442" s="150" t="e">
        <f t="shared" si="79"/>
        <v>#N/A</v>
      </c>
      <c r="T442" s="150">
        <f t="shared" si="80"/>
        <v>441</v>
      </c>
      <c r="U442" s="150" t="e">
        <f t="shared" si="81"/>
        <v>#N/A</v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>
        <f t="shared" si="78"/>
        <v>442</v>
      </c>
      <c r="S443" s="150" t="e">
        <f t="shared" si="79"/>
        <v>#N/A</v>
      </c>
      <c r="T443" s="150">
        <f t="shared" si="80"/>
        <v>442</v>
      </c>
      <c r="U443" s="150" t="e">
        <f t="shared" si="81"/>
        <v>#N/A</v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>
        <f t="shared" si="78"/>
        <v>443</v>
      </c>
      <c r="S444" s="150" t="e">
        <f t="shared" si="79"/>
        <v>#N/A</v>
      </c>
      <c r="T444" s="150">
        <f t="shared" si="80"/>
        <v>443</v>
      </c>
      <c r="U444" s="150" t="e">
        <f t="shared" si="81"/>
        <v>#N/A</v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>
        <f t="shared" si="78"/>
        <v>444</v>
      </c>
      <c r="S445" s="150" t="e">
        <f t="shared" si="79"/>
        <v>#N/A</v>
      </c>
      <c r="T445" s="150">
        <f t="shared" si="80"/>
        <v>444</v>
      </c>
      <c r="U445" s="150" t="e">
        <f t="shared" si="81"/>
        <v>#N/A</v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>
        <f t="shared" si="78"/>
        <v>445</v>
      </c>
      <c r="S446" s="150" t="e">
        <f t="shared" si="79"/>
        <v>#N/A</v>
      </c>
      <c r="T446" s="150">
        <f t="shared" si="80"/>
        <v>445</v>
      </c>
      <c r="U446" s="150" t="e">
        <f t="shared" si="81"/>
        <v>#N/A</v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>
        <f t="shared" si="78"/>
        <v>446</v>
      </c>
      <c r="S447" s="150" t="e">
        <f t="shared" si="79"/>
        <v>#N/A</v>
      </c>
      <c r="T447" s="150">
        <f t="shared" si="80"/>
        <v>446</v>
      </c>
      <c r="U447" s="150" t="e">
        <f t="shared" si="81"/>
        <v>#N/A</v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>
        <f t="shared" si="78"/>
        <v>447</v>
      </c>
      <c r="S448" s="150" t="e">
        <f t="shared" si="79"/>
        <v>#N/A</v>
      </c>
      <c r="T448" s="150">
        <f t="shared" si="80"/>
        <v>447</v>
      </c>
      <c r="U448" s="150" t="e">
        <f t="shared" si="81"/>
        <v>#N/A</v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>
        <f t="shared" si="78"/>
        <v>448</v>
      </c>
      <c r="S449" s="150" t="e">
        <f t="shared" si="79"/>
        <v>#N/A</v>
      </c>
      <c r="T449" s="150">
        <f t="shared" si="80"/>
        <v>448</v>
      </c>
      <c r="U449" s="150" t="e">
        <f t="shared" si="81"/>
        <v>#N/A</v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>
        <f t="shared" si="78"/>
        <v>449</v>
      </c>
      <c r="S450" s="150" t="e">
        <f t="shared" si="79"/>
        <v>#N/A</v>
      </c>
      <c r="T450" s="150">
        <f t="shared" si="80"/>
        <v>449</v>
      </c>
      <c r="U450" s="150" t="e">
        <f t="shared" si="81"/>
        <v>#N/A</v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>
        <f t="shared" ref="R451:R514" si="90">IF($B$34&gt;=K451,K451,"")</f>
        <v>450</v>
      </c>
      <c r="S451" s="150" t="e">
        <f t="shared" ref="S451:S514" si="91">IF(R451="","",IF(R451&lt;=$E$36,VLOOKUP($E$35,$I$1:$J$4,2,FALSE),VLOOKUP($F$35,$I$1:$J$4,2,FALSE)))</f>
        <v>#N/A</v>
      </c>
      <c r="T451" s="150">
        <f t="shared" ref="T451:T514" si="92">IF($B$41&gt;=K451,K451,"")</f>
        <v>450</v>
      </c>
      <c r="U451" s="150" t="e">
        <f t="shared" ref="U451:U514" si="93">IF(T451="","",IF(T451&lt;=$E$43,VLOOKUP($E$42,$I$1:$J$4,2,FALSE),VLOOKUP($F$42,$I$1:$J$4,2,FALSE)))</f>
        <v>#N/A</v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>
        <f t="shared" si="90"/>
        <v>451</v>
      </c>
      <c r="S452" s="150" t="e">
        <f t="shared" si="91"/>
        <v>#N/A</v>
      </c>
      <c r="T452" s="150">
        <f t="shared" si="92"/>
        <v>451</v>
      </c>
      <c r="U452" s="150" t="e">
        <f t="shared" si="93"/>
        <v>#N/A</v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>
        <f t="shared" si="90"/>
        <v>452</v>
      </c>
      <c r="S453" s="150" t="e">
        <f t="shared" si="91"/>
        <v>#N/A</v>
      </c>
      <c r="T453" s="150">
        <f t="shared" si="92"/>
        <v>452</v>
      </c>
      <c r="U453" s="150" t="e">
        <f t="shared" si="93"/>
        <v>#N/A</v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>
        <f t="shared" si="90"/>
        <v>453</v>
      </c>
      <c r="S454" s="150" t="e">
        <f t="shared" si="91"/>
        <v>#N/A</v>
      </c>
      <c r="T454" s="150">
        <f t="shared" si="92"/>
        <v>453</v>
      </c>
      <c r="U454" s="150" t="e">
        <f t="shared" si="93"/>
        <v>#N/A</v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>
        <f t="shared" si="90"/>
        <v>454</v>
      </c>
      <c r="S455" s="150" t="e">
        <f t="shared" si="91"/>
        <v>#N/A</v>
      </c>
      <c r="T455" s="150">
        <f t="shared" si="92"/>
        <v>454</v>
      </c>
      <c r="U455" s="150" t="e">
        <f t="shared" si="93"/>
        <v>#N/A</v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>
        <f t="shared" si="90"/>
        <v>455</v>
      </c>
      <c r="S456" s="150" t="e">
        <f t="shared" si="91"/>
        <v>#N/A</v>
      </c>
      <c r="T456" s="150">
        <f t="shared" si="92"/>
        <v>455</v>
      </c>
      <c r="U456" s="150" t="e">
        <f t="shared" si="93"/>
        <v>#N/A</v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>
        <f t="shared" si="90"/>
        <v>456</v>
      </c>
      <c r="S457" s="150" t="e">
        <f t="shared" si="91"/>
        <v>#N/A</v>
      </c>
      <c r="T457" s="150">
        <f t="shared" si="92"/>
        <v>456</v>
      </c>
      <c r="U457" s="150" t="e">
        <f t="shared" si="93"/>
        <v>#N/A</v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>
        <f t="shared" si="90"/>
        <v>457</v>
      </c>
      <c r="S458" s="150" t="e">
        <f t="shared" si="91"/>
        <v>#N/A</v>
      </c>
      <c r="T458" s="150">
        <f t="shared" si="92"/>
        <v>457</v>
      </c>
      <c r="U458" s="150" t="e">
        <f t="shared" si="93"/>
        <v>#N/A</v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>
        <f t="shared" si="90"/>
        <v>458</v>
      </c>
      <c r="S459" s="150" t="e">
        <f t="shared" si="91"/>
        <v>#N/A</v>
      </c>
      <c r="T459" s="150">
        <f t="shared" si="92"/>
        <v>458</v>
      </c>
      <c r="U459" s="150" t="e">
        <f t="shared" si="93"/>
        <v>#N/A</v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>
        <f t="shared" si="90"/>
        <v>459</v>
      </c>
      <c r="S460" s="150" t="e">
        <f t="shared" si="91"/>
        <v>#N/A</v>
      </c>
      <c r="T460" s="150">
        <f t="shared" si="92"/>
        <v>459</v>
      </c>
      <c r="U460" s="150" t="e">
        <f t="shared" si="93"/>
        <v>#N/A</v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>
        <f t="shared" si="90"/>
        <v>460</v>
      </c>
      <c r="S461" s="150" t="e">
        <f t="shared" si="91"/>
        <v>#N/A</v>
      </c>
      <c r="T461" s="150">
        <f t="shared" si="92"/>
        <v>460</v>
      </c>
      <c r="U461" s="150" t="e">
        <f t="shared" si="93"/>
        <v>#N/A</v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>
        <f t="shared" si="90"/>
        <v>461</v>
      </c>
      <c r="S462" s="150" t="e">
        <f t="shared" si="91"/>
        <v>#N/A</v>
      </c>
      <c r="T462" s="150">
        <f t="shared" si="92"/>
        <v>461</v>
      </c>
      <c r="U462" s="150" t="e">
        <f t="shared" si="93"/>
        <v>#N/A</v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>
        <f t="shared" si="90"/>
        <v>462</v>
      </c>
      <c r="S463" s="150" t="e">
        <f t="shared" si="91"/>
        <v>#N/A</v>
      </c>
      <c r="T463" s="150">
        <f t="shared" si="92"/>
        <v>462</v>
      </c>
      <c r="U463" s="150" t="e">
        <f t="shared" si="93"/>
        <v>#N/A</v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>
        <f t="shared" si="90"/>
        <v>463</v>
      </c>
      <c r="S464" s="150" t="e">
        <f t="shared" si="91"/>
        <v>#N/A</v>
      </c>
      <c r="T464" s="150">
        <f t="shared" si="92"/>
        <v>463</v>
      </c>
      <c r="U464" s="150" t="e">
        <f t="shared" si="93"/>
        <v>#N/A</v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>
        <f t="shared" si="90"/>
        <v>464</v>
      </c>
      <c r="S465" s="150" t="e">
        <f t="shared" si="91"/>
        <v>#N/A</v>
      </c>
      <c r="T465" s="150">
        <f t="shared" si="92"/>
        <v>464</v>
      </c>
      <c r="U465" s="150" t="e">
        <f t="shared" si="93"/>
        <v>#N/A</v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>
        <f t="shared" si="90"/>
        <v>465</v>
      </c>
      <c r="S466" s="150" t="e">
        <f t="shared" si="91"/>
        <v>#N/A</v>
      </c>
      <c r="T466" s="150">
        <f t="shared" si="92"/>
        <v>465</v>
      </c>
      <c r="U466" s="150" t="e">
        <f t="shared" si="93"/>
        <v>#N/A</v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>
        <f t="shared" si="90"/>
        <v>466</v>
      </c>
      <c r="S467" s="150" t="e">
        <f t="shared" si="91"/>
        <v>#N/A</v>
      </c>
      <c r="T467" s="150">
        <f t="shared" si="92"/>
        <v>466</v>
      </c>
      <c r="U467" s="150" t="e">
        <f t="shared" si="93"/>
        <v>#N/A</v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>
        <f t="shared" si="90"/>
        <v>467</v>
      </c>
      <c r="S468" s="150" t="e">
        <f t="shared" si="91"/>
        <v>#N/A</v>
      </c>
      <c r="T468" s="150">
        <f t="shared" si="92"/>
        <v>467</v>
      </c>
      <c r="U468" s="150" t="e">
        <f t="shared" si="93"/>
        <v>#N/A</v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>
        <f t="shared" si="90"/>
        <v>468</v>
      </c>
      <c r="S469" s="150" t="e">
        <f t="shared" si="91"/>
        <v>#N/A</v>
      </c>
      <c r="T469" s="150">
        <f t="shared" si="92"/>
        <v>468</v>
      </c>
      <c r="U469" s="150" t="e">
        <f t="shared" si="93"/>
        <v>#N/A</v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>
        <f t="shared" si="90"/>
        <v>469</v>
      </c>
      <c r="S470" s="150" t="e">
        <f t="shared" si="91"/>
        <v>#N/A</v>
      </c>
      <c r="T470" s="150">
        <f t="shared" si="92"/>
        <v>469</v>
      </c>
      <c r="U470" s="150" t="e">
        <f t="shared" si="93"/>
        <v>#N/A</v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>
        <f t="shared" si="90"/>
        <v>470</v>
      </c>
      <c r="S471" s="150" t="e">
        <f t="shared" si="91"/>
        <v>#N/A</v>
      </c>
      <c r="T471" s="150">
        <f t="shared" si="92"/>
        <v>470</v>
      </c>
      <c r="U471" s="150" t="e">
        <f t="shared" si="93"/>
        <v>#N/A</v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>
        <f t="shared" si="90"/>
        <v>471</v>
      </c>
      <c r="S472" s="150" t="e">
        <f t="shared" si="91"/>
        <v>#N/A</v>
      </c>
      <c r="T472" s="150">
        <f t="shared" si="92"/>
        <v>471</v>
      </c>
      <c r="U472" s="150" t="e">
        <f t="shared" si="93"/>
        <v>#N/A</v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>
        <f t="shared" si="90"/>
        <v>472</v>
      </c>
      <c r="S473" s="150" t="e">
        <f t="shared" si="91"/>
        <v>#N/A</v>
      </c>
      <c r="T473" s="150">
        <f t="shared" si="92"/>
        <v>472</v>
      </c>
      <c r="U473" s="150" t="e">
        <f t="shared" si="93"/>
        <v>#N/A</v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>
        <f t="shared" si="90"/>
        <v>473</v>
      </c>
      <c r="S474" s="150" t="e">
        <f t="shared" si="91"/>
        <v>#N/A</v>
      </c>
      <c r="T474" s="150">
        <f t="shared" si="92"/>
        <v>473</v>
      </c>
      <c r="U474" s="150" t="e">
        <f t="shared" si="93"/>
        <v>#N/A</v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>
        <f t="shared" si="90"/>
        <v>474</v>
      </c>
      <c r="S475" s="150" t="e">
        <f t="shared" si="91"/>
        <v>#N/A</v>
      </c>
      <c r="T475" s="150">
        <f t="shared" si="92"/>
        <v>474</v>
      </c>
      <c r="U475" s="150" t="e">
        <f t="shared" si="93"/>
        <v>#N/A</v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>
        <f t="shared" si="90"/>
        <v>475</v>
      </c>
      <c r="S476" s="150" t="e">
        <f t="shared" si="91"/>
        <v>#N/A</v>
      </c>
      <c r="T476" s="150">
        <f t="shared" si="92"/>
        <v>475</v>
      </c>
      <c r="U476" s="150" t="e">
        <f t="shared" si="93"/>
        <v>#N/A</v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>
        <f t="shared" si="90"/>
        <v>476</v>
      </c>
      <c r="S477" s="150" t="e">
        <f t="shared" si="91"/>
        <v>#N/A</v>
      </c>
      <c r="T477" s="150">
        <f t="shared" si="92"/>
        <v>476</v>
      </c>
      <c r="U477" s="150" t="e">
        <f t="shared" si="93"/>
        <v>#N/A</v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>
        <f t="shared" si="90"/>
        <v>477</v>
      </c>
      <c r="S478" s="150" t="e">
        <f t="shared" si="91"/>
        <v>#N/A</v>
      </c>
      <c r="T478" s="150">
        <f t="shared" si="92"/>
        <v>477</v>
      </c>
      <c r="U478" s="150" t="e">
        <f t="shared" si="93"/>
        <v>#N/A</v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>
        <f t="shared" si="90"/>
        <v>478</v>
      </c>
      <c r="S479" s="150" t="e">
        <f t="shared" si="91"/>
        <v>#N/A</v>
      </c>
      <c r="T479" s="150">
        <f t="shared" si="92"/>
        <v>478</v>
      </c>
      <c r="U479" s="150" t="e">
        <f t="shared" si="93"/>
        <v>#N/A</v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>
        <f t="shared" si="90"/>
        <v>479</v>
      </c>
      <c r="S480" s="150" t="e">
        <f t="shared" si="91"/>
        <v>#N/A</v>
      </c>
      <c r="T480" s="150">
        <f t="shared" si="92"/>
        <v>479</v>
      </c>
      <c r="U480" s="150" t="e">
        <f t="shared" si="93"/>
        <v>#N/A</v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>
        <f t="shared" si="90"/>
        <v>480</v>
      </c>
      <c r="S481" s="150" t="e">
        <f t="shared" si="91"/>
        <v>#N/A</v>
      </c>
      <c r="T481" s="150">
        <f t="shared" si="92"/>
        <v>480</v>
      </c>
      <c r="U481" s="150" t="e">
        <f t="shared" si="93"/>
        <v>#N/A</v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>
        <f t="shared" si="90"/>
        <v>481</v>
      </c>
      <c r="S482" s="150" t="e">
        <f t="shared" si="91"/>
        <v>#N/A</v>
      </c>
      <c r="T482" s="150">
        <f t="shared" si="92"/>
        <v>481</v>
      </c>
      <c r="U482" s="150" t="e">
        <f t="shared" si="93"/>
        <v>#N/A</v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>
        <f t="shared" si="90"/>
        <v>482</v>
      </c>
      <c r="S483" s="150" t="e">
        <f t="shared" si="91"/>
        <v>#N/A</v>
      </c>
      <c r="T483" s="150">
        <f t="shared" si="92"/>
        <v>482</v>
      </c>
      <c r="U483" s="150" t="e">
        <f t="shared" si="93"/>
        <v>#N/A</v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>
        <f t="shared" si="90"/>
        <v>483</v>
      </c>
      <c r="S484" s="150" t="e">
        <f t="shared" si="91"/>
        <v>#N/A</v>
      </c>
      <c r="T484" s="150">
        <f t="shared" si="92"/>
        <v>483</v>
      </c>
      <c r="U484" s="150" t="e">
        <f t="shared" si="93"/>
        <v>#N/A</v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>
        <f t="shared" si="90"/>
        <v>484</v>
      </c>
      <c r="S485" s="150" t="e">
        <f t="shared" si="91"/>
        <v>#N/A</v>
      </c>
      <c r="T485" s="150">
        <f t="shared" si="92"/>
        <v>484</v>
      </c>
      <c r="U485" s="150" t="e">
        <f t="shared" si="93"/>
        <v>#N/A</v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>
        <f t="shared" si="90"/>
        <v>485</v>
      </c>
      <c r="S486" s="150" t="e">
        <f t="shared" si="91"/>
        <v>#N/A</v>
      </c>
      <c r="T486" s="150">
        <f t="shared" si="92"/>
        <v>485</v>
      </c>
      <c r="U486" s="150" t="e">
        <f t="shared" si="93"/>
        <v>#N/A</v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>
        <f t="shared" si="90"/>
        <v>486</v>
      </c>
      <c r="S487" s="150" t="e">
        <f t="shared" si="91"/>
        <v>#N/A</v>
      </c>
      <c r="T487" s="150">
        <f t="shared" si="92"/>
        <v>486</v>
      </c>
      <c r="U487" s="150" t="e">
        <f t="shared" si="93"/>
        <v>#N/A</v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>
        <f t="shared" si="90"/>
        <v>487</v>
      </c>
      <c r="S488" s="150" t="e">
        <f t="shared" si="91"/>
        <v>#N/A</v>
      </c>
      <c r="T488" s="150">
        <f t="shared" si="92"/>
        <v>487</v>
      </c>
      <c r="U488" s="150" t="e">
        <f t="shared" si="93"/>
        <v>#N/A</v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>
        <f t="shared" si="90"/>
        <v>488</v>
      </c>
      <c r="S489" s="150" t="e">
        <f t="shared" si="91"/>
        <v>#N/A</v>
      </c>
      <c r="T489" s="150">
        <f t="shared" si="92"/>
        <v>488</v>
      </c>
      <c r="U489" s="150" t="e">
        <f t="shared" si="93"/>
        <v>#N/A</v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>
        <f t="shared" si="90"/>
        <v>489</v>
      </c>
      <c r="S490" s="150" t="e">
        <f t="shared" si="91"/>
        <v>#N/A</v>
      </c>
      <c r="T490" s="150">
        <f t="shared" si="92"/>
        <v>489</v>
      </c>
      <c r="U490" s="150" t="e">
        <f t="shared" si="93"/>
        <v>#N/A</v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>
        <f t="shared" si="90"/>
        <v>490</v>
      </c>
      <c r="S491" s="150" t="e">
        <f t="shared" si="91"/>
        <v>#N/A</v>
      </c>
      <c r="T491" s="150">
        <f t="shared" si="92"/>
        <v>490</v>
      </c>
      <c r="U491" s="150" t="e">
        <f t="shared" si="93"/>
        <v>#N/A</v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>
        <f t="shared" si="90"/>
        <v>491</v>
      </c>
      <c r="S492" s="150" t="e">
        <f t="shared" si="91"/>
        <v>#N/A</v>
      </c>
      <c r="T492" s="150">
        <f t="shared" si="92"/>
        <v>491</v>
      </c>
      <c r="U492" s="150" t="e">
        <f t="shared" si="93"/>
        <v>#N/A</v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>
        <f t="shared" si="90"/>
        <v>492</v>
      </c>
      <c r="S493" s="150" t="e">
        <f t="shared" si="91"/>
        <v>#N/A</v>
      </c>
      <c r="T493" s="150">
        <f t="shared" si="92"/>
        <v>492</v>
      </c>
      <c r="U493" s="150" t="e">
        <f t="shared" si="93"/>
        <v>#N/A</v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>
        <f t="shared" si="90"/>
        <v>493</v>
      </c>
      <c r="S494" s="150" t="e">
        <f t="shared" si="91"/>
        <v>#N/A</v>
      </c>
      <c r="T494" s="150">
        <f t="shared" si="92"/>
        <v>493</v>
      </c>
      <c r="U494" s="150" t="e">
        <f t="shared" si="93"/>
        <v>#N/A</v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>
        <f t="shared" si="90"/>
        <v>494</v>
      </c>
      <c r="S495" s="150" t="e">
        <f t="shared" si="91"/>
        <v>#N/A</v>
      </c>
      <c r="T495" s="150">
        <f t="shared" si="92"/>
        <v>494</v>
      </c>
      <c r="U495" s="150" t="e">
        <f t="shared" si="93"/>
        <v>#N/A</v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>
        <f t="shared" si="90"/>
        <v>495</v>
      </c>
      <c r="S496" s="150" t="e">
        <f t="shared" si="91"/>
        <v>#N/A</v>
      </c>
      <c r="T496" s="150">
        <f t="shared" si="92"/>
        <v>495</v>
      </c>
      <c r="U496" s="150" t="e">
        <f t="shared" si="93"/>
        <v>#N/A</v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>
        <f t="shared" si="90"/>
        <v>496</v>
      </c>
      <c r="S497" s="150" t="e">
        <f t="shared" si="91"/>
        <v>#N/A</v>
      </c>
      <c r="T497" s="150">
        <f t="shared" si="92"/>
        <v>496</v>
      </c>
      <c r="U497" s="150" t="e">
        <f t="shared" si="93"/>
        <v>#N/A</v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>
        <f t="shared" si="90"/>
        <v>497</v>
      </c>
      <c r="S498" s="150" t="e">
        <f t="shared" si="91"/>
        <v>#N/A</v>
      </c>
      <c r="T498" s="150">
        <f t="shared" si="92"/>
        <v>497</v>
      </c>
      <c r="U498" s="150" t="e">
        <f t="shared" si="93"/>
        <v>#N/A</v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>
        <f t="shared" si="90"/>
        <v>498</v>
      </c>
      <c r="S499" s="150" t="e">
        <f t="shared" si="91"/>
        <v>#N/A</v>
      </c>
      <c r="T499" s="150">
        <f t="shared" si="92"/>
        <v>498</v>
      </c>
      <c r="U499" s="150" t="e">
        <f t="shared" si="93"/>
        <v>#N/A</v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>
        <f t="shared" si="90"/>
        <v>499</v>
      </c>
      <c r="S500" s="150" t="e">
        <f t="shared" si="91"/>
        <v>#N/A</v>
      </c>
      <c r="T500" s="150">
        <f t="shared" si="92"/>
        <v>499</v>
      </c>
      <c r="U500" s="150" t="e">
        <f t="shared" si="93"/>
        <v>#N/A</v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>
        <f t="shared" si="90"/>
        <v>500</v>
      </c>
      <c r="S501" s="150" t="e">
        <f t="shared" si="91"/>
        <v>#N/A</v>
      </c>
      <c r="T501" s="150">
        <f t="shared" si="92"/>
        <v>500</v>
      </c>
      <c r="U501" s="150" t="e">
        <f t="shared" si="93"/>
        <v>#N/A</v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>
        <f t="shared" si="90"/>
        <v>501</v>
      </c>
      <c r="S502" s="150" t="e">
        <f t="shared" si="91"/>
        <v>#N/A</v>
      </c>
      <c r="T502" s="150">
        <f t="shared" si="92"/>
        <v>501</v>
      </c>
      <c r="U502" s="150" t="e">
        <f t="shared" si="93"/>
        <v>#N/A</v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>
        <f t="shared" si="90"/>
        <v>502</v>
      </c>
      <c r="S503" s="150" t="e">
        <f t="shared" si="91"/>
        <v>#N/A</v>
      </c>
      <c r="T503" s="150">
        <f t="shared" si="92"/>
        <v>502</v>
      </c>
      <c r="U503" s="150" t="e">
        <f t="shared" si="93"/>
        <v>#N/A</v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>
        <f t="shared" si="90"/>
        <v>503</v>
      </c>
      <c r="S504" s="150" t="e">
        <f t="shared" si="91"/>
        <v>#N/A</v>
      </c>
      <c r="T504" s="150">
        <f t="shared" si="92"/>
        <v>503</v>
      </c>
      <c r="U504" s="150" t="e">
        <f t="shared" si="93"/>
        <v>#N/A</v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>
        <f t="shared" si="90"/>
        <v>504</v>
      </c>
      <c r="S505" s="150" t="e">
        <f t="shared" si="91"/>
        <v>#N/A</v>
      </c>
      <c r="T505" s="150">
        <f t="shared" si="92"/>
        <v>504</v>
      </c>
      <c r="U505" s="150" t="e">
        <f t="shared" si="93"/>
        <v>#N/A</v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>
        <f t="shared" si="90"/>
        <v>505</v>
      </c>
      <c r="S506" s="150" t="e">
        <f t="shared" si="91"/>
        <v>#N/A</v>
      </c>
      <c r="T506" s="150">
        <f t="shared" si="92"/>
        <v>505</v>
      </c>
      <c r="U506" s="150" t="e">
        <f t="shared" si="93"/>
        <v>#N/A</v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>
        <f t="shared" si="90"/>
        <v>506</v>
      </c>
      <c r="S507" s="150" t="e">
        <f t="shared" si="91"/>
        <v>#N/A</v>
      </c>
      <c r="T507" s="150">
        <f t="shared" si="92"/>
        <v>506</v>
      </c>
      <c r="U507" s="150" t="e">
        <f t="shared" si="93"/>
        <v>#N/A</v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>
        <f t="shared" si="90"/>
        <v>507</v>
      </c>
      <c r="S508" s="150" t="e">
        <f t="shared" si="91"/>
        <v>#N/A</v>
      </c>
      <c r="T508" s="150">
        <f t="shared" si="92"/>
        <v>507</v>
      </c>
      <c r="U508" s="150" t="e">
        <f t="shared" si="93"/>
        <v>#N/A</v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>
        <f t="shared" si="90"/>
        <v>508</v>
      </c>
      <c r="S509" s="150" t="e">
        <f t="shared" si="91"/>
        <v>#N/A</v>
      </c>
      <c r="T509" s="150">
        <f t="shared" si="92"/>
        <v>508</v>
      </c>
      <c r="U509" s="150" t="e">
        <f t="shared" si="93"/>
        <v>#N/A</v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>
        <f t="shared" si="90"/>
        <v>509</v>
      </c>
      <c r="S510" s="150" t="e">
        <f t="shared" si="91"/>
        <v>#N/A</v>
      </c>
      <c r="T510" s="150">
        <f t="shared" si="92"/>
        <v>509</v>
      </c>
      <c r="U510" s="150" t="e">
        <f t="shared" si="93"/>
        <v>#N/A</v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>
        <f t="shared" si="90"/>
        <v>510</v>
      </c>
      <c r="S511" s="150" t="e">
        <f t="shared" si="91"/>
        <v>#N/A</v>
      </c>
      <c r="T511" s="150">
        <f t="shared" si="92"/>
        <v>510</v>
      </c>
      <c r="U511" s="150" t="e">
        <f t="shared" si="93"/>
        <v>#N/A</v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>
        <f t="shared" si="90"/>
        <v>511</v>
      </c>
      <c r="S512" s="150" t="e">
        <f t="shared" si="91"/>
        <v>#N/A</v>
      </c>
      <c r="T512" s="150">
        <f t="shared" si="92"/>
        <v>511</v>
      </c>
      <c r="U512" s="150" t="e">
        <f t="shared" si="93"/>
        <v>#N/A</v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>
        <f t="shared" si="90"/>
        <v>512</v>
      </c>
      <c r="S513" s="150" t="e">
        <f t="shared" si="91"/>
        <v>#N/A</v>
      </c>
      <c r="T513" s="150">
        <f t="shared" si="92"/>
        <v>512</v>
      </c>
      <c r="U513" s="150" t="e">
        <f t="shared" si="93"/>
        <v>#N/A</v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>
        <f t="shared" si="90"/>
        <v>513</v>
      </c>
      <c r="S514" s="150" t="e">
        <f t="shared" si="91"/>
        <v>#N/A</v>
      </c>
      <c r="T514" s="150">
        <f t="shared" si="92"/>
        <v>513</v>
      </c>
      <c r="U514" s="150" t="e">
        <f t="shared" si="93"/>
        <v>#N/A</v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>
        <f t="shared" ref="R515:R578" si="102">IF($B$34&gt;=K515,K515,"")</f>
        <v>514</v>
      </c>
      <c r="S515" s="150" t="e">
        <f t="shared" ref="S515:S578" si="103">IF(R515="","",IF(R515&lt;=$E$36,VLOOKUP($E$35,$I$1:$J$4,2,FALSE),VLOOKUP($F$35,$I$1:$J$4,2,FALSE)))</f>
        <v>#N/A</v>
      </c>
      <c r="T515" s="150">
        <f t="shared" ref="T515:T578" si="104">IF($B$41&gt;=K515,K515,"")</f>
        <v>514</v>
      </c>
      <c r="U515" s="150" t="e">
        <f t="shared" ref="U515:U578" si="105">IF(T515="","",IF(T515&lt;=$E$43,VLOOKUP($E$42,$I$1:$J$4,2,FALSE),VLOOKUP($F$42,$I$1:$J$4,2,FALSE)))</f>
        <v>#N/A</v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>
        <f t="shared" si="102"/>
        <v>515</v>
      </c>
      <c r="S516" s="150" t="e">
        <f t="shared" si="103"/>
        <v>#N/A</v>
      </c>
      <c r="T516" s="150">
        <f t="shared" si="104"/>
        <v>515</v>
      </c>
      <c r="U516" s="150" t="e">
        <f t="shared" si="105"/>
        <v>#N/A</v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>
        <f t="shared" si="102"/>
        <v>516</v>
      </c>
      <c r="S517" s="150" t="e">
        <f t="shared" si="103"/>
        <v>#N/A</v>
      </c>
      <c r="T517" s="150">
        <f t="shared" si="104"/>
        <v>516</v>
      </c>
      <c r="U517" s="150" t="e">
        <f t="shared" si="105"/>
        <v>#N/A</v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>
        <f t="shared" si="102"/>
        <v>517</v>
      </c>
      <c r="S518" s="150" t="e">
        <f t="shared" si="103"/>
        <v>#N/A</v>
      </c>
      <c r="T518" s="150">
        <f t="shared" si="104"/>
        <v>517</v>
      </c>
      <c r="U518" s="150" t="e">
        <f t="shared" si="105"/>
        <v>#N/A</v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>
        <f t="shared" si="102"/>
        <v>518</v>
      </c>
      <c r="S519" s="150" t="e">
        <f t="shared" si="103"/>
        <v>#N/A</v>
      </c>
      <c r="T519" s="150">
        <f t="shared" si="104"/>
        <v>518</v>
      </c>
      <c r="U519" s="150" t="e">
        <f t="shared" si="105"/>
        <v>#N/A</v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>
        <f t="shared" si="102"/>
        <v>519</v>
      </c>
      <c r="S520" s="150" t="e">
        <f t="shared" si="103"/>
        <v>#N/A</v>
      </c>
      <c r="T520" s="150">
        <f t="shared" si="104"/>
        <v>519</v>
      </c>
      <c r="U520" s="150" t="e">
        <f t="shared" si="105"/>
        <v>#N/A</v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>
        <f t="shared" si="102"/>
        <v>520</v>
      </c>
      <c r="S521" s="150" t="e">
        <f t="shared" si="103"/>
        <v>#N/A</v>
      </c>
      <c r="T521" s="150">
        <f t="shared" si="104"/>
        <v>520</v>
      </c>
      <c r="U521" s="150" t="e">
        <f t="shared" si="105"/>
        <v>#N/A</v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>
        <f t="shared" si="102"/>
        <v>521</v>
      </c>
      <c r="S522" s="150" t="e">
        <f t="shared" si="103"/>
        <v>#N/A</v>
      </c>
      <c r="T522" s="150">
        <f t="shared" si="104"/>
        <v>521</v>
      </c>
      <c r="U522" s="150" t="e">
        <f t="shared" si="105"/>
        <v>#N/A</v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>
        <f t="shared" si="102"/>
        <v>522</v>
      </c>
      <c r="S523" s="150" t="e">
        <f t="shared" si="103"/>
        <v>#N/A</v>
      </c>
      <c r="T523" s="150">
        <f t="shared" si="104"/>
        <v>522</v>
      </c>
      <c r="U523" s="150" t="e">
        <f t="shared" si="105"/>
        <v>#N/A</v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>
        <f t="shared" si="102"/>
        <v>523</v>
      </c>
      <c r="S524" s="150" t="e">
        <f t="shared" si="103"/>
        <v>#N/A</v>
      </c>
      <c r="T524" s="150">
        <f t="shared" si="104"/>
        <v>523</v>
      </c>
      <c r="U524" s="150" t="e">
        <f t="shared" si="105"/>
        <v>#N/A</v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>
        <f t="shared" si="102"/>
        <v>524</v>
      </c>
      <c r="S525" s="150" t="e">
        <f t="shared" si="103"/>
        <v>#N/A</v>
      </c>
      <c r="T525" s="150">
        <f t="shared" si="104"/>
        <v>524</v>
      </c>
      <c r="U525" s="150" t="e">
        <f t="shared" si="105"/>
        <v>#N/A</v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>
        <f t="shared" si="102"/>
        <v>525</v>
      </c>
      <c r="S526" s="150" t="e">
        <f t="shared" si="103"/>
        <v>#N/A</v>
      </c>
      <c r="T526" s="150">
        <f t="shared" si="104"/>
        <v>525</v>
      </c>
      <c r="U526" s="150" t="e">
        <f t="shared" si="105"/>
        <v>#N/A</v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>
        <f t="shared" si="102"/>
        <v>526</v>
      </c>
      <c r="S527" s="150" t="e">
        <f t="shared" si="103"/>
        <v>#N/A</v>
      </c>
      <c r="T527" s="150">
        <f t="shared" si="104"/>
        <v>526</v>
      </c>
      <c r="U527" s="150" t="e">
        <f t="shared" si="105"/>
        <v>#N/A</v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>
        <f t="shared" si="102"/>
        <v>527</v>
      </c>
      <c r="S528" s="150" t="e">
        <f t="shared" si="103"/>
        <v>#N/A</v>
      </c>
      <c r="T528" s="150">
        <f t="shared" si="104"/>
        <v>527</v>
      </c>
      <c r="U528" s="150" t="e">
        <f t="shared" si="105"/>
        <v>#N/A</v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>
        <f t="shared" si="102"/>
        <v>528</v>
      </c>
      <c r="S529" s="150" t="e">
        <f t="shared" si="103"/>
        <v>#N/A</v>
      </c>
      <c r="T529" s="150">
        <f t="shared" si="104"/>
        <v>528</v>
      </c>
      <c r="U529" s="150" t="e">
        <f t="shared" si="105"/>
        <v>#N/A</v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>
        <f t="shared" si="102"/>
        <v>529</v>
      </c>
      <c r="S530" s="150" t="e">
        <f t="shared" si="103"/>
        <v>#N/A</v>
      </c>
      <c r="T530" s="150">
        <f t="shared" si="104"/>
        <v>529</v>
      </c>
      <c r="U530" s="150" t="e">
        <f t="shared" si="105"/>
        <v>#N/A</v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>
        <f t="shared" si="102"/>
        <v>530</v>
      </c>
      <c r="S531" s="150" t="e">
        <f t="shared" si="103"/>
        <v>#N/A</v>
      </c>
      <c r="T531" s="150">
        <f t="shared" si="104"/>
        <v>530</v>
      </c>
      <c r="U531" s="150" t="e">
        <f t="shared" si="105"/>
        <v>#N/A</v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>
        <f t="shared" si="102"/>
        <v>531</v>
      </c>
      <c r="S532" s="150" t="e">
        <f t="shared" si="103"/>
        <v>#N/A</v>
      </c>
      <c r="T532" s="150">
        <f t="shared" si="104"/>
        <v>531</v>
      </c>
      <c r="U532" s="150" t="e">
        <f t="shared" si="105"/>
        <v>#N/A</v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>
        <f t="shared" si="102"/>
        <v>532</v>
      </c>
      <c r="S533" s="150" t="e">
        <f t="shared" si="103"/>
        <v>#N/A</v>
      </c>
      <c r="T533" s="150">
        <f t="shared" si="104"/>
        <v>532</v>
      </c>
      <c r="U533" s="150" t="e">
        <f t="shared" si="105"/>
        <v>#N/A</v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>
        <f t="shared" si="102"/>
        <v>533</v>
      </c>
      <c r="S534" s="150" t="e">
        <f t="shared" si="103"/>
        <v>#N/A</v>
      </c>
      <c r="T534" s="150">
        <f t="shared" si="104"/>
        <v>533</v>
      </c>
      <c r="U534" s="150" t="e">
        <f t="shared" si="105"/>
        <v>#N/A</v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>
        <f t="shared" si="102"/>
        <v>534</v>
      </c>
      <c r="S535" s="150" t="e">
        <f t="shared" si="103"/>
        <v>#N/A</v>
      </c>
      <c r="T535" s="150">
        <f t="shared" si="104"/>
        <v>534</v>
      </c>
      <c r="U535" s="150" t="e">
        <f t="shared" si="105"/>
        <v>#N/A</v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>
        <f t="shared" si="102"/>
        <v>535</v>
      </c>
      <c r="S536" s="150" t="e">
        <f t="shared" si="103"/>
        <v>#N/A</v>
      </c>
      <c r="T536" s="150">
        <f t="shared" si="104"/>
        <v>535</v>
      </c>
      <c r="U536" s="150" t="e">
        <f t="shared" si="105"/>
        <v>#N/A</v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>
        <f t="shared" si="102"/>
        <v>536</v>
      </c>
      <c r="S537" s="150" t="e">
        <f t="shared" si="103"/>
        <v>#N/A</v>
      </c>
      <c r="T537" s="150">
        <f t="shared" si="104"/>
        <v>536</v>
      </c>
      <c r="U537" s="150" t="e">
        <f t="shared" si="105"/>
        <v>#N/A</v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>
        <f t="shared" si="102"/>
        <v>537</v>
      </c>
      <c r="S538" s="150" t="e">
        <f t="shared" si="103"/>
        <v>#N/A</v>
      </c>
      <c r="T538" s="150">
        <f t="shared" si="104"/>
        <v>537</v>
      </c>
      <c r="U538" s="150" t="e">
        <f t="shared" si="105"/>
        <v>#N/A</v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>
        <f t="shared" si="102"/>
        <v>538</v>
      </c>
      <c r="S539" s="150" t="e">
        <f t="shared" si="103"/>
        <v>#N/A</v>
      </c>
      <c r="T539" s="150">
        <f t="shared" si="104"/>
        <v>538</v>
      </c>
      <c r="U539" s="150" t="e">
        <f t="shared" si="105"/>
        <v>#N/A</v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>
        <f t="shared" si="102"/>
        <v>539</v>
      </c>
      <c r="S540" s="150" t="e">
        <f t="shared" si="103"/>
        <v>#N/A</v>
      </c>
      <c r="T540" s="150">
        <f t="shared" si="104"/>
        <v>539</v>
      </c>
      <c r="U540" s="150" t="e">
        <f t="shared" si="105"/>
        <v>#N/A</v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>
        <f t="shared" si="102"/>
        <v>540</v>
      </c>
      <c r="S541" s="150" t="e">
        <f t="shared" si="103"/>
        <v>#N/A</v>
      </c>
      <c r="T541" s="150">
        <f t="shared" si="104"/>
        <v>540</v>
      </c>
      <c r="U541" s="150" t="e">
        <f t="shared" si="105"/>
        <v>#N/A</v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>
        <f t="shared" si="102"/>
        <v>541</v>
      </c>
      <c r="S542" s="150" t="e">
        <f t="shared" si="103"/>
        <v>#N/A</v>
      </c>
      <c r="T542" s="150">
        <f t="shared" si="104"/>
        <v>541</v>
      </c>
      <c r="U542" s="150" t="e">
        <f t="shared" si="105"/>
        <v>#N/A</v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>
        <f t="shared" si="102"/>
        <v>542</v>
      </c>
      <c r="S543" s="150" t="e">
        <f t="shared" si="103"/>
        <v>#N/A</v>
      </c>
      <c r="T543" s="150">
        <f t="shared" si="104"/>
        <v>542</v>
      </c>
      <c r="U543" s="150" t="e">
        <f t="shared" si="105"/>
        <v>#N/A</v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>
        <f t="shared" si="102"/>
        <v>543</v>
      </c>
      <c r="S544" s="150" t="e">
        <f t="shared" si="103"/>
        <v>#N/A</v>
      </c>
      <c r="T544" s="150">
        <f t="shared" si="104"/>
        <v>543</v>
      </c>
      <c r="U544" s="150" t="e">
        <f t="shared" si="105"/>
        <v>#N/A</v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>
        <f t="shared" si="102"/>
        <v>544</v>
      </c>
      <c r="S545" s="150" t="e">
        <f t="shared" si="103"/>
        <v>#N/A</v>
      </c>
      <c r="T545" s="150">
        <f t="shared" si="104"/>
        <v>544</v>
      </c>
      <c r="U545" s="150" t="e">
        <f t="shared" si="105"/>
        <v>#N/A</v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>
        <f t="shared" si="102"/>
        <v>545</v>
      </c>
      <c r="S546" s="150" t="e">
        <f t="shared" si="103"/>
        <v>#N/A</v>
      </c>
      <c r="T546" s="150">
        <f t="shared" si="104"/>
        <v>545</v>
      </c>
      <c r="U546" s="150" t="e">
        <f t="shared" si="105"/>
        <v>#N/A</v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>
        <f t="shared" si="102"/>
        <v>546</v>
      </c>
      <c r="S547" s="150" t="e">
        <f t="shared" si="103"/>
        <v>#N/A</v>
      </c>
      <c r="T547" s="150">
        <f t="shared" si="104"/>
        <v>546</v>
      </c>
      <c r="U547" s="150" t="e">
        <f t="shared" si="105"/>
        <v>#N/A</v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>
        <f t="shared" si="102"/>
        <v>547</v>
      </c>
      <c r="S548" s="150" t="e">
        <f t="shared" si="103"/>
        <v>#N/A</v>
      </c>
      <c r="T548" s="150">
        <f t="shared" si="104"/>
        <v>547</v>
      </c>
      <c r="U548" s="150" t="e">
        <f t="shared" si="105"/>
        <v>#N/A</v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>
        <f t="shared" si="102"/>
        <v>548</v>
      </c>
      <c r="S549" s="150" t="e">
        <f t="shared" si="103"/>
        <v>#N/A</v>
      </c>
      <c r="T549" s="150">
        <f t="shared" si="104"/>
        <v>548</v>
      </c>
      <c r="U549" s="150" t="e">
        <f t="shared" si="105"/>
        <v>#N/A</v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>
        <f t="shared" si="102"/>
        <v>549</v>
      </c>
      <c r="S550" s="150" t="e">
        <f t="shared" si="103"/>
        <v>#N/A</v>
      </c>
      <c r="T550" s="150">
        <f t="shared" si="104"/>
        <v>549</v>
      </c>
      <c r="U550" s="150" t="e">
        <f t="shared" si="105"/>
        <v>#N/A</v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>
        <f t="shared" si="102"/>
        <v>550</v>
      </c>
      <c r="S551" s="150" t="e">
        <f t="shared" si="103"/>
        <v>#N/A</v>
      </c>
      <c r="T551" s="150">
        <f t="shared" si="104"/>
        <v>550</v>
      </c>
      <c r="U551" s="150" t="e">
        <f t="shared" si="105"/>
        <v>#N/A</v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>
        <f t="shared" si="102"/>
        <v>551</v>
      </c>
      <c r="S552" s="150" t="e">
        <f t="shared" si="103"/>
        <v>#N/A</v>
      </c>
      <c r="T552" s="150">
        <f t="shared" si="104"/>
        <v>551</v>
      </c>
      <c r="U552" s="150" t="e">
        <f t="shared" si="105"/>
        <v>#N/A</v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>
        <f t="shared" si="102"/>
        <v>552</v>
      </c>
      <c r="S553" s="150" t="e">
        <f t="shared" si="103"/>
        <v>#N/A</v>
      </c>
      <c r="T553" s="150">
        <f t="shared" si="104"/>
        <v>552</v>
      </c>
      <c r="U553" s="150" t="e">
        <f t="shared" si="105"/>
        <v>#N/A</v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>
        <f t="shared" si="102"/>
        <v>553</v>
      </c>
      <c r="S554" s="150" t="e">
        <f t="shared" si="103"/>
        <v>#N/A</v>
      </c>
      <c r="T554" s="150">
        <f t="shared" si="104"/>
        <v>553</v>
      </c>
      <c r="U554" s="150" t="e">
        <f t="shared" si="105"/>
        <v>#N/A</v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>
        <f t="shared" si="102"/>
        <v>554</v>
      </c>
      <c r="S555" s="150" t="e">
        <f t="shared" si="103"/>
        <v>#N/A</v>
      </c>
      <c r="T555" s="150">
        <f t="shared" si="104"/>
        <v>554</v>
      </c>
      <c r="U555" s="150" t="e">
        <f t="shared" si="105"/>
        <v>#N/A</v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>
        <f t="shared" si="102"/>
        <v>555</v>
      </c>
      <c r="S556" s="150" t="e">
        <f t="shared" si="103"/>
        <v>#N/A</v>
      </c>
      <c r="T556" s="150">
        <f t="shared" si="104"/>
        <v>555</v>
      </c>
      <c r="U556" s="150" t="e">
        <f t="shared" si="105"/>
        <v>#N/A</v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>
        <f t="shared" si="102"/>
        <v>556</v>
      </c>
      <c r="S557" s="150" t="e">
        <f t="shared" si="103"/>
        <v>#N/A</v>
      </c>
      <c r="T557" s="150">
        <f t="shared" si="104"/>
        <v>556</v>
      </c>
      <c r="U557" s="150" t="e">
        <f t="shared" si="105"/>
        <v>#N/A</v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>
        <f t="shared" si="102"/>
        <v>557</v>
      </c>
      <c r="S558" s="150" t="e">
        <f t="shared" si="103"/>
        <v>#N/A</v>
      </c>
      <c r="T558" s="150">
        <f t="shared" si="104"/>
        <v>557</v>
      </c>
      <c r="U558" s="150" t="e">
        <f t="shared" si="105"/>
        <v>#N/A</v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>
        <f t="shared" si="102"/>
        <v>558</v>
      </c>
      <c r="S559" s="150" t="e">
        <f t="shared" si="103"/>
        <v>#N/A</v>
      </c>
      <c r="T559" s="150">
        <f t="shared" si="104"/>
        <v>558</v>
      </c>
      <c r="U559" s="150" t="e">
        <f t="shared" si="105"/>
        <v>#N/A</v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>
        <f t="shared" si="102"/>
        <v>559</v>
      </c>
      <c r="S560" s="150" t="e">
        <f t="shared" si="103"/>
        <v>#N/A</v>
      </c>
      <c r="T560" s="150">
        <f t="shared" si="104"/>
        <v>559</v>
      </c>
      <c r="U560" s="150" t="e">
        <f t="shared" si="105"/>
        <v>#N/A</v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>
        <f t="shared" si="102"/>
        <v>560</v>
      </c>
      <c r="S561" s="150" t="e">
        <f t="shared" si="103"/>
        <v>#N/A</v>
      </c>
      <c r="T561" s="150">
        <f t="shared" si="104"/>
        <v>560</v>
      </c>
      <c r="U561" s="150" t="e">
        <f t="shared" si="105"/>
        <v>#N/A</v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>
        <f t="shared" si="102"/>
        <v>561</v>
      </c>
      <c r="S562" s="150" t="e">
        <f t="shared" si="103"/>
        <v>#N/A</v>
      </c>
      <c r="T562" s="150">
        <f t="shared" si="104"/>
        <v>561</v>
      </c>
      <c r="U562" s="150" t="e">
        <f t="shared" si="105"/>
        <v>#N/A</v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>
        <f t="shared" si="102"/>
        <v>562</v>
      </c>
      <c r="S563" s="150" t="e">
        <f t="shared" si="103"/>
        <v>#N/A</v>
      </c>
      <c r="T563" s="150">
        <f t="shared" si="104"/>
        <v>562</v>
      </c>
      <c r="U563" s="150" t="e">
        <f t="shared" si="105"/>
        <v>#N/A</v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>
        <f t="shared" si="102"/>
        <v>563</v>
      </c>
      <c r="S564" s="150" t="e">
        <f t="shared" si="103"/>
        <v>#N/A</v>
      </c>
      <c r="T564" s="150">
        <f t="shared" si="104"/>
        <v>563</v>
      </c>
      <c r="U564" s="150" t="e">
        <f t="shared" si="105"/>
        <v>#N/A</v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>
        <f t="shared" si="102"/>
        <v>564</v>
      </c>
      <c r="S565" s="150" t="e">
        <f t="shared" si="103"/>
        <v>#N/A</v>
      </c>
      <c r="T565" s="150">
        <f t="shared" si="104"/>
        <v>564</v>
      </c>
      <c r="U565" s="150" t="e">
        <f t="shared" si="105"/>
        <v>#N/A</v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>
        <f t="shared" si="102"/>
        <v>565</v>
      </c>
      <c r="S566" s="150" t="e">
        <f t="shared" si="103"/>
        <v>#N/A</v>
      </c>
      <c r="T566" s="150">
        <f t="shared" si="104"/>
        <v>565</v>
      </c>
      <c r="U566" s="150" t="e">
        <f t="shared" si="105"/>
        <v>#N/A</v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>
        <f t="shared" si="102"/>
        <v>566</v>
      </c>
      <c r="S567" s="150" t="e">
        <f t="shared" si="103"/>
        <v>#N/A</v>
      </c>
      <c r="T567" s="150">
        <f t="shared" si="104"/>
        <v>566</v>
      </c>
      <c r="U567" s="150" t="e">
        <f t="shared" si="105"/>
        <v>#N/A</v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>
        <f t="shared" si="102"/>
        <v>567</v>
      </c>
      <c r="S568" s="150" t="e">
        <f t="shared" si="103"/>
        <v>#N/A</v>
      </c>
      <c r="T568" s="150">
        <f t="shared" si="104"/>
        <v>567</v>
      </c>
      <c r="U568" s="150" t="e">
        <f t="shared" si="105"/>
        <v>#N/A</v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>
        <f t="shared" si="102"/>
        <v>568</v>
      </c>
      <c r="S569" s="150" t="e">
        <f t="shared" si="103"/>
        <v>#N/A</v>
      </c>
      <c r="T569" s="150">
        <f t="shared" si="104"/>
        <v>568</v>
      </c>
      <c r="U569" s="150" t="e">
        <f t="shared" si="105"/>
        <v>#N/A</v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>
        <f t="shared" si="102"/>
        <v>569</v>
      </c>
      <c r="S570" s="150" t="e">
        <f t="shared" si="103"/>
        <v>#N/A</v>
      </c>
      <c r="T570" s="150">
        <f t="shared" si="104"/>
        <v>569</v>
      </c>
      <c r="U570" s="150" t="e">
        <f t="shared" si="105"/>
        <v>#N/A</v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>
        <f t="shared" si="102"/>
        <v>570</v>
      </c>
      <c r="S571" s="150" t="e">
        <f t="shared" si="103"/>
        <v>#N/A</v>
      </c>
      <c r="T571" s="150">
        <f t="shared" si="104"/>
        <v>570</v>
      </c>
      <c r="U571" s="150" t="e">
        <f t="shared" si="105"/>
        <v>#N/A</v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>
        <f t="shared" si="102"/>
        <v>571</v>
      </c>
      <c r="S572" s="150" t="e">
        <f t="shared" si="103"/>
        <v>#N/A</v>
      </c>
      <c r="T572" s="150">
        <f t="shared" si="104"/>
        <v>571</v>
      </c>
      <c r="U572" s="150" t="e">
        <f t="shared" si="105"/>
        <v>#N/A</v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>
        <f t="shared" si="102"/>
        <v>572</v>
      </c>
      <c r="S573" s="150" t="e">
        <f t="shared" si="103"/>
        <v>#N/A</v>
      </c>
      <c r="T573" s="150">
        <f t="shared" si="104"/>
        <v>572</v>
      </c>
      <c r="U573" s="150" t="e">
        <f t="shared" si="105"/>
        <v>#N/A</v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>
        <f t="shared" si="102"/>
        <v>573</v>
      </c>
      <c r="S574" s="150" t="e">
        <f t="shared" si="103"/>
        <v>#N/A</v>
      </c>
      <c r="T574" s="150">
        <f t="shared" si="104"/>
        <v>573</v>
      </c>
      <c r="U574" s="150" t="e">
        <f t="shared" si="105"/>
        <v>#N/A</v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>
        <f t="shared" si="102"/>
        <v>574</v>
      </c>
      <c r="S575" s="150" t="e">
        <f t="shared" si="103"/>
        <v>#N/A</v>
      </c>
      <c r="T575" s="150">
        <f t="shared" si="104"/>
        <v>574</v>
      </c>
      <c r="U575" s="150" t="e">
        <f t="shared" si="105"/>
        <v>#N/A</v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>
        <f t="shared" si="102"/>
        <v>575</v>
      </c>
      <c r="S576" s="150" t="e">
        <f t="shared" si="103"/>
        <v>#N/A</v>
      </c>
      <c r="T576" s="150">
        <f t="shared" si="104"/>
        <v>575</v>
      </c>
      <c r="U576" s="150" t="e">
        <f t="shared" si="105"/>
        <v>#N/A</v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>
        <f t="shared" si="102"/>
        <v>576</v>
      </c>
      <c r="S577" s="150" t="e">
        <f t="shared" si="103"/>
        <v>#N/A</v>
      </c>
      <c r="T577" s="150">
        <f t="shared" si="104"/>
        <v>576</v>
      </c>
      <c r="U577" s="150" t="e">
        <f t="shared" si="105"/>
        <v>#N/A</v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>
        <f t="shared" si="102"/>
        <v>577</v>
      </c>
      <c r="S578" s="150" t="e">
        <f t="shared" si="103"/>
        <v>#N/A</v>
      </c>
      <c r="T578" s="150">
        <f t="shared" si="104"/>
        <v>577</v>
      </c>
      <c r="U578" s="150" t="e">
        <f t="shared" si="105"/>
        <v>#N/A</v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>
        <f t="shared" ref="R579:R642" si="114">IF($B$34&gt;=K579,K579,"")</f>
        <v>578</v>
      </c>
      <c r="S579" s="150" t="e">
        <f t="shared" ref="S579:S642" si="115">IF(R579="","",IF(R579&lt;=$E$36,VLOOKUP($E$35,$I$1:$J$4,2,FALSE),VLOOKUP($F$35,$I$1:$J$4,2,FALSE)))</f>
        <v>#N/A</v>
      </c>
      <c r="T579" s="150">
        <f t="shared" ref="T579:T642" si="116">IF($B$41&gt;=K579,K579,"")</f>
        <v>578</v>
      </c>
      <c r="U579" s="150" t="e">
        <f t="shared" ref="U579:U642" si="117">IF(T579="","",IF(T579&lt;=$E$43,VLOOKUP($E$42,$I$1:$J$4,2,FALSE),VLOOKUP($F$42,$I$1:$J$4,2,FALSE)))</f>
        <v>#N/A</v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>
        <f t="shared" si="114"/>
        <v>579</v>
      </c>
      <c r="S580" s="150" t="e">
        <f t="shared" si="115"/>
        <v>#N/A</v>
      </c>
      <c r="T580" s="150">
        <f t="shared" si="116"/>
        <v>579</v>
      </c>
      <c r="U580" s="150" t="e">
        <f t="shared" si="117"/>
        <v>#N/A</v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>
        <f t="shared" si="114"/>
        <v>580</v>
      </c>
      <c r="S581" s="150" t="e">
        <f t="shared" si="115"/>
        <v>#N/A</v>
      </c>
      <c r="T581" s="150">
        <f t="shared" si="116"/>
        <v>580</v>
      </c>
      <c r="U581" s="150" t="e">
        <f t="shared" si="117"/>
        <v>#N/A</v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>
        <f t="shared" si="114"/>
        <v>581</v>
      </c>
      <c r="S582" s="150" t="e">
        <f t="shared" si="115"/>
        <v>#N/A</v>
      </c>
      <c r="T582" s="150">
        <f t="shared" si="116"/>
        <v>581</v>
      </c>
      <c r="U582" s="150" t="e">
        <f t="shared" si="117"/>
        <v>#N/A</v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>
        <f t="shared" si="114"/>
        <v>582</v>
      </c>
      <c r="S583" s="150" t="e">
        <f t="shared" si="115"/>
        <v>#N/A</v>
      </c>
      <c r="T583" s="150">
        <f t="shared" si="116"/>
        <v>582</v>
      </c>
      <c r="U583" s="150" t="e">
        <f t="shared" si="117"/>
        <v>#N/A</v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>
        <f t="shared" si="114"/>
        <v>583</v>
      </c>
      <c r="S584" s="150" t="e">
        <f t="shared" si="115"/>
        <v>#N/A</v>
      </c>
      <c r="T584" s="150">
        <f t="shared" si="116"/>
        <v>583</v>
      </c>
      <c r="U584" s="150" t="e">
        <f t="shared" si="117"/>
        <v>#N/A</v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>
        <f t="shared" si="114"/>
        <v>584</v>
      </c>
      <c r="S585" s="150" t="e">
        <f t="shared" si="115"/>
        <v>#N/A</v>
      </c>
      <c r="T585" s="150">
        <f t="shared" si="116"/>
        <v>584</v>
      </c>
      <c r="U585" s="150" t="e">
        <f t="shared" si="117"/>
        <v>#N/A</v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>
        <f t="shared" si="114"/>
        <v>585</v>
      </c>
      <c r="S586" s="150" t="e">
        <f t="shared" si="115"/>
        <v>#N/A</v>
      </c>
      <c r="T586" s="150">
        <f t="shared" si="116"/>
        <v>585</v>
      </c>
      <c r="U586" s="150" t="e">
        <f t="shared" si="117"/>
        <v>#N/A</v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>
        <f t="shared" si="114"/>
        <v>586</v>
      </c>
      <c r="S587" s="150" t="e">
        <f t="shared" si="115"/>
        <v>#N/A</v>
      </c>
      <c r="T587" s="150">
        <f t="shared" si="116"/>
        <v>586</v>
      </c>
      <c r="U587" s="150" t="e">
        <f t="shared" si="117"/>
        <v>#N/A</v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>
        <f t="shared" si="114"/>
        <v>587</v>
      </c>
      <c r="S588" s="150" t="e">
        <f t="shared" si="115"/>
        <v>#N/A</v>
      </c>
      <c r="T588" s="150">
        <f t="shared" si="116"/>
        <v>587</v>
      </c>
      <c r="U588" s="150" t="e">
        <f t="shared" si="117"/>
        <v>#N/A</v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>
        <f t="shared" si="114"/>
        <v>588</v>
      </c>
      <c r="S589" s="150" t="e">
        <f t="shared" si="115"/>
        <v>#N/A</v>
      </c>
      <c r="T589" s="150">
        <f t="shared" si="116"/>
        <v>588</v>
      </c>
      <c r="U589" s="150" t="e">
        <f t="shared" si="117"/>
        <v>#N/A</v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>
        <f t="shared" si="114"/>
        <v>589</v>
      </c>
      <c r="S590" s="150" t="e">
        <f t="shared" si="115"/>
        <v>#N/A</v>
      </c>
      <c r="T590" s="150">
        <f t="shared" si="116"/>
        <v>589</v>
      </c>
      <c r="U590" s="150" t="e">
        <f t="shared" si="117"/>
        <v>#N/A</v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>
        <f t="shared" si="114"/>
        <v>590</v>
      </c>
      <c r="S591" s="150" t="e">
        <f t="shared" si="115"/>
        <v>#N/A</v>
      </c>
      <c r="T591" s="150">
        <f t="shared" si="116"/>
        <v>590</v>
      </c>
      <c r="U591" s="150" t="e">
        <f t="shared" si="117"/>
        <v>#N/A</v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>
        <f t="shared" si="114"/>
        <v>591</v>
      </c>
      <c r="S592" s="150" t="e">
        <f t="shared" si="115"/>
        <v>#N/A</v>
      </c>
      <c r="T592" s="150">
        <f t="shared" si="116"/>
        <v>591</v>
      </c>
      <c r="U592" s="150" t="e">
        <f t="shared" si="117"/>
        <v>#N/A</v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>
        <f t="shared" si="114"/>
        <v>592</v>
      </c>
      <c r="S593" s="150" t="e">
        <f t="shared" si="115"/>
        <v>#N/A</v>
      </c>
      <c r="T593" s="150">
        <f t="shared" si="116"/>
        <v>592</v>
      </c>
      <c r="U593" s="150" t="e">
        <f t="shared" si="117"/>
        <v>#N/A</v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>
        <f t="shared" si="114"/>
        <v>593</v>
      </c>
      <c r="S594" s="150" t="e">
        <f t="shared" si="115"/>
        <v>#N/A</v>
      </c>
      <c r="T594" s="150">
        <f t="shared" si="116"/>
        <v>593</v>
      </c>
      <c r="U594" s="150" t="e">
        <f t="shared" si="117"/>
        <v>#N/A</v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>
        <f t="shared" si="114"/>
        <v>594</v>
      </c>
      <c r="S595" s="150" t="e">
        <f t="shared" si="115"/>
        <v>#N/A</v>
      </c>
      <c r="T595" s="150">
        <f t="shared" si="116"/>
        <v>594</v>
      </c>
      <c r="U595" s="150" t="e">
        <f t="shared" si="117"/>
        <v>#N/A</v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>
        <f t="shared" si="114"/>
        <v>595</v>
      </c>
      <c r="S596" s="150" t="e">
        <f t="shared" si="115"/>
        <v>#N/A</v>
      </c>
      <c r="T596" s="150">
        <f t="shared" si="116"/>
        <v>595</v>
      </c>
      <c r="U596" s="150" t="e">
        <f t="shared" si="117"/>
        <v>#N/A</v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>
        <f t="shared" si="114"/>
        <v>596</v>
      </c>
      <c r="S597" s="150" t="e">
        <f t="shared" si="115"/>
        <v>#N/A</v>
      </c>
      <c r="T597" s="150">
        <f t="shared" si="116"/>
        <v>596</v>
      </c>
      <c r="U597" s="150" t="e">
        <f t="shared" si="117"/>
        <v>#N/A</v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>
        <f t="shared" si="114"/>
        <v>597</v>
      </c>
      <c r="S598" s="150" t="e">
        <f t="shared" si="115"/>
        <v>#N/A</v>
      </c>
      <c r="T598" s="150">
        <f t="shared" si="116"/>
        <v>597</v>
      </c>
      <c r="U598" s="150" t="e">
        <f t="shared" si="117"/>
        <v>#N/A</v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>
        <f t="shared" si="114"/>
        <v>598</v>
      </c>
      <c r="S599" s="150" t="e">
        <f t="shared" si="115"/>
        <v>#N/A</v>
      </c>
      <c r="T599" s="150">
        <f t="shared" si="116"/>
        <v>598</v>
      </c>
      <c r="U599" s="150" t="e">
        <f t="shared" si="117"/>
        <v>#N/A</v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>
        <f t="shared" si="114"/>
        <v>599</v>
      </c>
      <c r="S600" s="150" t="e">
        <f t="shared" si="115"/>
        <v>#N/A</v>
      </c>
      <c r="T600" s="150">
        <f t="shared" si="116"/>
        <v>599</v>
      </c>
      <c r="U600" s="150" t="e">
        <f t="shared" si="117"/>
        <v>#N/A</v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>
        <f t="shared" si="114"/>
        <v>600</v>
      </c>
      <c r="S601" s="150" t="e">
        <f t="shared" si="115"/>
        <v>#N/A</v>
      </c>
      <c r="T601" s="150">
        <f t="shared" si="116"/>
        <v>600</v>
      </c>
      <c r="U601" s="150" t="e">
        <f t="shared" si="117"/>
        <v>#N/A</v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>
        <f t="shared" si="114"/>
        <v>601</v>
      </c>
      <c r="S602" s="150" t="e">
        <f t="shared" si="115"/>
        <v>#N/A</v>
      </c>
      <c r="T602" s="150">
        <f t="shared" si="116"/>
        <v>601</v>
      </c>
      <c r="U602" s="150" t="e">
        <f t="shared" si="117"/>
        <v>#N/A</v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>
        <f t="shared" si="114"/>
        <v>602</v>
      </c>
      <c r="S603" s="150" t="e">
        <f t="shared" si="115"/>
        <v>#N/A</v>
      </c>
      <c r="T603" s="150">
        <f t="shared" si="116"/>
        <v>602</v>
      </c>
      <c r="U603" s="150" t="e">
        <f t="shared" si="117"/>
        <v>#N/A</v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>
        <f t="shared" si="114"/>
        <v>603</v>
      </c>
      <c r="S604" s="150" t="e">
        <f t="shared" si="115"/>
        <v>#N/A</v>
      </c>
      <c r="T604" s="150">
        <f t="shared" si="116"/>
        <v>603</v>
      </c>
      <c r="U604" s="150" t="e">
        <f t="shared" si="117"/>
        <v>#N/A</v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>
        <f t="shared" si="114"/>
        <v>604</v>
      </c>
      <c r="S605" s="150" t="e">
        <f t="shared" si="115"/>
        <v>#N/A</v>
      </c>
      <c r="T605" s="150">
        <f t="shared" si="116"/>
        <v>604</v>
      </c>
      <c r="U605" s="150" t="e">
        <f t="shared" si="117"/>
        <v>#N/A</v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>
        <f t="shared" si="114"/>
        <v>605</v>
      </c>
      <c r="S606" s="150" t="e">
        <f t="shared" si="115"/>
        <v>#N/A</v>
      </c>
      <c r="T606" s="150">
        <f t="shared" si="116"/>
        <v>605</v>
      </c>
      <c r="U606" s="150" t="e">
        <f t="shared" si="117"/>
        <v>#N/A</v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>
        <f t="shared" si="114"/>
        <v>606</v>
      </c>
      <c r="S607" s="150" t="e">
        <f t="shared" si="115"/>
        <v>#N/A</v>
      </c>
      <c r="T607" s="150">
        <f t="shared" si="116"/>
        <v>606</v>
      </c>
      <c r="U607" s="150" t="e">
        <f t="shared" si="117"/>
        <v>#N/A</v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>
        <f t="shared" si="114"/>
        <v>607</v>
      </c>
      <c r="S608" s="150" t="e">
        <f t="shared" si="115"/>
        <v>#N/A</v>
      </c>
      <c r="T608" s="150">
        <f t="shared" si="116"/>
        <v>607</v>
      </c>
      <c r="U608" s="150" t="e">
        <f t="shared" si="117"/>
        <v>#N/A</v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>
        <f t="shared" si="114"/>
        <v>608</v>
      </c>
      <c r="S609" s="150" t="e">
        <f t="shared" si="115"/>
        <v>#N/A</v>
      </c>
      <c r="T609" s="150">
        <f t="shared" si="116"/>
        <v>608</v>
      </c>
      <c r="U609" s="150" t="e">
        <f t="shared" si="117"/>
        <v>#N/A</v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>
        <f t="shared" si="114"/>
        <v>609</v>
      </c>
      <c r="S610" s="150" t="e">
        <f t="shared" si="115"/>
        <v>#N/A</v>
      </c>
      <c r="T610" s="150">
        <f t="shared" si="116"/>
        <v>609</v>
      </c>
      <c r="U610" s="150" t="e">
        <f t="shared" si="117"/>
        <v>#N/A</v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>
        <f t="shared" si="114"/>
        <v>610</v>
      </c>
      <c r="S611" s="150" t="e">
        <f t="shared" si="115"/>
        <v>#N/A</v>
      </c>
      <c r="T611" s="150">
        <f t="shared" si="116"/>
        <v>610</v>
      </c>
      <c r="U611" s="150" t="e">
        <f t="shared" si="117"/>
        <v>#N/A</v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>
        <f t="shared" si="114"/>
        <v>611</v>
      </c>
      <c r="S612" s="150" t="e">
        <f t="shared" si="115"/>
        <v>#N/A</v>
      </c>
      <c r="T612" s="150">
        <f t="shared" si="116"/>
        <v>611</v>
      </c>
      <c r="U612" s="150" t="e">
        <f t="shared" si="117"/>
        <v>#N/A</v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>
        <f t="shared" si="114"/>
        <v>612</v>
      </c>
      <c r="S613" s="150" t="e">
        <f t="shared" si="115"/>
        <v>#N/A</v>
      </c>
      <c r="T613" s="150">
        <f t="shared" si="116"/>
        <v>612</v>
      </c>
      <c r="U613" s="150" t="e">
        <f t="shared" si="117"/>
        <v>#N/A</v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>
        <f t="shared" si="114"/>
        <v>613</v>
      </c>
      <c r="S614" s="150" t="e">
        <f t="shared" si="115"/>
        <v>#N/A</v>
      </c>
      <c r="T614" s="150">
        <f t="shared" si="116"/>
        <v>613</v>
      </c>
      <c r="U614" s="150" t="e">
        <f t="shared" si="117"/>
        <v>#N/A</v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>
        <f t="shared" si="114"/>
        <v>614</v>
      </c>
      <c r="S615" s="150" t="e">
        <f t="shared" si="115"/>
        <v>#N/A</v>
      </c>
      <c r="T615" s="150">
        <f t="shared" si="116"/>
        <v>614</v>
      </c>
      <c r="U615" s="150" t="e">
        <f t="shared" si="117"/>
        <v>#N/A</v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>
        <f t="shared" si="114"/>
        <v>615</v>
      </c>
      <c r="S616" s="150" t="e">
        <f t="shared" si="115"/>
        <v>#N/A</v>
      </c>
      <c r="T616" s="150">
        <f t="shared" si="116"/>
        <v>615</v>
      </c>
      <c r="U616" s="150" t="e">
        <f t="shared" si="117"/>
        <v>#N/A</v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>
        <f t="shared" si="114"/>
        <v>616</v>
      </c>
      <c r="S617" s="150" t="e">
        <f t="shared" si="115"/>
        <v>#N/A</v>
      </c>
      <c r="T617" s="150">
        <f t="shared" si="116"/>
        <v>616</v>
      </c>
      <c r="U617" s="150" t="e">
        <f t="shared" si="117"/>
        <v>#N/A</v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>
        <f t="shared" si="114"/>
        <v>617</v>
      </c>
      <c r="S618" s="150" t="e">
        <f t="shared" si="115"/>
        <v>#N/A</v>
      </c>
      <c r="T618" s="150">
        <f t="shared" si="116"/>
        <v>617</v>
      </c>
      <c r="U618" s="150" t="e">
        <f t="shared" si="117"/>
        <v>#N/A</v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>
        <f t="shared" si="114"/>
        <v>618</v>
      </c>
      <c r="S619" s="150" t="e">
        <f t="shared" si="115"/>
        <v>#N/A</v>
      </c>
      <c r="T619" s="150">
        <f t="shared" si="116"/>
        <v>618</v>
      </c>
      <c r="U619" s="150" t="e">
        <f t="shared" si="117"/>
        <v>#N/A</v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>
        <f t="shared" si="114"/>
        <v>619</v>
      </c>
      <c r="S620" s="150" t="e">
        <f t="shared" si="115"/>
        <v>#N/A</v>
      </c>
      <c r="T620" s="150">
        <f t="shared" si="116"/>
        <v>619</v>
      </c>
      <c r="U620" s="150" t="e">
        <f t="shared" si="117"/>
        <v>#N/A</v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>
        <f t="shared" si="114"/>
        <v>620</v>
      </c>
      <c r="S621" s="150" t="e">
        <f t="shared" si="115"/>
        <v>#N/A</v>
      </c>
      <c r="T621" s="150">
        <f t="shared" si="116"/>
        <v>620</v>
      </c>
      <c r="U621" s="150" t="e">
        <f t="shared" si="117"/>
        <v>#N/A</v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>
        <f t="shared" si="114"/>
        <v>621</v>
      </c>
      <c r="S622" s="150" t="e">
        <f t="shared" si="115"/>
        <v>#N/A</v>
      </c>
      <c r="T622" s="150">
        <f t="shared" si="116"/>
        <v>621</v>
      </c>
      <c r="U622" s="150" t="e">
        <f t="shared" si="117"/>
        <v>#N/A</v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>
        <f t="shared" si="114"/>
        <v>622</v>
      </c>
      <c r="S623" s="150" t="e">
        <f t="shared" si="115"/>
        <v>#N/A</v>
      </c>
      <c r="T623" s="150">
        <f t="shared" si="116"/>
        <v>622</v>
      </c>
      <c r="U623" s="150" t="e">
        <f t="shared" si="117"/>
        <v>#N/A</v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>
        <f t="shared" si="114"/>
        <v>623</v>
      </c>
      <c r="S624" s="150" t="e">
        <f t="shared" si="115"/>
        <v>#N/A</v>
      </c>
      <c r="T624" s="150">
        <f t="shared" si="116"/>
        <v>623</v>
      </c>
      <c r="U624" s="150" t="e">
        <f t="shared" si="117"/>
        <v>#N/A</v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>
        <f t="shared" si="114"/>
        <v>624</v>
      </c>
      <c r="S625" s="150" t="e">
        <f t="shared" si="115"/>
        <v>#N/A</v>
      </c>
      <c r="T625" s="150">
        <f t="shared" si="116"/>
        <v>624</v>
      </c>
      <c r="U625" s="150" t="e">
        <f t="shared" si="117"/>
        <v>#N/A</v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>
        <f t="shared" si="114"/>
        <v>625</v>
      </c>
      <c r="S626" s="150" t="e">
        <f t="shared" si="115"/>
        <v>#N/A</v>
      </c>
      <c r="T626" s="150">
        <f t="shared" si="116"/>
        <v>625</v>
      </c>
      <c r="U626" s="150" t="e">
        <f t="shared" si="117"/>
        <v>#N/A</v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>
        <f t="shared" si="114"/>
        <v>626</v>
      </c>
      <c r="S627" s="150" t="e">
        <f t="shared" si="115"/>
        <v>#N/A</v>
      </c>
      <c r="T627" s="150">
        <f t="shared" si="116"/>
        <v>626</v>
      </c>
      <c r="U627" s="150" t="e">
        <f t="shared" si="117"/>
        <v>#N/A</v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>
        <f t="shared" si="114"/>
        <v>627</v>
      </c>
      <c r="S628" s="150" t="e">
        <f t="shared" si="115"/>
        <v>#N/A</v>
      </c>
      <c r="T628" s="150">
        <f t="shared" si="116"/>
        <v>627</v>
      </c>
      <c r="U628" s="150" t="e">
        <f t="shared" si="117"/>
        <v>#N/A</v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>
        <f t="shared" si="114"/>
        <v>628</v>
      </c>
      <c r="S629" s="150" t="e">
        <f t="shared" si="115"/>
        <v>#N/A</v>
      </c>
      <c r="T629" s="150">
        <f t="shared" si="116"/>
        <v>628</v>
      </c>
      <c r="U629" s="150" t="e">
        <f t="shared" si="117"/>
        <v>#N/A</v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>
        <f t="shared" si="114"/>
        <v>629</v>
      </c>
      <c r="S630" s="150" t="e">
        <f t="shared" si="115"/>
        <v>#N/A</v>
      </c>
      <c r="T630" s="150">
        <f t="shared" si="116"/>
        <v>629</v>
      </c>
      <c r="U630" s="150" t="e">
        <f t="shared" si="117"/>
        <v>#N/A</v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>
        <f t="shared" si="114"/>
        <v>630</v>
      </c>
      <c r="S631" s="150" t="e">
        <f t="shared" si="115"/>
        <v>#N/A</v>
      </c>
      <c r="T631" s="150">
        <f t="shared" si="116"/>
        <v>630</v>
      </c>
      <c r="U631" s="150" t="e">
        <f t="shared" si="117"/>
        <v>#N/A</v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>
        <f t="shared" si="114"/>
        <v>631</v>
      </c>
      <c r="S632" s="150" t="e">
        <f t="shared" si="115"/>
        <v>#N/A</v>
      </c>
      <c r="T632" s="150">
        <f t="shared" si="116"/>
        <v>631</v>
      </c>
      <c r="U632" s="150" t="e">
        <f t="shared" si="117"/>
        <v>#N/A</v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>
        <f t="shared" si="114"/>
        <v>632</v>
      </c>
      <c r="S633" s="150" t="e">
        <f t="shared" si="115"/>
        <v>#N/A</v>
      </c>
      <c r="T633" s="150">
        <f t="shared" si="116"/>
        <v>632</v>
      </c>
      <c r="U633" s="150" t="e">
        <f t="shared" si="117"/>
        <v>#N/A</v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>
        <f t="shared" si="114"/>
        <v>633</v>
      </c>
      <c r="S634" s="150" t="e">
        <f t="shared" si="115"/>
        <v>#N/A</v>
      </c>
      <c r="T634" s="150">
        <f t="shared" si="116"/>
        <v>633</v>
      </c>
      <c r="U634" s="150" t="e">
        <f t="shared" si="117"/>
        <v>#N/A</v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>
        <f t="shared" si="114"/>
        <v>634</v>
      </c>
      <c r="S635" s="150" t="e">
        <f t="shared" si="115"/>
        <v>#N/A</v>
      </c>
      <c r="T635" s="150">
        <f t="shared" si="116"/>
        <v>634</v>
      </c>
      <c r="U635" s="150" t="e">
        <f t="shared" si="117"/>
        <v>#N/A</v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>
        <f t="shared" si="114"/>
        <v>635</v>
      </c>
      <c r="S636" s="150" t="e">
        <f t="shared" si="115"/>
        <v>#N/A</v>
      </c>
      <c r="T636" s="150">
        <f t="shared" si="116"/>
        <v>635</v>
      </c>
      <c r="U636" s="150" t="e">
        <f t="shared" si="117"/>
        <v>#N/A</v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>
        <f t="shared" si="114"/>
        <v>636</v>
      </c>
      <c r="S637" s="150" t="e">
        <f t="shared" si="115"/>
        <v>#N/A</v>
      </c>
      <c r="T637" s="150">
        <f t="shared" si="116"/>
        <v>636</v>
      </c>
      <c r="U637" s="150" t="e">
        <f t="shared" si="117"/>
        <v>#N/A</v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>
        <f t="shared" si="114"/>
        <v>637</v>
      </c>
      <c r="S638" s="150" t="e">
        <f t="shared" si="115"/>
        <v>#N/A</v>
      </c>
      <c r="T638" s="150">
        <f t="shared" si="116"/>
        <v>637</v>
      </c>
      <c r="U638" s="150" t="e">
        <f t="shared" si="117"/>
        <v>#N/A</v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>
        <f t="shared" si="114"/>
        <v>638</v>
      </c>
      <c r="S639" s="150" t="e">
        <f t="shared" si="115"/>
        <v>#N/A</v>
      </c>
      <c r="T639" s="150">
        <f t="shared" si="116"/>
        <v>638</v>
      </c>
      <c r="U639" s="150" t="e">
        <f t="shared" si="117"/>
        <v>#N/A</v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>
        <f t="shared" si="114"/>
        <v>639</v>
      </c>
      <c r="S640" s="150" t="e">
        <f t="shared" si="115"/>
        <v>#N/A</v>
      </c>
      <c r="T640" s="150">
        <f t="shared" si="116"/>
        <v>639</v>
      </c>
      <c r="U640" s="150" t="e">
        <f t="shared" si="117"/>
        <v>#N/A</v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>
        <f t="shared" si="114"/>
        <v>640</v>
      </c>
      <c r="S641" s="150" t="e">
        <f t="shared" si="115"/>
        <v>#N/A</v>
      </c>
      <c r="T641" s="150">
        <f t="shared" si="116"/>
        <v>640</v>
      </c>
      <c r="U641" s="150" t="e">
        <f t="shared" si="117"/>
        <v>#N/A</v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>
        <f t="shared" si="114"/>
        <v>641</v>
      </c>
      <c r="S642" s="150" t="e">
        <f t="shared" si="115"/>
        <v>#N/A</v>
      </c>
      <c r="T642" s="150">
        <f t="shared" si="116"/>
        <v>641</v>
      </c>
      <c r="U642" s="150" t="e">
        <f t="shared" si="117"/>
        <v>#N/A</v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>
        <f t="shared" ref="R643:R706" si="126">IF($B$34&gt;=K643,K643,"")</f>
        <v>642</v>
      </c>
      <c r="S643" s="150" t="e">
        <f t="shared" ref="S643:S706" si="127">IF(R643="","",IF(R643&lt;=$E$36,VLOOKUP($E$35,$I$1:$J$4,2,FALSE),VLOOKUP($F$35,$I$1:$J$4,2,FALSE)))</f>
        <v>#N/A</v>
      </c>
      <c r="T643" s="150">
        <f t="shared" ref="T643:T706" si="128">IF($B$41&gt;=K643,K643,"")</f>
        <v>642</v>
      </c>
      <c r="U643" s="150" t="e">
        <f t="shared" ref="U643:U706" si="129">IF(T643="","",IF(T643&lt;=$E$43,VLOOKUP($E$42,$I$1:$J$4,2,FALSE),VLOOKUP($F$42,$I$1:$J$4,2,FALSE)))</f>
        <v>#N/A</v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>
        <f t="shared" si="126"/>
        <v>643</v>
      </c>
      <c r="S644" s="150" t="e">
        <f t="shared" si="127"/>
        <v>#N/A</v>
      </c>
      <c r="T644" s="150">
        <f t="shared" si="128"/>
        <v>643</v>
      </c>
      <c r="U644" s="150" t="e">
        <f t="shared" si="129"/>
        <v>#N/A</v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>
        <f t="shared" si="126"/>
        <v>644</v>
      </c>
      <c r="S645" s="150" t="e">
        <f t="shared" si="127"/>
        <v>#N/A</v>
      </c>
      <c r="T645" s="150">
        <f t="shared" si="128"/>
        <v>644</v>
      </c>
      <c r="U645" s="150" t="e">
        <f t="shared" si="129"/>
        <v>#N/A</v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>
        <f t="shared" si="126"/>
        <v>645</v>
      </c>
      <c r="S646" s="150" t="e">
        <f t="shared" si="127"/>
        <v>#N/A</v>
      </c>
      <c r="T646" s="150">
        <f t="shared" si="128"/>
        <v>645</v>
      </c>
      <c r="U646" s="150" t="e">
        <f t="shared" si="129"/>
        <v>#N/A</v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>
        <f t="shared" si="126"/>
        <v>646</v>
      </c>
      <c r="S647" s="150" t="e">
        <f t="shared" si="127"/>
        <v>#N/A</v>
      </c>
      <c r="T647" s="150">
        <f t="shared" si="128"/>
        <v>646</v>
      </c>
      <c r="U647" s="150" t="e">
        <f t="shared" si="129"/>
        <v>#N/A</v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>
        <f t="shared" si="126"/>
        <v>647</v>
      </c>
      <c r="S648" s="150" t="e">
        <f t="shared" si="127"/>
        <v>#N/A</v>
      </c>
      <c r="T648" s="150">
        <f t="shared" si="128"/>
        <v>647</v>
      </c>
      <c r="U648" s="150" t="e">
        <f t="shared" si="129"/>
        <v>#N/A</v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>
        <f t="shared" si="126"/>
        <v>648</v>
      </c>
      <c r="S649" s="150" t="e">
        <f t="shared" si="127"/>
        <v>#N/A</v>
      </c>
      <c r="T649" s="150">
        <f t="shared" si="128"/>
        <v>648</v>
      </c>
      <c r="U649" s="150" t="e">
        <f t="shared" si="129"/>
        <v>#N/A</v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>
        <f t="shared" si="126"/>
        <v>649</v>
      </c>
      <c r="S650" s="150" t="e">
        <f t="shared" si="127"/>
        <v>#N/A</v>
      </c>
      <c r="T650" s="150">
        <f t="shared" si="128"/>
        <v>649</v>
      </c>
      <c r="U650" s="150" t="e">
        <f t="shared" si="129"/>
        <v>#N/A</v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>
        <f t="shared" si="126"/>
        <v>650</v>
      </c>
      <c r="S651" s="150" t="e">
        <f t="shared" si="127"/>
        <v>#N/A</v>
      </c>
      <c r="T651" s="150">
        <f t="shared" si="128"/>
        <v>650</v>
      </c>
      <c r="U651" s="150" t="e">
        <f t="shared" si="129"/>
        <v>#N/A</v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>
        <f t="shared" si="126"/>
        <v>651</v>
      </c>
      <c r="S652" s="150" t="e">
        <f t="shared" si="127"/>
        <v>#N/A</v>
      </c>
      <c r="T652" s="150">
        <f t="shared" si="128"/>
        <v>651</v>
      </c>
      <c r="U652" s="150" t="e">
        <f t="shared" si="129"/>
        <v>#N/A</v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>
        <f t="shared" si="126"/>
        <v>652</v>
      </c>
      <c r="S653" s="150" t="e">
        <f t="shared" si="127"/>
        <v>#N/A</v>
      </c>
      <c r="T653" s="150">
        <f t="shared" si="128"/>
        <v>652</v>
      </c>
      <c r="U653" s="150" t="e">
        <f t="shared" si="129"/>
        <v>#N/A</v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>
        <f t="shared" si="126"/>
        <v>653</v>
      </c>
      <c r="S654" s="150" t="e">
        <f t="shared" si="127"/>
        <v>#N/A</v>
      </c>
      <c r="T654" s="150">
        <f t="shared" si="128"/>
        <v>653</v>
      </c>
      <c r="U654" s="150" t="e">
        <f t="shared" si="129"/>
        <v>#N/A</v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>
        <f t="shared" si="126"/>
        <v>654</v>
      </c>
      <c r="S655" s="150" t="e">
        <f t="shared" si="127"/>
        <v>#N/A</v>
      </c>
      <c r="T655" s="150">
        <f t="shared" si="128"/>
        <v>654</v>
      </c>
      <c r="U655" s="150" t="e">
        <f t="shared" si="129"/>
        <v>#N/A</v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>
        <f t="shared" si="126"/>
        <v>655</v>
      </c>
      <c r="S656" s="150" t="e">
        <f t="shared" si="127"/>
        <v>#N/A</v>
      </c>
      <c r="T656" s="150">
        <f t="shared" si="128"/>
        <v>655</v>
      </c>
      <c r="U656" s="150" t="e">
        <f t="shared" si="129"/>
        <v>#N/A</v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>
        <f t="shared" si="126"/>
        <v>656</v>
      </c>
      <c r="S657" s="150" t="e">
        <f t="shared" si="127"/>
        <v>#N/A</v>
      </c>
      <c r="T657" s="150">
        <f t="shared" si="128"/>
        <v>656</v>
      </c>
      <c r="U657" s="150" t="e">
        <f t="shared" si="129"/>
        <v>#N/A</v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>
        <f t="shared" si="126"/>
        <v>657</v>
      </c>
      <c r="S658" s="150" t="e">
        <f t="shared" si="127"/>
        <v>#N/A</v>
      </c>
      <c r="T658" s="150">
        <f t="shared" si="128"/>
        <v>657</v>
      </c>
      <c r="U658" s="150" t="e">
        <f t="shared" si="129"/>
        <v>#N/A</v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>
        <f t="shared" si="126"/>
        <v>658</v>
      </c>
      <c r="S659" s="150" t="e">
        <f t="shared" si="127"/>
        <v>#N/A</v>
      </c>
      <c r="T659" s="150">
        <f t="shared" si="128"/>
        <v>658</v>
      </c>
      <c r="U659" s="150" t="e">
        <f t="shared" si="129"/>
        <v>#N/A</v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>
        <f t="shared" si="126"/>
        <v>659</v>
      </c>
      <c r="S660" s="150" t="e">
        <f t="shared" si="127"/>
        <v>#N/A</v>
      </c>
      <c r="T660" s="150">
        <f t="shared" si="128"/>
        <v>659</v>
      </c>
      <c r="U660" s="150" t="e">
        <f t="shared" si="129"/>
        <v>#N/A</v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>
        <f t="shared" si="126"/>
        <v>660</v>
      </c>
      <c r="S661" s="150" t="e">
        <f t="shared" si="127"/>
        <v>#N/A</v>
      </c>
      <c r="T661" s="150">
        <f t="shared" si="128"/>
        <v>660</v>
      </c>
      <c r="U661" s="150" t="e">
        <f t="shared" si="129"/>
        <v>#N/A</v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>
        <f t="shared" si="126"/>
        <v>661</v>
      </c>
      <c r="S662" s="150" t="e">
        <f t="shared" si="127"/>
        <v>#N/A</v>
      </c>
      <c r="T662" s="150">
        <f t="shared" si="128"/>
        <v>661</v>
      </c>
      <c r="U662" s="150" t="e">
        <f t="shared" si="129"/>
        <v>#N/A</v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>
        <f t="shared" si="126"/>
        <v>662</v>
      </c>
      <c r="S663" s="150" t="e">
        <f t="shared" si="127"/>
        <v>#N/A</v>
      </c>
      <c r="T663" s="150">
        <f t="shared" si="128"/>
        <v>662</v>
      </c>
      <c r="U663" s="150" t="e">
        <f t="shared" si="129"/>
        <v>#N/A</v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>
        <f t="shared" si="126"/>
        <v>663</v>
      </c>
      <c r="S664" s="150" t="e">
        <f t="shared" si="127"/>
        <v>#N/A</v>
      </c>
      <c r="T664" s="150">
        <f t="shared" si="128"/>
        <v>663</v>
      </c>
      <c r="U664" s="150" t="e">
        <f t="shared" si="129"/>
        <v>#N/A</v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>
        <f t="shared" si="126"/>
        <v>664</v>
      </c>
      <c r="S665" s="150" t="e">
        <f t="shared" si="127"/>
        <v>#N/A</v>
      </c>
      <c r="T665" s="150">
        <f t="shared" si="128"/>
        <v>664</v>
      </c>
      <c r="U665" s="150" t="e">
        <f t="shared" si="129"/>
        <v>#N/A</v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>
        <f t="shared" si="126"/>
        <v>665</v>
      </c>
      <c r="S666" s="150" t="e">
        <f t="shared" si="127"/>
        <v>#N/A</v>
      </c>
      <c r="T666" s="150">
        <f t="shared" si="128"/>
        <v>665</v>
      </c>
      <c r="U666" s="150" t="e">
        <f t="shared" si="129"/>
        <v>#N/A</v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>
        <f t="shared" si="126"/>
        <v>666</v>
      </c>
      <c r="S667" s="150" t="e">
        <f t="shared" si="127"/>
        <v>#N/A</v>
      </c>
      <c r="T667" s="150">
        <f t="shared" si="128"/>
        <v>666</v>
      </c>
      <c r="U667" s="150" t="e">
        <f t="shared" si="129"/>
        <v>#N/A</v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>
        <f t="shared" si="126"/>
        <v>667</v>
      </c>
      <c r="S668" s="150" t="e">
        <f t="shared" si="127"/>
        <v>#N/A</v>
      </c>
      <c r="T668" s="150">
        <f t="shared" si="128"/>
        <v>667</v>
      </c>
      <c r="U668" s="150" t="e">
        <f t="shared" si="129"/>
        <v>#N/A</v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>
        <f t="shared" si="126"/>
        <v>668</v>
      </c>
      <c r="S669" s="150" t="e">
        <f t="shared" si="127"/>
        <v>#N/A</v>
      </c>
      <c r="T669" s="150">
        <f t="shared" si="128"/>
        <v>668</v>
      </c>
      <c r="U669" s="150" t="e">
        <f t="shared" si="129"/>
        <v>#N/A</v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>
        <f t="shared" si="126"/>
        <v>669</v>
      </c>
      <c r="S670" s="150" t="e">
        <f t="shared" si="127"/>
        <v>#N/A</v>
      </c>
      <c r="T670" s="150">
        <f t="shared" si="128"/>
        <v>669</v>
      </c>
      <c r="U670" s="150" t="e">
        <f t="shared" si="129"/>
        <v>#N/A</v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>
        <f t="shared" si="126"/>
        <v>670</v>
      </c>
      <c r="S671" s="150" t="e">
        <f t="shared" si="127"/>
        <v>#N/A</v>
      </c>
      <c r="T671" s="150">
        <f t="shared" si="128"/>
        <v>670</v>
      </c>
      <c r="U671" s="150" t="e">
        <f t="shared" si="129"/>
        <v>#N/A</v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>
        <f t="shared" si="126"/>
        <v>671</v>
      </c>
      <c r="S672" s="150" t="e">
        <f t="shared" si="127"/>
        <v>#N/A</v>
      </c>
      <c r="T672" s="150">
        <f t="shared" si="128"/>
        <v>671</v>
      </c>
      <c r="U672" s="150" t="e">
        <f t="shared" si="129"/>
        <v>#N/A</v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>
        <f t="shared" si="126"/>
        <v>672</v>
      </c>
      <c r="S673" s="150" t="e">
        <f t="shared" si="127"/>
        <v>#N/A</v>
      </c>
      <c r="T673" s="150">
        <f t="shared" si="128"/>
        <v>672</v>
      </c>
      <c r="U673" s="150" t="e">
        <f t="shared" si="129"/>
        <v>#N/A</v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>
        <f t="shared" si="126"/>
        <v>673</v>
      </c>
      <c r="S674" s="150" t="e">
        <f t="shared" si="127"/>
        <v>#N/A</v>
      </c>
      <c r="T674" s="150">
        <f t="shared" si="128"/>
        <v>673</v>
      </c>
      <c r="U674" s="150" t="e">
        <f t="shared" si="129"/>
        <v>#N/A</v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>
        <f t="shared" si="126"/>
        <v>674</v>
      </c>
      <c r="S675" s="150" t="e">
        <f t="shared" si="127"/>
        <v>#N/A</v>
      </c>
      <c r="T675" s="150">
        <f t="shared" si="128"/>
        <v>674</v>
      </c>
      <c r="U675" s="150" t="e">
        <f t="shared" si="129"/>
        <v>#N/A</v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>
        <f t="shared" si="126"/>
        <v>675</v>
      </c>
      <c r="S676" s="150" t="e">
        <f t="shared" si="127"/>
        <v>#N/A</v>
      </c>
      <c r="T676" s="150">
        <f t="shared" si="128"/>
        <v>675</v>
      </c>
      <c r="U676" s="150" t="e">
        <f t="shared" si="129"/>
        <v>#N/A</v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>
        <f t="shared" si="126"/>
        <v>676</v>
      </c>
      <c r="S677" s="150" t="e">
        <f t="shared" si="127"/>
        <v>#N/A</v>
      </c>
      <c r="T677" s="150">
        <f t="shared" si="128"/>
        <v>676</v>
      </c>
      <c r="U677" s="150" t="e">
        <f t="shared" si="129"/>
        <v>#N/A</v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>
        <f t="shared" si="126"/>
        <v>677</v>
      </c>
      <c r="S678" s="150" t="e">
        <f t="shared" si="127"/>
        <v>#N/A</v>
      </c>
      <c r="T678" s="150">
        <f t="shared" si="128"/>
        <v>677</v>
      </c>
      <c r="U678" s="150" t="e">
        <f t="shared" si="129"/>
        <v>#N/A</v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>
        <f t="shared" si="126"/>
        <v>678</v>
      </c>
      <c r="S679" s="150" t="e">
        <f t="shared" si="127"/>
        <v>#N/A</v>
      </c>
      <c r="T679" s="150">
        <f t="shared" si="128"/>
        <v>678</v>
      </c>
      <c r="U679" s="150" t="e">
        <f t="shared" si="129"/>
        <v>#N/A</v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>
        <f t="shared" si="126"/>
        <v>679</v>
      </c>
      <c r="S680" s="150" t="e">
        <f t="shared" si="127"/>
        <v>#N/A</v>
      </c>
      <c r="T680" s="150">
        <f t="shared" si="128"/>
        <v>679</v>
      </c>
      <c r="U680" s="150" t="e">
        <f t="shared" si="129"/>
        <v>#N/A</v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>
        <f t="shared" si="126"/>
        <v>680</v>
      </c>
      <c r="S681" s="150" t="e">
        <f t="shared" si="127"/>
        <v>#N/A</v>
      </c>
      <c r="T681" s="150">
        <f t="shared" si="128"/>
        <v>680</v>
      </c>
      <c r="U681" s="150" t="e">
        <f t="shared" si="129"/>
        <v>#N/A</v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>
        <f t="shared" si="126"/>
        <v>681</v>
      </c>
      <c r="S682" s="150" t="e">
        <f t="shared" si="127"/>
        <v>#N/A</v>
      </c>
      <c r="T682" s="150">
        <f t="shared" si="128"/>
        <v>681</v>
      </c>
      <c r="U682" s="150" t="e">
        <f t="shared" si="129"/>
        <v>#N/A</v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>
        <f t="shared" si="126"/>
        <v>682</v>
      </c>
      <c r="S683" s="150" t="e">
        <f t="shared" si="127"/>
        <v>#N/A</v>
      </c>
      <c r="T683" s="150">
        <f t="shared" si="128"/>
        <v>682</v>
      </c>
      <c r="U683" s="150" t="e">
        <f t="shared" si="129"/>
        <v>#N/A</v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>
        <f t="shared" si="126"/>
        <v>683</v>
      </c>
      <c r="S684" s="150" t="e">
        <f t="shared" si="127"/>
        <v>#N/A</v>
      </c>
      <c r="T684" s="150">
        <f t="shared" si="128"/>
        <v>683</v>
      </c>
      <c r="U684" s="150" t="e">
        <f t="shared" si="129"/>
        <v>#N/A</v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>
        <f t="shared" si="126"/>
        <v>684</v>
      </c>
      <c r="S685" s="150" t="e">
        <f t="shared" si="127"/>
        <v>#N/A</v>
      </c>
      <c r="T685" s="150">
        <f t="shared" si="128"/>
        <v>684</v>
      </c>
      <c r="U685" s="150" t="e">
        <f t="shared" si="129"/>
        <v>#N/A</v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>
        <f t="shared" si="126"/>
        <v>685</v>
      </c>
      <c r="S686" s="150" t="e">
        <f t="shared" si="127"/>
        <v>#N/A</v>
      </c>
      <c r="T686" s="150">
        <f t="shared" si="128"/>
        <v>685</v>
      </c>
      <c r="U686" s="150" t="e">
        <f t="shared" si="129"/>
        <v>#N/A</v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>
        <f t="shared" si="126"/>
        <v>686</v>
      </c>
      <c r="S687" s="150" t="e">
        <f t="shared" si="127"/>
        <v>#N/A</v>
      </c>
      <c r="T687" s="150">
        <f t="shared" si="128"/>
        <v>686</v>
      </c>
      <c r="U687" s="150" t="e">
        <f t="shared" si="129"/>
        <v>#N/A</v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>
        <f t="shared" si="126"/>
        <v>687</v>
      </c>
      <c r="S688" s="150" t="e">
        <f t="shared" si="127"/>
        <v>#N/A</v>
      </c>
      <c r="T688" s="150">
        <f t="shared" si="128"/>
        <v>687</v>
      </c>
      <c r="U688" s="150" t="e">
        <f t="shared" si="129"/>
        <v>#N/A</v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>
        <f t="shared" si="126"/>
        <v>688</v>
      </c>
      <c r="S689" s="150" t="e">
        <f t="shared" si="127"/>
        <v>#N/A</v>
      </c>
      <c r="T689" s="150">
        <f t="shared" si="128"/>
        <v>688</v>
      </c>
      <c r="U689" s="150" t="e">
        <f t="shared" si="129"/>
        <v>#N/A</v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>
        <f t="shared" si="126"/>
        <v>689</v>
      </c>
      <c r="S690" s="150" t="e">
        <f t="shared" si="127"/>
        <v>#N/A</v>
      </c>
      <c r="T690" s="150">
        <f t="shared" si="128"/>
        <v>689</v>
      </c>
      <c r="U690" s="150" t="e">
        <f t="shared" si="129"/>
        <v>#N/A</v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>
        <f t="shared" si="126"/>
        <v>690</v>
      </c>
      <c r="S691" s="150" t="e">
        <f t="shared" si="127"/>
        <v>#N/A</v>
      </c>
      <c r="T691" s="150">
        <f t="shared" si="128"/>
        <v>690</v>
      </c>
      <c r="U691" s="150" t="e">
        <f t="shared" si="129"/>
        <v>#N/A</v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>
        <f t="shared" si="126"/>
        <v>691</v>
      </c>
      <c r="S692" s="150" t="e">
        <f t="shared" si="127"/>
        <v>#N/A</v>
      </c>
      <c r="T692" s="150">
        <f t="shared" si="128"/>
        <v>691</v>
      </c>
      <c r="U692" s="150" t="e">
        <f t="shared" si="129"/>
        <v>#N/A</v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>
        <f t="shared" si="126"/>
        <v>692</v>
      </c>
      <c r="S693" s="150" t="e">
        <f t="shared" si="127"/>
        <v>#N/A</v>
      </c>
      <c r="T693" s="150">
        <f t="shared" si="128"/>
        <v>692</v>
      </c>
      <c r="U693" s="150" t="e">
        <f t="shared" si="129"/>
        <v>#N/A</v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>
        <f t="shared" si="126"/>
        <v>693</v>
      </c>
      <c r="S694" s="150" t="e">
        <f t="shared" si="127"/>
        <v>#N/A</v>
      </c>
      <c r="T694" s="150">
        <f t="shared" si="128"/>
        <v>693</v>
      </c>
      <c r="U694" s="150" t="e">
        <f t="shared" si="129"/>
        <v>#N/A</v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>
        <f t="shared" si="126"/>
        <v>694</v>
      </c>
      <c r="S695" s="150" t="e">
        <f t="shared" si="127"/>
        <v>#N/A</v>
      </c>
      <c r="T695" s="150">
        <f t="shared" si="128"/>
        <v>694</v>
      </c>
      <c r="U695" s="150" t="e">
        <f t="shared" si="129"/>
        <v>#N/A</v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>
        <f t="shared" si="126"/>
        <v>695</v>
      </c>
      <c r="S696" s="150" t="e">
        <f t="shared" si="127"/>
        <v>#N/A</v>
      </c>
      <c r="T696" s="150">
        <f t="shared" si="128"/>
        <v>695</v>
      </c>
      <c r="U696" s="150" t="e">
        <f t="shared" si="129"/>
        <v>#N/A</v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>
        <f t="shared" si="126"/>
        <v>696</v>
      </c>
      <c r="S697" s="150" t="e">
        <f t="shared" si="127"/>
        <v>#N/A</v>
      </c>
      <c r="T697" s="150">
        <f t="shared" si="128"/>
        <v>696</v>
      </c>
      <c r="U697" s="150" t="e">
        <f t="shared" si="129"/>
        <v>#N/A</v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>
        <f t="shared" si="126"/>
        <v>697</v>
      </c>
      <c r="S698" s="150" t="e">
        <f t="shared" si="127"/>
        <v>#N/A</v>
      </c>
      <c r="T698" s="150">
        <f t="shared" si="128"/>
        <v>697</v>
      </c>
      <c r="U698" s="150" t="e">
        <f t="shared" si="129"/>
        <v>#N/A</v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>
        <f t="shared" si="126"/>
        <v>698</v>
      </c>
      <c r="S699" s="150" t="e">
        <f t="shared" si="127"/>
        <v>#N/A</v>
      </c>
      <c r="T699" s="150">
        <f t="shared" si="128"/>
        <v>698</v>
      </c>
      <c r="U699" s="150" t="e">
        <f t="shared" si="129"/>
        <v>#N/A</v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>
        <f t="shared" si="126"/>
        <v>699</v>
      </c>
      <c r="S700" s="150" t="e">
        <f t="shared" si="127"/>
        <v>#N/A</v>
      </c>
      <c r="T700" s="150">
        <f t="shared" si="128"/>
        <v>699</v>
      </c>
      <c r="U700" s="150" t="e">
        <f t="shared" si="129"/>
        <v>#N/A</v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>
        <f t="shared" si="126"/>
        <v>700</v>
      </c>
      <c r="S701" s="150" t="e">
        <f t="shared" si="127"/>
        <v>#N/A</v>
      </c>
      <c r="T701" s="150">
        <f t="shared" si="128"/>
        <v>700</v>
      </c>
      <c r="U701" s="150" t="e">
        <f t="shared" si="129"/>
        <v>#N/A</v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>
        <f t="shared" si="126"/>
        <v>701</v>
      </c>
      <c r="S702" s="150" t="e">
        <f t="shared" si="127"/>
        <v>#N/A</v>
      </c>
      <c r="T702" s="150">
        <f t="shared" si="128"/>
        <v>701</v>
      </c>
      <c r="U702" s="150" t="e">
        <f t="shared" si="129"/>
        <v>#N/A</v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>
        <f t="shared" si="126"/>
        <v>702</v>
      </c>
      <c r="S703" s="150" t="e">
        <f t="shared" si="127"/>
        <v>#N/A</v>
      </c>
      <c r="T703" s="150">
        <f t="shared" si="128"/>
        <v>702</v>
      </c>
      <c r="U703" s="150" t="e">
        <f t="shared" si="129"/>
        <v>#N/A</v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>
        <f t="shared" si="126"/>
        <v>703</v>
      </c>
      <c r="S704" s="150" t="e">
        <f t="shared" si="127"/>
        <v>#N/A</v>
      </c>
      <c r="T704" s="150">
        <f t="shared" si="128"/>
        <v>703</v>
      </c>
      <c r="U704" s="150" t="e">
        <f t="shared" si="129"/>
        <v>#N/A</v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>
        <f t="shared" si="126"/>
        <v>704</v>
      </c>
      <c r="S705" s="150" t="e">
        <f t="shared" si="127"/>
        <v>#N/A</v>
      </c>
      <c r="T705" s="150">
        <f t="shared" si="128"/>
        <v>704</v>
      </c>
      <c r="U705" s="150" t="e">
        <f t="shared" si="129"/>
        <v>#N/A</v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>
        <f t="shared" si="126"/>
        <v>705</v>
      </c>
      <c r="S706" s="150" t="e">
        <f t="shared" si="127"/>
        <v>#N/A</v>
      </c>
      <c r="T706" s="150">
        <f t="shared" si="128"/>
        <v>705</v>
      </c>
      <c r="U706" s="150" t="e">
        <f t="shared" si="129"/>
        <v>#N/A</v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>
        <f t="shared" ref="R707:R770" si="138">IF($B$34&gt;=K707,K707,"")</f>
        <v>706</v>
      </c>
      <c r="S707" s="150" t="e">
        <f t="shared" ref="S707:S770" si="139">IF(R707="","",IF(R707&lt;=$E$36,VLOOKUP($E$35,$I$1:$J$4,2,FALSE),VLOOKUP($F$35,$I$1:$J$4,2,FALSE)))</f>
        <v>#N/A</v>
      </c>
      <c r="T707" s="150">
        <f t="shared" ref="T707:T770" si="140">IF($B$41&gt;=K707,K707,"")</f>
        <v>706</v>
      </c>
      <c r="U707" s="150" t="e">
        <f t="shared" ref="U707:U770" si="141">IF(T707="","",IF(T707&lt;=$E$43,VLOOKUP($E$42,$I$1:$J$4,2,FALSE),VLOOKUP($F$42,$I$1:$J$4,2,FALSE)))</f>
        <v>#N/A</v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>
        <f t="shared" si="138"/>
        <v>707</v>
      </c>
      <c r="S708" s="150" t="e">
        <f t="shared" si="139"/>
        <v>#N/A</v>
      </c>
      <c r="T708" s="150">
        <f t="shared" si="140"/>
        <v>707</v>
      </c>
      <c r="U708" s="150" t="e">
        <f t="shared" si="141"/>
        <v>#N/A</v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>
        <f t="shared" si="138"/>
        <v>708</v>
      </c>
      <c r="S709" s="150" t="e">
        <f t="shared" si="139"/>
        <v>#N/A</v>
      </c>
      <c r="T709" s="150">
        <f t="shared" si="140"/>
        <v>708</v>
      </c>
      <c r="U709" s="150" t="e">
        <f t="shared" si="141"/>
        <v>#N/A</v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>
        <f t="shared" si="138"/>
        <v>709</v>
      </c>
      <c r="S710" s="150" t="e">
        <f t="shared" si="139"/>
        <v>#N/A</v>
      </c>
      <c r="T710" s="150">
        <f t="shared" si="140"/>
        <v>709</v>
      </c>
      <c r="U710" s="150" t="e">
        <f t="shared" si="141"/>
        <v>#N/A</v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>
        <f t="shared" si="138"/>
        <v>710</v>
      </c>
      <c r="S711" s="150" t="e">
        <f t="shared" si="139"/>
        <v>#N/A</v>
      </c>
      <c r="T711" s="150">
        <f t="shared" si="140"/>
        <v>710</v>
      </c>
      <c r="U711" s="150" t="e">
        <f t="shared" si="141"/>
        <v>#N/A</v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>
        <f t="shared" si="138"/>
        <v>711</v>
      </c>
      <c r="S712" s="150" t="e">
        <f t="shared" si="139"/>
        <v>#N/A</v>
      </c>
      <c r="T712" s="150">
        <f t="shared" si="140"/>
        <v>711</v>
      </c>
      <c r="U712" s="150" t="e">
        <f t="shared" si="141"/>
        <v>#N/A</v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>
        <f t="shared" si="138"/>
        <v>712</v>
      </c>
      <c r="S713" s="150" t="e">
        <f t="shared" si="139"/>
        <v>#N/A</v>
      </c>
      <c r="T713" s="150">
        <f t="shared" si="140"/>
        <v>712</v>
      </c>
      <c r="U713" s="150" t="e">
        <f t="shared" si="141"/>
        <v>#N/A</v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>
        <f t="shared" si="138"/>
        <v>713</v>
      </c>
      <c r="S714" s="150" t="e">
        <f t="shared" si="139"/>
        <v>#N/A</v>
      </c>
      <c r="T714" s="150">
        <f t="shared" si="140"/>
        <v>713</v>
      </c>
      <c r="U714" s="150" t="e">
        <f t="shared" si="141"/>
        <v>#N/A</v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>
        <f t="shared" si="138"/>
        <v>714</v>
      </c>
      <c r="S715" s="150" t="e">
        <f t="shared" si="139"/>
        <v>#N/A</v>
      </c>
      <c r="T715" s="150">
        <f t="shared" si="140"/>
        <v>714</v>
      </c>
      <c r="U715" s="150" t="e">
        <f t="shared" si="141"/>
        <v>#N/A</v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>
        <f t="shared" si="138"/>
        <v>715</v>
      </c>
      <c r="S716" s="150" t="e">
        <f t="shared" si="139"/>
        <v>#N/A</v>
      </c>
      <c r="T716" s="150">
        <f t="shared" si="140"/>
        <v>715</v>
      </c>
      <c r="U716" s="150" t="e">
        <f t="shared" si="141"/>
        <v>#N/A</v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>
        <f t="shared" si="138"/>
        <v>716</v>
      </c>
      <c r="S717" s="150" t="e">
        <f t="shared" si="139"/>
        <v>#N/A</v>
      </c>
      <c r="T717" s="150">
        <f t="shared" si="140"/>
        <v>716</v>
      </c>
      <c r="U717" s="150" t="e">
        <f t="shared" si="141"/>
        <v>#N/A</v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>
        <f t="shared" si="138"/>
        <v>717</v>
      </c>
      <c r="S718" s="150" t="e">
        <f t="shared" si="139"/>
        <v>#N/A</v>
      </c>
      <c r="T718" s="150">
        <f t="shared" si="140"/>
        <v>717</v>
      </c>
      <c r="U718" s="150" t="e">
        <f t="shared" si="141"/>
        <v>#N/A</v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>
        <f t="shared" si="138"/>
        <v>718</v>
      </c>
      <c r="S719" s="150" t="e">
        <f t="shared" si="139"/>
        <v>#N/A</v>
      </c>
      <c r="T719" s="150">
        <f t="shared" si="140"/>
        <v>718</v>
      </c>
      <c r="U719" s="150" t="e">
        <f t="shared" si="141"/>
        <v>#N/A</v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>
        <f t="shared" si="138"/>
        <v>719</v>
      </c>
      <c r="S720" s="150" t="e">
        <f t="shared" si="139"/>
        <v>#N/A</v>
      </c>
      <c r="T720" s="150">
        <f t="shared" si="140"/>
        <v>719</v>
      </c>
      <c r="U720" s="150" t="e">
        <f t="shared" si="141"/>
        <v>#N/A</v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>
        <f t="shared" si="138"/>
        <v>720</v>
      </c>
      <c r="S721" s="150" t="e">
        <f t="shared" si="139"/>
        <v>#N/A</v>
      </c>
      <c r="T721" s="150">
        <f t="shared" si="140"/>
        <v>720</v>
      </c>
      <c r="U721" s="150" t="e">
        <f t="shared" si="141"/>
        <v>#N/A</v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>
        <f t="shared" si="138"/>
        <v>721</v>
      </c>
      <c r="S722" s="150" t="e">
        <f t="shared" si="139"/>
        <v>#N/A</v>
      </c>
      <c r="T722" s="150">
        <f t="shared" si="140"/>
        <v>721</v>
      </c>
      <c r="U722" s="150" t="e">
        <f t="shared" si="141"/>
        <v>#N/A</v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>
        <f t="shared" si="138"/>
        <v>722</v>
      </c>
      <c r="S723" s="150" t="e">
        <f t="shared" si="139"/>
        <v>#N/A</v>
      </c>
      <c r="T723" s="150">
        <f t="shared" si="140"/>
        <v>722</v>
      </c>
      <c r="U723" s="150" t="e">
        <f t="shared" si="141"/>
        <v>#N/A</v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>
        <f t="shared" si="138"/>
        <v>723</v>
      </c>
      <c r="S724" s="150" t="e">
        <f t="shared" si="139"/>
        <v>#N/A</v>
      </c>
      <c r="T724" s="150">
        <f t="shared" si="140"/>
        <v>723</v>
      </c>
      <c r="U724" s="150" t="e">
        <f t="shared" si="141"/>
        <v>#N/A</v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>
        <f t="shared" si="138"/>
        <v>724</v>
      </c>
      <c r="S725" s="150" t="e">
        <f t="shared" si="139"/>
        <v>#N/A</v>
      </c>
      <c r="T725" s="150">
        <f t="shared" si="140"/>
        <v>724</v>
      </c>
      <c r="U725" s="150" t="e">
        <f t="shared" si="141"/>
        <v>#N/A</v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>
        <f t="shared" si="138"/>
        <v>725</v>
      </c>
      <c r="S726" s="150" t="e">
        <f t="shared" si="139"/>
        <v>#N/A</v>
      </c>
      <c r="T726" s="150">
        <f t="shared" si="140"/>
        <v>725</v>
      </c>
      <c r="U726" s="150" t="e">
        <f t="shared" si="141"/>
        <v>#N/A</v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>
        <f t="shared" si="138"/>
        <v>726</v>
      </c>
      <c r="S727" s="150" t="e">
        <f t="shared" si="139"/>
        <v>#N/A</v>
      </c>
      <c r="T727" s="150">
        <f t="shared" si="140"/>
        <v>726</v>
      </c>
      <c r="U727" s="150" t="e">
        <f t="shared" si="141"/>
        <v>#N/A</v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>
        <f t="shared" si="138"/>
        <v>727</v>
      </c>
      <c r="S728" s="150" t="e">
        <f t="shared" si="139"/>
        <v>#N/A</v>
      </c>
      <c r="T728" s="150">
        <f t="shared" si="140"/>
        <v>727</v>
      </c>
      <c r="U728" s="150" t="e">
        <f t="shared" si="141"/>
        <v>#N/A</v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>
        <f t="shared" si="138"/>
        <v>728</v>
      </c>
      <c r="S729" s="150" t="e">
        <f t="shared" si="139"/>
        <v>#N/A</v>
      </c>
      <c r="T729" s="150">
        <f t="shared" si="140"/>
        <v>728</v>
      </c>
      <c r="U729" s="150" t="e">
        <f t="shared" si="141"/>
        <v>#N/A</v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>
        <f t="shared" si="138"/>
        <v>729</v>
      </c>
      <c r="S730" s="150" t="e">
        <f t="shared" si="139"/>
        <v>#N/A</v>
      </c>
      <c r="T730" s="150">
        <f t="shared" si="140"/>
        <v>729</v>
      </c>
      <c r="U730" s="150" t="e">
        <f t="shared" si="141"/>
        <v>#N/A</v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>
        <f t="shared" si="138"/>
        <v>730</v>
      </c>
      <c r="S731" s="150" t="e">
        <f t="shared" si="139"/>
        <v>#N/A</v>
      </c>
      <c r="T731" s="150">
        <f t="shared" si="140"/>
        <v>730</v>
      </c>
      <c r="U731" s="150" t="e">
        <f t="shared" si="141"/>
        <v>#N/A</v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>
        <f t="shared" si="138"/>
        <v>731</v>
      </c>
      <c r="S732" s="150" t="e">
        <f t="shared" si="139"/>
        <v>#N/A</v>
      </c>
      <c r="T732" s="150">
        <f t="shared" si="140"/>
        <v>731</v>
      </c>
      <c r="U732" s="150" t="e">
        <f t="shared" si="141"/>
        <v>#N/A</v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>
        <f t="shared" si="138"/>
        <v>732</v>
      </c>
      <c r="S733" s="150" t="e">
        <f t="shared" si="139"/>
        <v>#N/A</v>
      </c>
      <c r="T733" s="150">
        <f t="shared" si="140"/>
        <v>732</v>
      </c>
      <c r="U733" s="150" t="e">
        <f t="shared" si="141"/>
        <v>#N/A</v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>
        <f t="shared" si="138"/>
        <v>733</v>
      </c>
      <c r="S734" s="150" t="e">
        <f t="shared" si="139"/>
        <v>#N/A</v>
      </c>
      <c r="T734" s="150">
        <f t="shared" si="140"/>
        <v>733</v>
      </c>
      <c r="U734" s="150" t="e">
        <f t="shared" si="141"/>
        <v>#N/A</v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>
        <f t="shared" si="138"/>
        <v>734</v>
      </c>
      <c r="S735" s="150" t="e">
        <f t="shared" si="139"/>
        <v>#N/A</v>
      </c>
      <c r="T735" s="150">
        <f t="shared" si="140"/>
        <v>734</v>
      </c>
      <c r="U735" s="150" t="e">
        <f t="shared" si="141"/>
        <v>#N/A</v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>
        <f t="shared" si="138"/>
        <v>735</v>
      </c>
      <c r="S736" s="150" t="e">
        <f t="shared" si="139"/>
        <v>#N/A</v>
      </c>
      <c r="T736" s="150">
        <f t="shared" si="140"/>
        <v>735</v>
      </c>
      <c r="U736" s="150" t="e">
        <f t="shared" si="141"/>
        <v>#N/A</v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>
        <f t="shared" si="138"/>
        <v>736</v>
      </c>
      <c r="S737" s="150" t="e">
        <f t="shared" si="139"/>
        <v>#N/A</v>
      </c>
      <c r="T737" s="150">
        <f t="shared" si="140"/>
        <v>736</v>
      </c>
      <c r="U737" s="150" t="e">
        <f t="shared" si="141"/>
        <v>#N/A</v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>
        <f t="shared" si="138"/>
        <v>737</v>
      </c>
      <c r="S738" s="150" t="e">
        <f t="shared" si="139"/>
        <v>#N/A</v>
      </c>
      <c r="T738" s="150">
        <f t="shared" si="140"/>
        <v>737</v>
      </c>
      <c r="U738" s="150" t="e">
        <f t="shared" si="141"/>
        <v>#N/A</v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>
        <f t="shared" si="138"/>
        <v>738</v>
      </c>
      <c r="S739" s="150" t="e">
        <f t="shared" si="139"/>
        <v>#N/A</v>
      </c>
      <c r="T739" s="150">
        <f t="shared" si="140"/>
        <v>738</v>
      </c>
      <c r="U739" s="150" t="e">
        <f t="shared" si="141"/>
        <v>#N/A</v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>
        <f t="shared" si="138"/>
        <v>739</v>
      </c>
      <c r="S740" s="150" t="e">
        <f t="shared" si="139"/>
        <v>#N/A</v>
      </c>
      <c r="T740" s="150">
        <f t="shared" si="140"/>
        <v>739</v>
      </c>
      <c r="U740" s="150" t="e">
        <f t="shared" si="141"/>
        <v>#N/A</v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>
        <f t="shared" si="138"/>
        <v>740</v>
      </c>
      <c r="S741" s="150" t="e">
        <f t="shared" si="139"/>
        <v>#N/A</v>
      </c>
      <c r="T741" s="150">
        <f t="shared" si="140"/>
        <v>740</v>
      </c>
      <c r="U741" s="150" t="e">
        <f t="shared" si="141"/>
        <v>#N/A</v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>
        <f t="shared" si="138"/>
        <v>741</v>
      </c>
      <c r="S742" s="150" t="e">
        <f t="shared" si="139"/>
        <v>#N/A</v>
      </c>
      <c r="T742" s="150">
        <f t="shared" si="140"/>
        <v>741</v>
      </c>
      <c r="U742" s="150" t="e">
        <f t="shared" si="141"/>
        <v>#N/A</v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>
        <f t="shared" si="138"/>
        <v>742</v>
      </c>
      <c r="S743" s="150" t="e">
        <f t="shared" si="139"/>
        <v>#N/A</v>
      </c>
      <c r="T743" s="150">
        <f t="shared" si="140"/>
        <v>742</v>
      </c>
      <c r="U743" s="150" t="e">
        <f t="shared" si="141"/>
        <v>#N/A</v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>
        <f t="shared" si="138"/>
        <v>743</v>
      </c>
      <c r="S744" s="150" t="e">
        <f t="shared" si="139"/>
        <v>#N/A</v>
      </c>
      <c r="T744" s="150">
        <f t="shared" si="140"/>
        <v>743</v>
      </c>
      <c r="U744" s="150" t="e">
        <f t="shared" si="141"/>
        <v>#N/A</v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>
        <f t="shared" si="138"/>
        <v>744</v>
      </c>
      <c r="S745" s="150" t="e">
        <f t="shared" si="139"/>
        <v>#N/A</v>
      </c>
      <c r="T745" s="150">
        <f t="shared" si="140"/>
        <v>744</v>
      </c>
      <c r="U745" s="150" t="e">
        <f t="shared" si="141"/>
        <v>#N/A</v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>
        <f t="shared" si="138"/>
        <v>745</v>
      </c>
      <c r="S746" s="150" t="e">
        <f t="shared" si="139"/>
        <v>#N/A</v>
      </c>
      <c r="T746" s="150">
        <f t="shared" si="140"/>
        <v>745</v>
      </c>
      <c r="U746" s="150" t="e">
        <f t="shared" si="141"/>
        <v>#N/A</v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>
        <f t="shared" si="138"/>
        <v>746</v>
      </c>
      <c r="S747" s="150" t="e">
        <f t="shared" si="139"/>
        <v>#N/A</v>
      </c>
      <c r="T747" s="150">
        <f t="shared" si="140"/>
        <v>746</v>
      </c>
      <c r="U747" s="150" t="e">
        <f t="shared" si="141"/>
        <v>#N/A</v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>
        <f t="shared" si="138"/>
        <v>747</v>
      </c>
      <c r="S748" s="150" t="e">
        <f t="shared" si="139"/>
        <v>#N/A</v>
      </c>
      <c r="T748" s="150">
        <f t="shared" si="140"/>
        <v>747</v>
      </c>
      <c r="U748" s="150" t="e">
        <f t="shared" si="141"/>
        <v>#N/A</v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>
        <f t="shared" si="138"/>
        <v>748</v>
      </c>
      <c r="S749" s="150" t="e">
        <f t="shared" si="139"/>
        <v>#N/A</v>
      </c>
      <c r="T749" s="150">
        <f t="shared" si="140"/>
        <v>748</v>
      </c>
      <c r="U749" s="150" t="e">
        <f t="shared" si="141"/>
        <v>#N/A</v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>
        <f t="shared" si="138"/>
        <v>749</v>
      </c>
      <c r="S750" s="150" t="e">
        <f t="shared" si="139"/>
        <v>#N/A</v>
      </c>
      <c r="T750" s="150">
        <f t="shared" si="140"/>
        <v>749</v>
      </c>
      <c r="U750" s="150" t="e">
        <f t="shared" si="141"/>
        <v>#N/A</v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>
        <f t="shared" si="138"/>
        <v>750</v>
      </c>
      <c r="S751" s="150" t="e">
        <f t="shared" si="139"/>
        <v>#N/A</v>
      </c>
      <c r="T751" s="150">
        <f t="shared" si="140"/>
        <v>750</v>
      </c>
      <c r="U751" s="150" t="e">
        <f t="shared" si="141"/>
        <v>#N/A</v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>
        <f t="shared" si="138"/>
        <v>751</v>
      </c>
      <c r="S752" s="150" t="e">
        <f t="shared" si="139"/>
        <v>#N/A</v>
      </c>
      <c r="T752" s="150">
        <f t="shared" si="140"/>
        <v>751</v>
      </c>
      <c r="U752" s="150" t="e">
        <f t="shared" si="141"/>
        <v>#N/A</v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>
        <f t="shared" si="138"/>
        <v>752</v>
      </c>
      <c r="S753" s="150" t="e">
        <f t="shared" si="139"/>
        <v>#N/A</v>
      </c>
      <c r="T753" s="150">
        <f t="shared" si="140"/>
        <v>752</v>
      </c>
      <c r="U753" s="150" t="e">
        <f t="shared" si="141"/>
        <v>#N/A</v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>
        <f t="shared" si="138"/>
        <v>753</v>
      </c>
      <c r="S754" s="150" t="e">
        <f t="shared" si="139"/>
        <v>#N/A</v>
      </c>
      <c r="T754" s="150">
        <f t="shared" si="140"/>
        <v>753</v>
      </c>
      <c r="U754" s="150" t="e">
        <f t="shared" si="141"/>
        <v>#N/A</v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>
        <f t="shared" si="138"/>
        <v>754</v>
      </c>
      <c r="S755" s="150" t="e">
        <f t="shared" si="139"/>
        <v>#N/A</v>
      </c>
      <c r="T755" s="150">
        <f t="shared" si="140"/>
        <v>754</v>
      </c>
      <c r="U755" s="150" t="e">
        <f t="shared" si="141"/>
        <v>#N/A</v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>
        <f t="shared" si="138"/>
        <v>755</v>
      </c>
      <c r="S756" s="150" t="e">
        <f t="shared" si="139"/>
        <v>#N/A</v>
      </c>
      <c r="T756" s="150">
        <f t="shared" si="140"/>
        <v>755</v>
      </c>
      <c r="U756" s="150" t="e">
        <f t="shared" si="141"/>
        <v>#N/A</v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>
        <f t="shared" si="138"/>
        <v>756</v>
      </c>
      <c r="S757" s="150" t="e">
        <f t="shared" si="139"/>
        <v>#N/A</v>
      </c>
      <c r="T757" s="150">
        <f t="shared" si="140"/>
        <v>756</v>
      </c>
      <c r="U757" s="150" t="e">
        <f t="shared" si="141"/>
        <v>#N/A</v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>
        <f t="shared" si="138"/>
        <v>757</v>
      </c>
      <c r="S758" s="150" t="e">
        <f t="shared" si="139"/>
        <v>#N/A</v>
      </c>
      <c r="T758" s="150">
        <f t="shared" si="140"/>
        <v>757</v>
      </c>
      <c r="U758" s="150" t="e">
        <f t="shared" si="141"/>
        <v>#N/A</v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>
        <f t="shared" si="138"/>
        <v>758</v>
      </c>
      <c r="S759" s="150" t="e">
        <f t="shared" si="139"/>
        <v>#N/A</v>
      </c>
      <c r="T759" s="150">
        <f t="shared" si="140"/>
        <v>758</v>
      </c>
      <c r="U759" s="150" t="e">
        <f t="shared" si="141"/>
        <v>#N/A</v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>
        <f t="shared" si="138"/>
        <v>759</v>
      </c>
      <c r="S760" s="150" t="e">
        <f t="shared" si="139"/>
        <v>#N/A</v>
      </c>
      <c r="T760" s="150">
        <f t="shared" si="140"/>
        <v>759</v>
      </c>
      <c r="U760" s="150" t="e">
        <f t="shared" si="141"/>
        <v>#N/A</v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>
        <f t="shared" si="138"/>
        <v>760</v>
      </c>
      <c r="S761" s="150" t="e">
        <f t="shared" si="139"/>
        <v>#N/A</v>
      </c>
      <c r="T761" s="150">
        <f t="shared" si="140"/>
        <v>760</v>
      </c>
      <c r="U761" s="150" t="e">
        <f t="shared" si="141"/>
        <v>#N/A</v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>
        <f t="shared" si="138"/>
        <v>761</v>
      </c>
      <c r="S762" s="150" t="e">
        <f t="shared" si="139"/>
        <v>#N/A</v>
      </c>
      <c r="T762" s="150">
        <f t="shared" si="140"/>
        <v>761</v>
      </c>
      <c r="U762" s="150" t="e">
        <f t="shared" si="141"/>
        <v>#N/A</v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>
        <f t="shared" si="138"/>
        <v>762</v>
      </c>
      <c r="S763" s="150" t="e">
        <f t="shared" si="139"/>
        <v>#N/A</v>
      </c>
      <c r="T763" s="150">
        <f t="shared" si="140"/>
        <v>762</v>
      </c>
      <c r="U763" s="150" t="e">
        <f t="shared" si="141"/>
        <v>#N/A</v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>
        <f t="shared" si="138"/>
        <v>763</v>
      </c>
      <c r="S764" s="150" t="e">
        <f t="shared" si="139"/>
        <v>#N/A</v>
      </c>
      <c r="T764" s="150">
        <f t="shared" si="140"/>
        <v>763</v>
      </c>
      <c r="U764" s="150" t="e">
        <f t="shared" si="141"/>
        <v>#N/A</v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>
        <f t="shared" si="138"/>
        <v>764</v>
      </c>
      <c r="S765" s="150" t="e">
        <f t="shared" si="139"/>
        <v>#N/A</v>
      </c>
      <c r="T765" s="150">
        <f t="shared" si="140"/>
        <v>764</v>
      </c>
      <c r="U765" s="150" t="e">
        <f t="shared" si="141"/>
        <v>#N/A</v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>
        <f t="shared" si="138"/>
        <v>765</v>
      </c>
      <c r="S766" s="150" t="e">
        <f t="shared" si="139"/>
        <v>#N/A</v>
      </c>
      <c r="T766" s="150">
        <f t="shared" si="140"/>
        <v>765</v>
      </c>
      <c r="U766" s="150" t="e">
        <f t="shared" si="141"/>
        <v>#N/A</v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>
        <f t="shared" si="138"/>
        <v>766</v>
      </c>
      <c r="S767" s="150" t="e">
        <f t="shared" si="139"/>
        <v>#N/A</v>
      </c>
      <c r="T767" s="150">
        <f t="shared" si="140"/>
        <v>766</v>
      </c>
      <c r="U767" s="150" t="e">
        <f t="shared" si="141"/>
        <v>#N/A</v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>
        <f t="shared" si="138"/>
        <v>767</v>
      </c>
      <c r="S768" s="150" t="e">
        <f t="shared" si="139"/>
        <v>#N/A</v>
      </c>
      <c r="T768" s="150">
        <f t="shared" si="140"/>
        <v>767</v>
      </c>
      <c r="U768" s="150" t="e">
        <f t="shared" si="141"/>
        <v>#N/A</v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>
        <f t="shared" si="138"/>
        <v>768</v>
      </c>
      <c r="S769" s="150" t="e">
        <f t="shared" si="139"/>
        <v>#N/A</v>
      </c>
      <c r="T769" s="150">
        <f t="shared" si="140"/>
        <v>768</v>
      </c>
      <c r="U769" s="150" t="e">
        <f t="shared" si="141"/>
        <v>#N/A</v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>
        <f t="shared" si="138"/>
        <v>769</v>
      </c>
      <c r="S770" s="150" t="e">
        <f t="shared" si="139"/>
        <v>#N/A</v>
      </c>
      <c r="T770" s="150">
        <f t="shared" si="140"/>
        <v>769</v>
      </c>
      <c r="U770" s="150" t="e">
        <f t="shared" si="141"/>
        <v>#N/A</v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>
        <f t="shared" ref="R771:R834" si="150">IF($B$34&gt;=K771,K771,"")</f>
        <v>770</v>
      </c>
      <c r="S771" s="150" t="e">
        <f t="shared" ref="S771:S834" si="151">IF(R771="","",IF(R771&lt;=$E$36,VLOOKUP($E$35,$I$1:$J$4,2,FALSE),VLOOKUP($F$35,$I$1:$J$4,2,FALSE)))</f>
        <v>#N/A</v>
      </c>
      <c r="T771" s="150">
        <f t="shared" ref="T771:T834" si="152">IF($B$41&gt;=K771,K771,"")</f>
        <v>770</v>
      </c>
      <c r="U771" s="150" t="e">
        <f t="shared" ref="U771:U834" si="153">IF(T771="","",IF(T771&lt;=$E$43,VLOOKUP($E$42,$I$1:$J$4,2,FALSE),VLOOKUP($F$42,$I$1:$J$4,2,FALSE)))</f>
        <v>#N/A</v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>
        <f t="shared" si="150"/>
        <v>771</v>
      </c>
      <c r="S772" s="150" t="e">
        <f t="shared" si="151"/>
        <v>#N/A</v>
      </c>
      <c r="T772" s="150">
        <f t="shared" si="152"/>
        <v>771</v>
      </c>
      <c r="U772" s="150" t="e">
        <f t="shared" si="153"/>
        <v>#N/A</v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>
        <f t="shared" si="150"/>
        <v>772</v>
      </c>
      <c r="S773" s="150" t="e">
        <f t="shared" si="151"/>
        <v>#N/A</v>
      </c>
      <c r="T773" s="150">
        <f t="shared" si="152"/>
        <v>772</v>
      </c>
      <c r="U773" s="150" t="e">
        <f t="shared" si="153"/>
        <v>#N/A</v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>
        <f t="shared" si="150"/>
        <v>773</v>
      </c>
      <c r="S774" s="150" t="e">
        <f t="shared" si="151"/>
        <v>#N/A</v>
      </c>
      <c r="T774" s="150">
        <f t="shared" si="152"/>
        <v>773</v>
      </c>
      <c r="U774" s="150" t="e">
        <f t="shared" si="153"/>
        <v>#N/A</v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>
        <f t="shared" si="150"/>
        <v>774</v>
      </c>
      <c r="S775" s="150" t="e">
        <f t="shared" si="151"/>
        <v>#N/A</v>
      </c>
      <c r="T775" s="150">
        <f t="shared" si="152"/>
        <v>774</v>
      </c>
      <c r="U775" s="150" t="e">
        <f t="shared" si="153"/>
        <v>#N/A</v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>
        <f t="shared" si="150"/>
        <v>775</v>
      </c>
      <c r="S776" s="150" t="e">
        <f t="shared" si="151"/>
        <v>#N/A</v>
      </c>
      <c r="T776" s="150">
        <f t="shared" si="152"/>
        <v>775</v>
      </c>
      <c r="U776" s="150" t="e">
        <f t="shared" si="153"/>
        <v>#N/A</v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>
        <f t="shared" si="150"/>
        <v>776</v>
      </c>
      <c r="S777" s="150" t="e">
        <f t="shared" si="151"/>
        <v>#N/A</v>
      </c>
      <c r="T777" s="150">
        <f t="shared" si="152"/>
        <v>776</v>
      </c>
      <c r="U777" s="150" t="e">
        <f t="shared" si="153"/>
        <v>#N/A</v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>
        <f t="shared" si="150"/>
        <v>777</v>
      </c>
      <c r="S778" s="150" t="e">
        <f t="shared" si="151"/>
        <v>#N/A</v>
      </c>
      <c r="T778" s="150">
        <f t="shared" si="152"/>
        <v>777</v>
      </c>
      <c r="U778" s="150" t="e">
        <f t="shared" si="153"/>
        <v>#N/A</v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>
        <f t="shared" si="150"/>
        <v>778</v>
      </c>
      <c r="S779" s="150" t="e">
        <f t="shared" si="151"/>
        <v>#N/A</v>
      </c>
      <c r="T779" s="150">
        <f t="shared" si="152"/>
        <v>778</v>
      </c>
      <c r="U779" s="150" t="e">
        <f t="shared" si="153"/>
        <v>#N/A</v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>
        <f t="shared" si="150"/>
        <v>779</v>
      </c>
      <c r="S780" s="150" t="e">
        <f t="shared" si="151"/>
        <v>#N/A</v>
      </c>
      <c r="T780" s="150">
        <f t="shared" si="152"/>
        <v>779</v>
      </c>
      <c r="U780" s="150" t="e">
        <f t="shared" si="153"/>
        <v>#N/A</v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>
        <f t="shared" si="150"/>
        <v>780</v>
      </c>
      <c r="S781" s="150" t="e">
        <f t="shared" si="151"/>
        <v>#N/A</v>
      </c>
      <c r="T781" s="150">
        <f t="shared" si="152"/>
        <v>780</v>
      </c>
      <c r="U781" s="150" t="e">
        <f t="shared" si="153"/>
        <v>#N/A</v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>
        <f t="shared" si="150"/>
        <v>781</v>
      </c>
      <c r="S782" s="150" t="e">
        <f t="shared" si="151"/>
        <v>#N/A</v>
      </c>
      <c r="T782" s="150">
        <f t="shared" si="152"/>
        <v>781</v>
      </c>
      <c r="U782" s="150" t="e">
        <f t="shared" si="153"/>
        <v>#N/A</v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>
        <f t="shared" si="150"/>
        <v>782</v>
      </c>
      <c r="S783" s="150" t="e">
        <f t="shared" si="151"/>
        <v>#N/A</v>
      </c>
      <c r="T783" s="150">
        <f t="shared" si="152"/>
        <v>782</v>
      </c>
      <c r="U783" s="150" t="e">
        <f t="shared" si="153"/>
        <v>#N/A</v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>
        <f t="shared" si="150"/>
        <v>783</v>
      </c>
      <c r="S784" s="150" t="e">
        <f t="shared" si="151"/>
        <v>#N/A</v>
      </c>
      <c r="T784" s="150">
        <f t="shared" si="152"/>
        <v>783</v>
      </c>
      <c r="U784" s="150" t="e">
        <f t="shared" si="153"/>
        <v>#N/A</v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>
        <f t="shared" si="150"/>
        <v>784</v>
      </c>
      <c r="S785" s="150" t="e">
        <f t="shared" si="151"/>
        <v>#N/A</v>
      </c>
      <c r="T785" s="150">
        <f t="shared" si="152"/>
        <v>784</v>
      </c>
      <c r="U785" s="150" t="e">
        <f t="shared" si="153"/>
        <v>#N/A</v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>
        <f t="shared" si="150"/>
        <v>785</v>
      </c>
      <c r="S786" s="150" t="e">
        <f t="shared" si="151"/>
        <v>#N/A</v>
      </c>
      <c r="T786" s="150">
        <f t="shared" si="152"/>
        <v>785</v>
      </c>
      <c r="U786" s="150" t="e">
        <f t="shared" si="153"/>
        <v>#N/A</v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>
        <f t="shared" si="150"/>
        <v>786</v>
      </c>
      <c r="S787" s="150" t="e">
        <f t="shared" si="151"/>
        <v>#N/A</v>
      </c>
      <c r="T787" s="150">
        <f t="shared" si="152"/>
        <v>786</v>
      </c>
      <c r="U787" s="150" t="e">
        <f t="shared" si="153"/>
        <v>#N/A</v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>
        <f t="shared" si="150"/>
        <v>787</v>
      </c>
      <c r="S788" s="150" t="e">
        <f t="shared" si="151"/>
        <v>#N/A</v>
      </c>
      <c r="T788" s="150">
        <f t="shared" si="152"/>
        <v>787</v>
      </c>
      <c r="U788" s="150" t="e">
        <f t="shared" si="153"/>
        <v>#N/A</v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>
        <f t="shared" si="150"/>
        <v>788</v>
      </c>
      <c r="S789" s="150" t="e">
        <f t="shared" si="151"/>
        <v>#N/A</v>
      </c>
      <c r="T789" s="150">
        <f t="shared" si="152"/>
        <v>788</v>
      </c>
      <c r="U789" s="150" t="e">
        <f t="shared" si="153"/>
        <v>#N/A</v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>
        <f t="shared" si="150"/>
        <v>789</v>
      </c>
      <c r="S790" s="150" t="e">
        <f t="shared" si="151"/>
        <v>#N/A</v>
      </c>
      <c r="T790" s="150">
        <f t="shared" si="152"/>
        <v>789</v>
      </c>
      <c r="U790" s="150" t="e">
        <f t="shared" si="153"/>
        <v>#N/A</v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>
        <f t="shared" si="150"/>
        <v>790</v>
      </c>
      <c r="S791" s="150" t="e">
        <f t="shared" si="151"/>
        <v>#N/A</v>
      </c>
      <c r="T791" s="150">
        <f t="shared" si="152"/>
        <v>790</v>
      </c>
      <c r="U791" s="150" t="e">
        <f t="shared" si="153"/>
        <v>#N/A</v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>
        <f t="shared" si="150"/>
        <v>791</v>
      </c>
      <c r="S792" s="150" t="e">
        <f t="shared" si="151"/>
        <v>#N/A</v>
      </c>
      <c r="T792" s="150">
        <f t="shared" si="152"/>
        <v>791</v>
      </c>
      <c r="U792" s="150" t="e">
        <f t="shared" si="153"/>
        <v>#N/A</v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>
        <f t="shared" si="150"/>
        <v>792</v>
      </c>
      <c r="S793" s="150" t="e">
        <f t="shared" si="151"/>
        <v>#N/A</v>
      </c>
      <c r="T793" s="150">
        <f t="shared" si="152"/>
        <v>792</v>
      </c>
      <c r="U793" s="150" t="e">
        <f t="shared" si="153"/>
        <v>#N/A</v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>
        <f t="shared" si="150"/>
        <v>793</v>
      </c>
      <c r="S794" s="150" t="e">
        <f t="shared" si="151"/>
        <v>#N/A</v>
      </c>
      <c r="T794" s="150">
        <f t="shared" si="152"/>
        <v>793</v>
      </c>
      <c r="U794" s="150" t="e">
        <f t="shared" si="153"/>
        <v>#N/A</v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>
        <f t="shared" si="150"/>
        <v>794</v>
      </c>
      <c r="S795" s="150" t="e">
        <f t="shared" si="151"/>
        <v>#N/A</v>
      </c>
      <c r="T795" s="150">
        <f t="shared" si="152"/>
        <v>794</v>
      </c>
      <c r="U795" s="150" t="e">
        <f t="shared" si="153"/>
        <v>#N/A</v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>
        <f t="shared" si="150"/>
        <v>795</v>
      </c>
      <c r="S796" s="150" t="e">
        <f t="shared" si="151"/>
        <v>#N/A</v>
      </c>
      <c r="T796" s="150">
        <f t="shared" si="152"/>
        <v>795</v>
      </c>
      <c r="U796" s="150" t="e">
        <f t="shared" si="153"/>
        <v>#N/A</v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>
        <f t="shared" si="150"/>
        <v>796</v>
      </c>
      <c r="S797" s="150" t="e">
        <f t="shared" si="151"/>
        <v>#N/A</v>
      </c>
      <c r="T797" s="150">
        <f t="shared" si="152"/>
        <v>796</v>
      </c>
      <c r="U797" s="150" t="e">
        <f t="shared" si="153"/>
        <v>#N/A</v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>
        <f t="shared" si="150"/>
        <v>797</v>
      </c>
      <c r="S798" s="150" t="e">
        <f t="shared" si="151"/>
        <v>#N/A</v>
      </c>
      <c r="T798" s="150">
        <f t="shared" si="152"/>
        <v>797</v>
      </c>
      <c r="U798" s="150" t="e">
        <f t="shared" si="153"/>
        <v>#N/A</v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>
        <f t="shared" si="150"/>
        <v>798</v>
      </c>
      <c r="S799" s="150" t="e">
        <f t="shared" si="151"/>
        <v>#N/A</v>
      </c>
      <c r="T799" s="150">
        <f t="shared" si="152"/>
        <v>798</v>
      </c>
      <c r="U799" s="150" t="e">
        <f t="shared" si="153"/>
        <v>#N/A</v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>
        <f t="shared" si="150"/>
        <v>799</v>
      </c>
      <c r="S800" s="150" t="e">
        <f t="shared" si="151"/>
        <v>#N/A</v>
      </c>
      <c r="T800" s="150">
        <f t="shared" si="152"/>
        <v>799</v>
      </c>
      <c r="U800" s="150" t="e">
        <f t="shared" si="153"/>
        <v>#N/A</v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>
        <f t="shared" si="150"/>
        <v>800</v>
      </c>
      <c r="S801" s="150" t="e">
        <f t="shared" si="151"/>
        <v>#N/A</v>
      </c>
      <c r="T801" s="150">
        <f t="shared" si="152"/>
        <v>800</v>
      </c>
      <c r="U801" s="150" t="e">
        <f t="shared" si="153"/>
        <v>#N/A</v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>
        <f t="shared" si="150"/>
        <v>801</v>
      </c>
      <c r="S802" s="150" t="e">
        <f t="shared" si="151"/>
        <v>#N/A</v>
      </c>
      <c r="T802" s="150">
        <f t="shared" si="152"/>
        <v>801</v>
      </c>
      <c r="U802" s="150" t="e">
        <f t="shared" si="153"/>
        <v>#N/A</v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>
        <f t="shared" si="150"/>
        <v>802</v>
      </c>
      <c r="S803" s="150" t="e">
        <f t="shared" si="151"/>
        <v>#N/A</v>
      </c>
      <c r="T803" s="150">
        <f t="shared" si="152"/>
        <v>802</v>
      </c>
      <c r="U803" s="150" t="e">
        <f t="shared" si="153"/>
        <v>#N/A</v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>
        <f t="shared" si="150"/>
        <v>803</v>
      </c>
      <c r="S804" s="150" t="e">
        <f t="shared" si="151"/>
        <v>#N/A</v>
      </c>
      <c r="T804" s="150">
        <f t="shared" si="152"/>
        <v>803</v>
      </c>
      <c r="U804" s="150" t="e">
        <f t="shared" si="153"/>
        <v>#N/A</v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>
        <f t="shared" si="150"/>
        <v>804</v>
      </c>
      <c r="S805" s="150" t="e">
        <f t="shared" si="151"/>
        <v>#N/A</v>
      </c>
      <c r="T805" s="150">
        <f t="shared" si="152"/>
        <v>804</v>
      </c>
      <c r="U805" s="150" t="e">
        <f t="shared" si="153"/>
        <v>#N/A</v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>
        <f t="shared" si="150"/>
        <v>805</v>
      </c>
      <c r="S806" s="150" t="e">
        <f t="shared" si="151"/>
        <v>#N/A</v>
      </c>
      <c r="T806" s="150">
        <f t="shared" si="152"/>
        <v>805</v>
      </c>
      <c r="U806" s="150" t="e">
        <f t="shared" si="153"/>
        <v>#N/A</v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>
        <f t="shared" si="150"/>
        <v>806</v>
      </c>
      <c r="S807" s="150" t="e">
        <f t="shared" si="151"/>
        <v>#N/A</v>
      </c>
      <c r="T807" s="150">
        <f t="shared" si="152"/>
        <v>806</v>
      </c>
      <c r="U807" s="150" t="e">
        <f t="shared" si="153"/>
        <v>#N/A</v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>
        <f t="shared" si="150"/>
        <v>807</v>
      </c>
      <c r="S808" s="150" t="e">
        <f t="shared" si="151"/>
        <v>#N/A</v>
      </c>
      <c r="T808" s="150">
        <f t="shared" si="152"/>
        <v>807</v>
      </c>
      <c r="U808" s="150" t="e">
        <f t="shared" si="153"/>
        <v>#N/A</v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>
        <f t="shared" si="150"/>
        <v>808</v>
      </c>
      <c r="S809" s="150" t="e">
        <f t="shared" si="151"/>
        <v>#N/A</v>
      </c>
      <c r="T809" s="150">
        <f t="shared" si="152"/>
        <v>808</v>
      </c>
      <c r="U809" s="150" t="e">
        <f t="shared" si="153"/>
        <v>#N/A</v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>
        <f t="shared" si="150"/>
        <v>809</v>
      </c>
      <c r="S810" s="150" t="e">
        <f t="shared" si="151"/>
        <v>#N/A</v>
      </c>
      <c r="T810" s="150">
        <f t="shared" si="152"/>
        <v>809</v>
      </c>
      <c r="U810" s="150" t="e">
        <f t="shared" si="153"/>
        <v>#N/A</v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>
        <f t="shared" si="150"/>
        <v>810</v>
      </c>
      <c r="S811" s="150" t="e">
        <f t="shared" si="151"/>
        <v>#N/A</v>
      </c>
      <c r="T811" s="150">
        <f t="shared" si="152"/>
        <v>810</v>
      </c>
      <c r="U811" s="150" t="e">
        <f t="shared" si="153"/>
        <v>#N/A</v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>
        <f t="shared" si="150"/>
        <v>811</v>
      </c>
      <c r="S812" s="150" t="e">
        <f t="shared" si="151"/>
        <v>#N/A</v>
      </c>
      <c r="T812" s="150">
        <f t="shared" si="152"/>
        <v>811</v>
      </c>
      <c r="U812" s="150" t="e">
        <f t="shared" si="153"/>
        <v>#N/A</v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>
        <f t="shared" si="150"/>
        <v>812</v>
      </c>
      <c r="S813" s="150" t="e">
        <f t="shared" si="151"/>
        <v>#N/A</v>
      </c>
      <c r="T813" s="150">
        <f t="shared" si="152"/>
        <v>812</v>
      </c>
      <c r="U813" s="150" t="e">
        <f t="shared" si="153"/>
        <v>#N/A</v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>
        <f t="shared" si="150"/>
        <v>813</v>
      </c>
      <c r="S814" s="150" t="e">
        <f t="shared" si="151"/>
        <v>#N/A</v>
      </c>
      <c r="T814" s="150">
        <f t="shared" si="152"/>
        <v>813</v>
      </c>
      <c r="U814" s="150" t="e">
        <f t="shared" si="153"/>
        <v>#N/A</v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>
        <f t="shared" si="150"/>
        <v>814</v>
      </c>
      <c r="S815" s="150" t="e">
        <f t="shared" si="151"/>
        <v>#N/A</v>
      </c>
      <c r="T815" s="150">
        <f t="shared" si="152"/>
        <v>814</v>
      </c>
      <c r="U815" s="150" t="e">
        <f t="shared" si="153"/>
        <v>#N/A</v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>
        <f t="shared" si="150"/>
        <v>815</v>
      </c>
      <c r="S816" s="150" t="e">
        <f t="shared" si="151"/>
        <v>#N/A</v>
      </c>
      <c r="T816" s="150">
        <f t="shared" si="152"/>
        <v>815</v>
      </c>
      <c r="U816" s="150" t="e">
        <f t="shared" si="153"/>
        <v>#N/A</v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>
        <f t="shared" si="150"/>
        <v>816</v>
      </c>
      <c r="S817" s="150" t="e">
        <f t="shared" si="151"/>
        <v>#N/A</v>
      </c>
      <c r="T817" s="150">
        <f t="shared" si="152"/>
        <v>816</v>
      </c>
      <c r="U817" s="150" t="e">
        <f t="shared" si="153"/>
        <v>#N/A</v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>
        <f t="shared" si="150"/>
        <v>817</v>
      </c>
      <c r="S818" s="150" t="e">
        <f t="shared" si="151"/>
        <v>#N/A</v>
      </c>
      <c r="T818" s="150">
        <f t="shared" si="152"/>
        <v>817</v>
      </c>
      <c r="U818" s="150" t="e">
        <f t="shared" si="153"/>
        <v>#N/A</v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>
        <f t="shared" si="150"/>
        <v>818</v>
      </c>
      <c r="S819" s="150" t="e">
        <f t="shared" si="151"/>
        <v>#N/A</v>
      </c>
      <c r="T819" s="150">
        <f t="shared" si="152"/>
        <v>818</v>
      </c>
      <c r="U819" s="150" t="e">
        <f t="shared" si="153"/>
        <v>#N/A</v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>
        <f t="shared" si="150"/>
        <v>819</v>
      </c>
      <c r="S820" s="150" t="e">
        <f t="shared" si="151"/>
        <v>#N/A</v>
      </c>
      <c r="T820" s="150">
        <f t="shared" si="152"/>
        <v>819</v>
      </c>
      <c r="U820" s="150" t="e">
        <f t="shared" si="153"/>
        <v>#N/A</v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>
        <f t="shared" si="150"/>
        <v>820</v>
      </c>
      <c r="S821" s="150" t="e">
        <f t="shared" si="151"/>
        <v>#N/A</v>
      </c>
      <c r="T821" s="150">
        <f t="shared" si="152"/>
        <v>820</v>
      </c>
      <c r="U821" s="150" t="e">
        <f t="shared" si="153"/>
        <v>#N/A</v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>
        <f t="shared" si="150"/>
        <v>821</v>
      </c>
      <c r="S822" s="150" t="e">
        <f t="shared" si="151"/>
        <v>#N/A</v>
      </c>
      <c r="T822" s="150">
        <f t="shared" si="152"/>
        <v>821</v>
      </c>
      <c r="U822" s="150" t="e">
        <f t="shared" si="153"/>
        <v>#N/A</v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>
        <f t="shared" si="150"/>
        <v>822</v>
      </c>
      <c r="S823" s="150" t="e">
        <f t="shared" si="151"/>
        <v>#N/A</v>
      </c>
      <c r="T823" s="150">
        <f t="shared" si="152"/>
        <v>822</v>
      </c>
      <c r="U823" s="150" t="e">
        <f t="shared" si="153"/>
        <v>#N/A</v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>
        <f t="shared" si="150"/>
        <v>823</v>
      </c>
      <c r="S824" s="150" t="e">
        <f t="shared" si="151"/>
        <v>#N/A</v>
      </c>
      <c r="T824" s="150">
        <f t="shared" si="152"/>
        <v>823</v>
      </c>
      <c r="U824" s="150" t="e">
        <f t="shared" si="153"/>
        <v>#N/A</v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>
        <f t="shared" si="150"/>
        <v>824</v>
      </c>
      <c r="S825" s="150" t="e">
        <f t="shared" si="151"/>
        <v>#N/A</v>
      </c>
      <c r="T825" s="150">
        <f t="shared" si="152"/>
        <v>824</v>
      </c>
      <c r="U825" s="150" t="e">
        <f t="shared" si="153"/>
        <v>#N/A</v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>
        <f t="shared" si="150"/>
        <v>825</v>
      </c>
      <c r="S826" s="150" t="e">
        <f t="shared" si="151"/>
        <v>#N/A</v>
      </c>
      <c r="T826" s="150">
        <f t="shared" si="152"/>
        <v>825</v>
      </c>
      <c r="U826" s="150" t="e">
        <f t="shared" si="153"/>
        <v>#N/A</v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>
        <f t="shared" si="150"/>
        <v>826</v>
      </c>
      <c r="S827" s="150" t="e">
        <f t="shared" si="151"/>
        <v>#N/A</v>
      </c>
      <c r="T827" s="150">
        <f t="shared" si="152"/>
        <v>826</v>
      </c>
      <c r="U827" s="150" t="e">
        <f t="shared" si="153"/>
        <v>#N/A</v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>
        <f t="shared" si="150"/>
        <v>827</v>
      </c>
      <c r="S828" s="150" t="e">
        <f t="shared" si="151"/>
        <v>#N/A</v>
      </c>
      <c r="T828" s="150">
        <f t="shared" si="152"/>
        <v>827</v>
      </c>
      <c r="U828" s="150" t="e">
        <f t="shared" si="153"/>
        <v>#N/A</v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>
        <f t="shared" si="150"/>
        <v>828</v>
      </c>
      <c r="S829" s="150" t="e">
        <f t="shared" si="151"/>
        <v>#N/A</v>
      </c>
      <c r="T829" s="150">
        <f t="shared" si="152"/>
        <v>828</v>
      </c>
      <c r="U829" s="150" t="e">
        <f t="shared" si="153"/>
        <v>#N/A</v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>
        <f t="shared" si="150"/>
        <v>829</v>
      </c>
      <c r="S830" s="150" t="e">
        <f t="shared" si="151"/>
        <v>#N/A</v>
      </c>
      <c r="T830" s="150">
        <f t="shared" si="152"/>
        <v>829</v>
      </c>
      <c r="U830" s="150" t="e">
        <f t="shared" si="153"/>
        <v>#N/A</v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>
        <f t="shared" si="150"/>
        <v>830</v>
      </c>
      <c r="S831" s="150" t="e">
        <f t="shared" si="151"/>
        <v>#N/A</v>
      </c>
      <c r="T831" s="150">
        <f t="shared" si="152"/>
        <v>830</v>
      </c>
      <c r="U831" s="150" t="e">
        <f t="shared" si="153"/>
        <v>#N/A</v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>
        <f t="shared" si="150"/>
        <v>831</v>
      </c>
      <c r="S832" s="150" t="e">
        <f t="shared" si="151"/>
        <v>#N/A</v>
      </c>
      <c r="T832" s="150">
        <f t="shared" si="152"/>
        <v>831</v>
      </c>
      <c r="U832" s="150" t="e">
        <f t="shared" si="153"/>
        <v>#N/A</v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>
        <f t="shared" si="150"/>
        <v>832</v>
      </c>
      <c r="S833" s="150" t="e">
        <f t="shared" si="151"/>
        <v>#N/A</v>
      </c>
      <c r="T833" s="150">
        <f t="shared" si="152"/>
        <v>832</v>
      </c>
      <c r="U833" s="150" t="e">
        <f t="shared" si="153"/>
        <v>#N/A</v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>
        <f t="shared" si="150"/>
        <v>833</v>
      </c>
      <c r="S834" s="150" t="e">
        <f t="shared" si="151"/>
        <v>#N/A</v>
      </c>
      <c r="T834" s="150">
        <f t="shared" si="152"/>
        <v>833</v>
      </c>
      <c r="U834" s="150" t="e">
        <f t="shared" si="153"/>
        <v>#N/A</v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>
        <f t="shared" ref="R835:R865" si="162">IF($B$34&gt;=K835,K835,"")</f>
        <v>834</v>
      </c>
      <c r="S835" s="150" t="e">
        <f t="shared" ref="S835:S865" si="163">IF(R835="","",IF(R835&lt;=$E$36,VLOOKUP($E$35,$I$1:$J$4,2,FALSE),VLOOKUP($F$35,$I$1:$J$4,2,FALSE)))</f>
        <v>#N/A</v>
      </c>
      <c r="T835" s="150">
        <f t="shared" ref="T835:T865" si="164">IF($B$41&gt;=K835,K835,"")</f>
        <v>834</v>
      </c>
      <c r="U835" s="150" t="e">
        <f t="shared" ref="U835:U865" si="165">IF(T835="","",IF(T835&lt;=$E$43,VLOOKUP($E$42,$I$1:$J$4,2,FALSE),VLOOKUP($F$42,$I$1:$J$4,2,FALSE)))</f>
        <v>#N/A</v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>
        <f t="shared" si="162"/>
        <v>835</v>
      </c>
      <c r="S836" s="150" t="e">
        <f t="shared" si="163"/>
        <v>#N/A</v>
      </c>
      <c r="T836" s="150">
        <f t="shared" si="164"/>
        <v>835</v>
      </c>
      <c r="U836" s="150" t="e">
        <f t="shared" si="165"/>
        <v>#N/A</v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>
        <f t="shared" si="162"/>
        <v>836</v>
      </c>
      <c r="S837" s="150" t="e">
        <f t="shared" si="163"/>
        <v>#N/A</v>
      </c>
      <c r="T837" s="150">
        <f t="shared" si="164"/>
        <v>836</v>
      </c>
      <c r="U837" s="150" t="e">
        <f t="shared" si="165"/>
        <v>#N/A</v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>
        <f t="shared" si="162"/>
        <v>837</v>
      </c>
      <c r="S838" s="150" t="e">
        <f t="shared" si="163"/>
        <v>#N/A</v>
      </c>
      <c r="T838" s="150">
        <f t="shared" si="164"/>
        <v>837</v>
      </c>
      <c r="U838" s="150" t="e">
        <f t="shared" si="165"/>
        <v>#N/A</v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>
        <f t="shared" si="162"/>
        <v>838</v>
      </c>
      <c r="S839" s="150" t="e">
        <f t="shared" si="163"/>
        <v>#N/A</v>
      </c>
      <c r="T839" s="150">
        <f t="shared" si="164"/>
        <v>838</v>
      </c>
      <c r="U839" s="150" t="e">
        <f t="shared" si="165"/>
        <v>#N/A</v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>
        <f t="shared" si="162"/>
        <v>839</v>
      </c>
      <c r="S840" s="150" t="e">
        <f t="shared" si="163"/>
        <v>#N/A</v>
      </c>
      <c r="T840" s="150">
        <f t="shared" si="164"/>
        <v>839</v>
      </c>
      <c r="U840" s="150" t="e">
        <f t="shared" si="165"/>
        <v>#N/A</v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>
        <f t="shared" si="162"/>
        <v>840</v>
      </c>
      <c r="S841" s="150" t="e">
        <f t="shared" si="163"/>
        <v>#N/A</v>
      </c>
      <c r="T841" s="150">
        <f t="shared" si="164"/>
        <v>840</v>
      </c>
      <c r="U841" s="150" t="e">
        <f t="shared" si="165"/>
        <v>#N/A</v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>
        <f t="shared" si="162"/>
        <v>841</v>
      </c>
      <c r="S842" s="150" t="e">
        <f t="shared" si="163"/>
        <v>#N/A</v>
      </c>
      <c r="T842" s="150">
        <f t="shared" si="164"/>
        <v>841</v>
      </c>
      <c r="U842" s="150" t="e">
        <f t="shared" si="165"/>
        <v>#N/A</v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>
        <f t="shared" si="162"/>
        <v>842</v>
      </c>
      <c r="S843" s="150" t="e">
        <f t="shared" si="163"/>
        <v>#N/A</v>
      </c>
      <c r="T843" s="150">
        <f t="shared" si="164"/>
        <v>842</v>
      </c>
      <c r="U843" s="150" t="e">
        <f t="shared" si="165"/>
        <v>#N/A</v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>
        <f t="shared" si="162"/>
        <v>843</v>
      </c>
      <c r="S844" s="150" t="e">
        <f t="shared" si="163"/>
        <v>#N/A</v>
      </c>
      <c r="T844" s="150">
        <f t="shared" si="164"/>
        <v>843</v>
      </c>
      <c r="U844" s="150" t="e">
        <f t="shared" si="165"/>
        <v>#N/A</v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>
        <f t="shared" si="162"/>
        <v>844</v>
      </c>
      <c r="S845" s="150" t="e">
        <f t="shared" si="163"/>
        <v>#N/A</v>
      </c>
      <c r="T845" s="150">
        <f t="shared" si="164"/>
        <v>844</v>
      </c>
      <c r="U845" s="150" t="e">
        <f t="shared" si="165"/>
        <v>#N/A</v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>
        <f t="shared" si="162"/>
        <v>845</v>
      </c>
      <c r="S846" s="150" t="e">
        <f t="shared" si="163"/>
        <v>#N/A</v>
      </c>
      <c r="T846" s="150">
        <f t="shared" si="164"/>
        <v>845</v>
      </c>
      <c r="U846" s="150" t="e">
        <f t="shared" si="165"/>
        <v>#N/A</v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>
        <f t="shared" si="162"/>
        <v>846</v>
      </c>
      <c r="S847" s="150" t="e">
        <f t="shared" si="163"/>
        <v>#N/A</v>
      </c>
      <c r="T847" s="150">
        <f t="shared" si="164"/>
        <v>846</v>
      </c>
      <c r="U847" s="150" t="e">
        <f t="shared" si="165"/>
        <v>#N/A</v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>
        <f t="shared" si="162"/>
        <v>847</v>
      </c>
      <c r="S848" s="150" t="e">
        <f t="shared" si="163"/>
        <v>#N/A</v>
      </c>
      <c r="T848" s="150">
        <f t="shared" si="164"/>
        <v>847</v>
      </c>
      <c r="U848" s="150" t="e">
        <f t="shared" si="165"/>
        <v>#N/A</v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>
        <f t="shared" si="162"/>
        <v>848</v>
      </c>
      <c r="S849" s="150" t="e">
        <f t="shared" si="163"/>
        <v>#N/A</v>
      </c>
      <c r="T849" s="150">
        <f t="shared" si="164"/>
        <v>848</v>
      </c>
      <c r="U849" s="150" t="e">
        <f t="shared" si="165"/>
        <v>#N/A</v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>
        <f t="shared" si="162"/>
        <v>849</v>
      </c>
      <c r="S850" s="150" t="e">
        <f t="shared" si="163"/>
        <v>#N/A</v>
      </c>
      <c r="T850" s="150">
        <f t="shared" si="164"/>
        <v>849</v>
      </c>
      <c r="U850" s="150" t="e">
        <f t="shared" si="165"/>
        <v>#N/A</v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>
        <f t="shared" si="162"/>
        <v>850</v>
      </c>
      <c r="S851" s="150" t="e">
        <f t="shared" si="163"/>
        <v>#N/A</v>
      </c>
      <c r="T851" s="150">
        <f t="shared" si="164"/>
        <v>850</v>
      </c>
      <c r="U851" s="150" t="e">
        <f t="shared" si="165"/>
        <v>#N/A</v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>
        <f t="shared" si="162"/>
        <v>851</v>
      </c>
      <c r="S852" s="150" t="e">
        <f t="shared" si="163"/>
        <v>#N/A</v>
      </c>
      <c r="T852" s="150">
        <f t="shared" si="164"/>
        <v>851</v>
      </c>
      <c r="U852" s="150" t="e">
        <f t="shared" si="165"/>
        <v>#N/A</v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>
        <f t="shared" si="162"/>
        <v>852</v>
      </c>
      <c r="S853" s="150" t="e">
        <f t="shared" si="163"/>
        <v>#N/A</v>
      </c>
      <c r="T853" s="150">
        <f t="shared" si="164"/>
        <v>852</v>
      </c>
      <c r="U853" s="150" t="e">
        <f t="shared" si="165"/>
        <v>#N/A</v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>
        <f t="shared" si="162"/>
        <v>853</v>
      </c>
      <c r="S854" s="150" t="e">
        <f t="shared" si="163"/>
        <v>#N/A</v>
      </c>
      <c r="T854" s="150">
        <f t="shared" si="164"/>
        <v>853</v>
      </c>
      <c r="U854" s="150" t="e">
        <f t="shared" si="165"/>
        <v>#N/A</v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>
        <f t="shared" si="162"/>
        <v>854</v>
      </c>
      <c r="S855" s="150" t="e">
        <f t="shared" si="163"/>
        <v>#N/A</v>
      </c>
      <c r="T855" s="150">
        <f t="shared" si="164"/>
        <v>854</v>
      </c>
      <c r="U855" s="150" t="e">
        <f t="shared" si="165"/>
        <v>#N/A</v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>
        <f t="shared" si="162"/>
        <v>855</v>
      </c>
      <c r="S856" s="150" t="e">
        <f t="shared" si="163"/>
        <v>#N/A</v>
      </c>
      <c r="T856" s="150">
        <f t="shared" si="164"/>
        <v>855</v>
      </c>
      <c r="U856" s="150" t="e">
        <f t="shared" si="165"/>
        <v>#N/A</v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>
        <f t="shared" si="162"/>
        <v>856</v>
      </c>
      <c r="S857" s="150" t="e">
        <f t="shared" si="163"/>
        <v>#N/A</v>
      </c>
      <c r="T857" s="150">
        <f t="shared" si="164"/>
        <v>856</v>
      </c>
      <c r="U857" s="150" t="e">
        <f t="shared" si="165"/>
        <v>#N/A</v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>
        <f t="shared" si="162"/>
        <v>857</v>
      </c>
      <c r="S858" s="150" t="e">
        <f t="shared" si="163"/>
        <v>#N/A</v>
      </c>
      <c r="T858" s="150">
        <f t="shared" si="164"/>
        <v>857</v>
      </c>
      <c r="U858" s="150" t="e">
        <f t="shared" si="165"/>
        <v>#N/A</v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>
        <f t="shared" si="162"/>
        <v>858</v>
      </c>
      <c r="S859" s="150" t="e">
        <f t="shared" si="163"/>
        <v>#N/A</v>
      </c>
      <c r="T859" s="150">
        <f t="shared" si="164"/>
        <v>858</v>
      </c>
      <c r="U859" s="150" t="e">
        <f t="shared" si="165"/>
        <v>#N/A</v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>
        <f t="shared" si="162"/>
        <v>859</v>
      </c>
      <c r="S860" s="150" t="e">
        <f t="shared" si="163"/>
        <v>#N/A</v>
      </c>
      <c r="T860" s="150">
        <f t="shared" si="164"/>
        <v>859</v>
      </c>
      <c r="U860" s="150" t="e">
        <f t="shared" si="165"/>
        <v>#N/A</v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>
        <f t="shared" si="162"/>
        <v>860</v>
      </c>
      <c r="S861" s="150" t="e">
        <f t="shared" si="163"/>
        <v>#N/A</v>
      </c>
      <c r="T861" s="150">
        <f t="shared" si="164"/>
        <v>860</v>
      </c>
      <c r="U861" s="150" t="e">
        <f t="shared" si="165"/>
        <v>#N/A</v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>
        <f t="shared" si="162"/>
        <v>861</v>
      </c>
      <c r="S862" s="150" t="e">
        <f t="shared" si="163"/>
        <v>#N/A</v>
      </c>
      <c r="T862" s="150">
        <f t="shared" si="164"/>
        <v>861</v>
      </c>
      <c r="U862" s="150" t="e">
        <f t="shared" si="165"/>
        <v>#N/A</v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>
        <f t="shared" si="162"/>
        <v>862</v>
      </c>
      <c r="S863" s="150" t="e">
        <f t="shared" si="163"/>
        <v>#N/A</v>
      </c>
      <c r="T863" s="150">
        <f t="shared" si="164"/>
        <v>862</v>
      </c>
      <c r="U863" s="150" t="e">
        <f t="shared" si="165"/>
        <v>#N/A</v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>
        <f t="shared" si="162"/>
        <v>863</v>
      </c>
      <c r="S864" s="150" t="e">
        <f t="shared" si="163"/>
        <v>#N/A</v>
      </c>
      <c r="T864" s="150">
        <f t="shared" si="164"/>
        <v>863</v>
      </c>
      <c r="U864" s="150" t="e">
        <f t="shared" si="165"/>
        <v>#N/A</v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>
        <f t="shared" si="162"/>
        <v>864</v>
      </c>
      <c r="S865" s="150" t="e">
        <f t="shared" si="163"/>
        <v>#N/A</v>
      </c>
      <c r="T865" s="150">
        <f t="shared" si="164"/>
        <v>864</v>
      </c>
      <c r="U865" s="150" t="e">
        <f t="shared" si="165"/>
        <v>#N/A</v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39" priority="21">
      <formula>$B$18=""</formula>
    </cfRule>
  </conditionalFormatting>
  <conditionalFormatting sqref="C24:F24 B26:F29 D25:F25">
    <cfRule type="expression" dxfId="38" priority="20">
      <formula>$B$25=""</formula>
    </cfRule>
  </conditionalFormatting>
  <conditionalFormatting sqref="C31:F36 B33:B36">
    <cfRule type="expression" dxfId="37" priority="17">
      <formula>$B$32=""</formula>
    </cfRule>
  </conditionalFormatting>
  <conditionalFormatting sqref="C38:F43 B40:B43">
    <cfRule type="expression" dxfId="36" priority="15">
      <formula>$B$39=""</formula>
    </cfRule>
  </conditionalFormatting>
  <conditionalFormatting sqref="C45:F50 B47:B50">
    <cfRule type="expression" dxfId="35" priority="13">
      <formula>$B$46=""</formula>
    </cfRule>
  </conditionalFormatting>
  <conditionalFormatting sqref="B17:B18">
    <cfRule type="expression" dxfId="34" priority="11">
      <formula>$B$18=""</formula>
    </cfRule>
  </conditionalFormatting>
  <conditionalFormatting sqref="B24:B25">
    <cfRule type="expression" dxfId="33" priority="10">
      <formula>$B$25=""</formula>
    </cfRule>
  </conditionalFormatting>
  <conditionalFormatting sqref="B31:B32">
    <cfRule type="expression" dxfId="32" priority="9">
      <formula>$B$32=""</formula>
    </cfRule>
  </conditionalFormatting>
  <conditionalFormatting sqref="B38:B39">
    <cfRule type="expression" dxfId="31" priority="8">
      <formula>$B$39=""</formula>
    </cfRule>
  </conditionalFormatting>
  <conditionalFormatting sqref="B45:B46">
    <cfRule type="expression" dxfId="30" priority="7">
      <formula>$B$46=""</formula>
    </cfRule>
  </conditionalFormatting>
  <conditionalFormatting sqref="D26:D29">
    <cfRule type="expression" dxfId="29" priority="6">
      <formula>$B$18=""</formula>
    </cfRule>
  </conditionalFormatting>
  <conditionalFormatting sqref="D33:D36">
    <cfRule type="expression" dxfId="28" priority="5">
      <formula>$B$18=""</formula>
    </cfRule>
  </conditionalFormatting>
  <conditionalFormatting sqref="D40:D43">
    <cfRule type="expression" dxfId="27" priority="4">
      <formula>$B$18=""</formula>
    </cfRule>
  </conditionalFormatting>
  <conditionalFormatting sqref="D47:D50">
    <cfRule type="expression" dxfId="26" priority="3">
      <formula>$B$18=""</formula>
    </cfRule>
  </conditionalFormatting>
  <conditionalFormatting sqref="C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6" t="str">
        <f>'Cover - Location Info'!J8</f>
        <v>101408</v>
      </c>
      <c r="C3" s="22"/>
      <c r="D3" s="22"/>
      <c r="E3" s="339" t="str">
        <f>'Cover - Location Info'!J10</f>
        <v>3.0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46" t="str">
        <f>'Cover - Location Info'!J8</f>
        <v>101408</v>
      </c>
      <c r="C3" s="221"/>
      <c r="D3" s="221"/>
      <c r="E3" s="221"/>
      <c r="F3" s="348" t="str">
        <f>'Cover - Location Info'!J10</f>
        <v>3.0</v>
      </c>
      <c r="G3" s="213"/>
    </row>
    <row r="4" spans="1:12" ht="12.75" customHeight="1" thickBot="1" x14ac:dyDescent="0.3">
      <c r="A4" s="220"/>
      <c r="B4" s="347"/>
      <c r="C4" s="221"/>
      <c r="D4" s="221"/>
      <c r="E4" s="221"/>
      <c r="F4" s="349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50" t="s">
        <v>73</v>
      </c>
      <c r="C6" s="350"/>
      <c r="D6" s="350"/>
      <c r="E6" s="350"/>
      <c r="F6" s="350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5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5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5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5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5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5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5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5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5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5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5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5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5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5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5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5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5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5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5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5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5">
      <c r="A30" s="220"/>
      <c r="B30" s="357"/>
      <c r="C30" s="358"/>
      <c r="D30" s="358"/>
      <c r="E30" s="358"/>
      <c r="F30" s="359"/>
      <c r="G30" s="223"/>
    </row>
    <row r="31" spans="1:12" ht="15" customHeight="1" x14ac:dyDescent="0.25">
      <c r="A31" s="220"/>
      <c r="B31" s="357"/>
      <c r="C31" s="358"/>
      <c r="D31" s="358"/>
      <c r="E31" s="358"/>
      <c r="F31" s="359"/>
      <c r="G31" s="223"/>
    </row>
    <row r="32" spans="1:12" ht="15" customHeight="1" x14ac:dyDescent="0.25">
      <c r="A32" s="220"/>
      <c r="B32" s="357"/>
      <c r="C32" s="358"/>
      <c r="D32" s="358"/>
      <c r="E32" s="358"/>
      <c r="F32" s="359"/>
      <c r="G32" s="223"/>
    </row>
    <row r="33" spans="1:7" ht="15" customHeight="1" x14ac:dyDescent="0.25">
      <c r="A33" s="220"/>
      <c r="B33" s="343"/>
      <c r="C33" s="344"/>
      <c r="D33" s="344"/>
      <c r="E33" s="344"/>
      <c r="F33" s="345"/>
      <c r="G33" s="223"/>
    </row>
    <row r="34" spans="1:7" ht="15" customHeight="1" x14ac:dyDescent="0.25">
      <c r="A34" s="220"/>
      <c r="B34" s="343"/>
      <c r="C34" s="344"/>
      <c r="D34" s="344"/>
      <c r="E34" s="344"/>
      <c r="F34" s="345"/>
      <c r="G34" s="223"/>
    </row>
    <row r="35" spans="1:7" ht="15" customHeight="1" x14ac:dyDescent="0.25">
      <c r="A35" s="220"/>
      <c r="B35" s="363"/>
      <c r="C35" s="364"/>
      <c r="D35" s="364"/>
      <c r="E35" s="364"/>
      <c r="F35" s="365"/>
      <c r="G35" s="223"/>
    </row>
    <row r="36" spans="1:7" ht="15" customHeight="1" x14ac:dyDescent="0.25">
      <c r="A36" s="220"/>
      <c r="B36" s="354"/>
      <c r="C36" s="355"/>
      <c r="D36" s="355"/>
      <c r="E36" s="355"/>
      <c r="F36" s="356"/>
      <c r="G36" s="223"/>
    </row>
    <row r="37" spans="1:7" ht="15" customHeight="1" x14ac:dyDescent="0.25">
      <c r="A37" s="220"/>
      <c r="B37" s="354"/>
      <c r="C37" s="355"/>
      <c r="D37" s="355"/>
      <c r="E37" s="355"/>
      <c r="F37" s="356"/>
      <c r="G37" s="223"/>
    </row>
    <row r="38" spans="1:7" ht="15" customHeight="1" x14ac:dyDescent="0.25">
      <c r="A38" s="220"/>
      <c r="B38" s="343"/>
      <c r="C38" s="344"/>
      <c r="D38" s="344"/>
      <c r="E38" s="344"/>
      <c r="F38" s="345"/>
      <c r="G38" s="223"/>
    </row>
    <row r="39" spans="1:7" ht="15" customHeight="1" x14ac:dyDescent="0.25">
      <c r="A39" s="220"/>
      <c r="B39" s="343"/>
      <c r="C39" s="344"/>
      <c r="D39" s="344"/>
      <c r="E39" s="344"/>
      <c r="F39" s="345"/>
      <c r="G39" s="223"/>
    </row>
    <row r="40" spans="1:7" ht="15" customHeight="1" x14ac:dyDescent="0.25">
      <c r="A40" s="220"/>
      <c r="B40" s="343"/>
      <c r="C40" s="344"/>
      <c r="D40" s="344"/>
      <c r="E40" s="344"/>
      <c r="F40" s="345"/>
      <c r="G40" s="223"/>
    </row>
    <row r="41" spans="1:7" ht="15" customHeight="1" x14ac:dyDescent="0.25">
      <c r="A41" s="220"/>
      <c r="B41" s="343"/>
      <c r="C41" s="344"/>
      <c r="D41" s="344"/>
      <c r="E41" s="344"/>
      <c r="F41" s="345"/>
      <c r="G41" s="223"/>
    </row>
    <row r="42" spans="1:7" ht="15" customHeight="1" x14ac:dyDescent="0.25">
      <c r="A42" s="220"/>
      <c r="B42" s="343"/>
      <c r="C42" s="344"/>
      <c r="D42" s="344"/>
      <c r="E42" s="344"/>
      <c r="F42" s="345"/>
      <c r="G42" s="223"/>
    </row>
    <row r="43" spans="1:7" ht="15" customHeight="1" x14ac:dyDescent="0.25">
      <c r="A43" s="220"/>
      <c r="B43" s="372"/>
      <c r="C43" s="373"/>
      <c r="D43" s="373"/>
      <c r="E43" s="373"/>
      <c r="F43" s="374"/>
      <c r="G43" s="223"/>
    </row>
    <row r="44" spans="1:7" ht="15" customHeight="1" x14ac:dyDescent="0.25">
      <c r="A44" s="220"/>
      <c r="B44" s="366"/>
      <c r="C44" s="367"/>
      <c r="D44" s="367"/>
      <c r="E44" s="367"/>
      <c r="F44" s="368"/>
      <c r="G44" s="223"/>
    </row>
    <row r="45" spans="1:7" ht="15" customHeight="1" x14ac:dyDescent="0.25">
      <c r="A45" s="220"/>
      <c r="B45" s="366"/>
      <c r="C45" s="367"/>
      <c r="D45" s="367"/>
      <c r="E45" s="367"/>
      <c r="F45" s="368"/>
      <c r="G45" s="223"/>
    </row>
    <row r="46" spans="1:7" ht="15" customHeight="1" x14ac:dyDescent="0.25">
      <c r="A46" s="220"/>
      <c r="B46" s="375"/>
      <c r="C46" s="376"/>
      <c r="D46" s="376"/>
      <c r="E46" s="376"/>
      <c r="F46" s="377"/>
      <c r="G46" s="223"/>
    </row>
    <row r="47" spans="1:7" ht="15" customHeight="1" x14ac:dyDescent="0.25">
      <c r="A47" s="220"/>
      <c r="B47" s="372"/>
      <c r="C47" s="373"/>
      <c r="D47" s="373"/>
      <c r="E47" s="373"/>
      <c r="F47" s="374"/>
      <c r="G47" s="223"/>
    </row>
    <row r="48" spans="1:7" ht="15" customHeight="1" x14ac:dyDescent="0.25">
      <c r="A48" s="220"/>
      <c r="B48" s="366"/>
      <c r="C48" s="367"/>
      <c r="D48" s="367"/>
      <c r="E48" s="367"/>
      <c r="F48" s="368"/>
      <c r="G48" s="223"/>
    </row>
    <row r="49" spans="1:7" ht="15" customHeight="1" x14ac:dyDescent="0.25">
      <c r="A49" s="220"/>
      <c r="B49" s="366"/>
      <c r="C49" s="367"/>
      <c r="D49" s="367"/>
      <c r="E49" s="367"/>
      <c r="F49" s="368"/>
      <c r="G49" s="223"/>
    </row>
    <row r="50" spans="1:7" ht="15" customHeight="1" x14ac:dyDescent="0.25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3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zoomScaleNormal="100" workbookViewId="0">
      <selection activeCell="S19" sqref="S19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38.3320312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Info'!C25="","",CONCATENATE("[",AE1,"]"," ",'Cable Info'!C25))</f>
        <v>[A] MN-48C: ZAYO-ENT-S-1</v>
      </c>
      <c r="AI1" s="120" t="s">
        <v>17</v>
      </c>
      <c r="AJ1" s="121" t="s">
        <v>12</v>
      </c>
      <c r="AM1" s="121" t="str">
        <f>AF1</f>
        <v>[A] MN-48C: ZAYO-ENT-S-1</v>
      </c>
      <c r="AN1" s="121" t="s">
        <v>17</v>
      </c>
      <c r="AO1" s="121" t="s">
        <v>13</v>
      </c>
      <c r="AR1" s="121" t="str">
        <f>AF2</f>
        <v>[B] BB MPS-B200 (SE)</v>
      </c>
      <c r="AS1" s="121" t="s">
        <v>17</v>
      </c>
      <c r="AT1" s="121" t="s">
        <v>36</v>
      </c>
      <c r="AW1" s="121" t="e">
        <f>AF3</f>
        <v>#REF!</v>
      </c>
      <c r="AX1" s="121" t="s">
        <v>17</v>
      </c>
      <c r="AY1" s="121" t="s">
        <v>37</v>
      </c>
      <c r="BB1" s="121" t="str">
        <f>AF4</f>
        <v>[D] 571185: ZAYO-ENT-N-1</v>
      </c>
      <c r="BC1" s="121" t="s">
        <v>17</v>
      </c>
      <c r="BD1" s="121" t="s">
        <v>38</v>
      </c>
      <c r="BG1" s="121" t="str">
        <f>AF5</f>
        <v>[E] 507608: ZAYO-ENT-S-1</v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BB MPS-B200 (SE)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e">
        <f>IF('Cable Info'!R2="","",CONCATENATE('Cable Info'!R2," - ",'Cable Info'!S2))</f>
        <v>#N/A</v>
      </c>
      <c r="BB2" s="121" t="e">
        <f>IF(AZ2="",AY2,CONCATENATE(AY2,"  &lt;=&gt; ",AZ2," ",BA2))</f>
        <v>#N/A</v>
      </c>
      <c r="BD2" s="121" t="e">
        <f>IF('Cable Info'!T2="","",CONCATENATE('Cable Info'!T2," - ",'Cable Info'!U2))</f>
        <v>#N/A</v>
      </c>
      <c r="BG2" s="121" t="e">
        <f>IF(BE2="",BD2,CONCATENATE(BD2,"  &lt;=&gt; ",BE2," ",BF2))</f>
        <v>#N/A</v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101408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3.0</v>
      </c>
      <c r="V3" s="395"/>
      <c r="W3" s="396"/>
      <c r="X3" s="166"/>
      <c r="Y3" s="252"/>
      <c r="AE3" s="252" t="s">
        <v>36</v>
      </c>
      <c r="AF3" s="252" t="e">
        <f>IF('Cable Info'!#REF!="","",CONCATENATE("[",AE3,"]"," ",'Cable Info'!#REF!))</f>
        <v>#REF!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e">
        <f>IF('Cable Info'!R3="","",CONCATENATE('Cable Info'!R3," - ",'Cable Info'!S3))</f>
        <v>#N/A</v>
      </c>
      <c r="BB3" s="121" t="e">
        <f t="shared" ref="BB3:BB10" si="3">IF(AZ3="",AY3,CONCATENATE(AY3,"  &lt;=&gt; ",AZ3," ",BA3))</f>
        <v>#N/A</v>
      </c>
      <c r="BD3" s="121" t="e">
        <f>IF('Cable Info'!T3="","",CONCATENATE('Cable Info'!T3," - ",'Cable Info'!U3))</f>
        <v>#N/A</v>
      </c>
      <c r="BG3" s="121" t="e">
        <f t="shared" ref="BG3:BG10" si="4">IF(BE3="",BD3,CONCATENATE(BD3,"  &lt;=&gt; ",BE3," ",BF3))</f>
        <v>#N/A</v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>[D] 571185: ZAYO-ENT-N-1</v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e">
        <f>IF('Cable Info'!R4="","",CONCATENATE('Cable Info'!R4," - ",'Cable Info'!S4))</f>
        <v>#N/A</v>
      </c>
      <c r="BB4" s="121" t="e">
        <f t="shared" si="3"/>
        <v>#N/A</v>
      </c>
      <c r="BD4" s="121" t="e">
        <f>IF('Cable Info'!T4="","",CONCATENATE('Cable Info'!T4," - ",'Cable Info'!U4))</f>
        <v>#N/A</v>
      </c>
      <c r="BG4" s="121" t="e">
        <f t="shared" si="4"/>
        <v>#N/A</v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>[E] 507608: ZAYO-ENT-S-1</v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e">
        <f>IF('Cable Info'!R5="","",CONCATENATE('Cable Info'!R5," - ",'Cable Info'!S5))</f>
        <v>#N/A</v>
      </c>
      <c r="BB5" s="121" t="e">
        <f t="shared" si="3"/>
        <v>#N/A</v>
      </c>
      <c r="BD5" s="121" t="e">
        <f>IF('Cable Info'!T5="","",CONCATENATE('Cable Info'!T5," - ",'Cable Info'!U5))</f>
        <v>#N/A</v>
      </c>
      <c r="BG5" s="121" t="e">
        <f t="shared" si="4"/>
        <v>#N/A</v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e">
        <f>IF('Cable Info'!R6="","",CONCATENATE('Cable Info'!R6," - ",'Cable Info'!S6))</f>
        <v>#N/A</v>
      </c>
      <c r="BB6" s="121" t="e">
        <f t="shared" si="3"/>
        <v>#N/A</v>
      </c>
      <c r="BD6" s="121" t="e">
        <f>IF('Cable Info'!T6="","",CONCATENATE('Cable Info'!T6," - ",'Cable Info'!U6))</f>
        <v>#N/A</v>
      </c>
      <c r="BG6" s="121" t="e">
        <f t="shared" si="4"/>
        <v>#N/A</v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e">
        <f>IF('Cable Info'!R7="","",CONCATENATE('Cable Info'!R7," - ",'Cable Info'!S7))</f>
        <v>#N/A</v>
      </c>
      <c r="BB7" s="121" t="e">
        <f t="shared" si="3"/>
        <v>#N/A</v>
      </c>
      <c r="BD7" s="121" t="e">
        <f>IF('Cable Info'!T7="","",CONCATENATE('Cable Info'!T7," - ",'Cable Info'!U7))</f>
        <v>#N/A</v>
      </c>
      <c r="BG7" s="121" t="e">
        <f t="shared" si="4"/>
        <v>#N/A</v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e">
        <f>IF('Cable Info'!R8="","",CONCATENATE('Cable Info'!R8," - ",'Cable Info'!S8))</f>
        <v>#N/A</v>
      </c>
      <c r="BB8" s="121" t="e">
        <f t="shared" si="3"/>
        <v>#N/A</v>
      </c>
      <c r="BD8" s="121" t="e">
        <f>IF('Cable Info'!T8="","",CONCATENATE('Cable Info'!T8," - ",'Cable Info'!U8))</f>
        <v>#N/A</v>
      </c>
      <c r="BG8" s="121" t="e">
        <f t="shared" si="4"/>
        <v>#N/A</v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e">
        <f>IF('Cable Info'!R9="","",CONCATENATE('Cable Info'!R9," - ",'Cable Info'!S9))</f>
        <v>#N/A</v>
      </c>
      <c r="BB9" s="121" t="e">
        <f t="shared" si="3"/>
        <v>#N/A</v>
      </c>
      <c r="BD9" s="121" t="e">
        <f>IF('Cable Info'!T9="","",CONCATENATE('Cable Info'!T9," - ",'Cable Info'!U9))</f>
        <v>#N/A</v>
      </c>
      <c r="BG9" s="121" t="e">
        <f t="shared" si="4"/>
        <v>#N/A</v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BB MPS-B200 (NW)</v>
      </c>
      <c r="D10" s="243" t="s">
        <v>94</v>
      </c>
      <c r="E10" s="259">
        <v>1</v>
      </c>
      <c r="F10" s="110" t="s">
        <v>45</v>
      </c>
      <c r="G10" s="262">
        <v>2</v>
      </c>
      <c r="H10" s="114">
        <f>IF(G10="","",((E10-G10)-1)*(-1))</f>
        <v>2</v>
      </c>
      <c r="I10" s="258">
        <v>5</v>
      </c>
      <c r="J10" s="110" t="s">
        <v>45</v>
      </c>
      <c r="K10" s="267">
        <v>6</v>
      </c>
      <c r="L10" s="246" t="s">
        <v>94</v>
      </c>
      <c r="M10" s="114" t="str">
        <f>IFERROR(IF(P10="","",IF((COUNTIF('Cable Info'!$B$11:$C$50,P10)=0),VLOOKUP(P10,'Cable Info (2)'!$B$11:$C$50,2,FALSE),(VLOOKUP(P10,'Cable Info'!$B$11:$C$50,2,FALSE)))),"NO SUCH EXIT")</f>
        <v>BB MPS-B200 (SE)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42674</v>
      </c>
      <c r="U10" s="132">
        <v>42733</v>
      </c>
      <c r="V10" s="133" t="s">
        <v>10</v>
      </c>
      <c r="W10" s="133" t="s">
        <v>95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e">
        <f>IF('Cable Info'!R10="","",CONCATENATE('Cable Info'!R10," - ",'Cable Info'!S10))</f>
        <v>#N/A</v>
      </c>
      <c r="AZ10" s="121" t="s">
        <v>37</v>
      </c>
      <c r="BB10" s="121" t="e">
        <f t="shared" si="3"/>
        <v>#N/A</v>
      </c>
      <c r="BD10" s="121" t="e">
        <f>IF('Cable Info'!T10="","",CONCATENATE('Cable Info'!T10," - ",'Cable Info'!U10))</f>
        <v>#N/A</v>
      </c>
      <c r="BG10" s="121" t="e">
        <f t="shared" si="4"/>
        <v>#N/A</v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96</v>
      </c>
    </row>
    <row r="11" spans="1:90" x14ac:dyDescent="0.25">
      <c r="A11" s="188"/>
      <c r="B11" s="128" t="s">
        <v>13</v>
      </c>
      <c r="C11" s="115" t="str">
        <f>IFERROR(IF(B11="","",IF((COUNTIF('Cable Info'!$B$11:$C$50,B11)=0),VLOOKUP(B11,'Cable Info (2)'!$B$11:$C$50,2,FALSE),(VLOOKUP(B11,'Cable Info'!$B$11:$C$50,2,FALSE)))),"NO SUCH EXIT")</f>
        <v>BB MPS-B200 (SE)</v>
      </c>
      <c r="D11" s="244"/>
      <c r="E11" s="260">
        <v>7</v>
      </c>
      <c r="F11" s="105" t="s">
        <v>45</v>
      </c>
      <c r="G11" s="263">
        <v>10</v>
      </c>
      <c r="H11" s="115">
        <f>IF(G11="","",((E11-G11)-1)*(-1))</f>
        <v>4</v>
      </c>
      <c r="I11" s="265">
        <v>1</v>
      </c>
      <c r="J11" s="105" t="s">
        <v>45</v>
      </c>
      <c r="K11" s="268">
        <v>4</v>
      </c>
      <c r="L11" s="247"/>
      <c r="M11" s="115" t="str">
        <f>IFERROR(IF(P11="","",IF((COUNTIF('Cable Info'!$B$11:$C$50,P11)=0),VLOOKUP(P11,'Cable Info (2)'!$B$11:$C$50,2,FALSE),(VLOOKUP(P11,'Cable Info'!$B$11:$C$50,2,FALSE)))),"NO SUCH EXIT")</f>
        <v>571185: ZAYO-ENT-N-1</v>
      </c>
      <c r="N11" s="134"/>
      <c r="O11" s="180"/>
      <c r="P11" s="135" t="s">
        <v>37</v>
      </c>
      <c r="Q11" s="190"/>
      <c r="R11" s="136" t="s">
        <v>59</v>
      </c>
      <c r="S11" s="136" t="s">
        <v>52</v>
      </c>
      <c r="T11" s="137">
        <v>42808</v>
      </c>
      <c r="U11" s="137"/>
      <c r="V11" s="138" t="s">
        <v>105</v>
      </c>
      <c r="W11" s="133" t="s">
        <v>106</v>
      </c>
      <c r="X11" s="195">
        <f t="shared" ref="X11" si="6">IF(V11="","",IF(R11="","",IF(S11="","",IF(R11="SPLICED",(IF(S11="SPLICE",0,9)),IF(V11=$U$3,(IF(S11="BREAK",12,11)),IF(S11="BREAK",2,1))))))</f>
        <v>1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4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e">
        <f>IF('Cable Info'!R10="","",CONCATENATE('Cable Info'!R10," - ",'Cable Info'!S10))</f>
        <v>#N/A</v>
      </c>
      <c r="BB11" s="121" t="e">
        <f t="shared" ref="BB11" si="14">IF(AZ11="",AY11,CONCATENATE(AY11,"  &lt;=&gt; ",AZ11," ",BA11))</f>
        <v>#N/A</v>
      </c>
      <c r="BD11" s="121" t="e">
        <f>IF('Cable Info'!T10="","",CONCATENATE('Cable Info'!T10," - ",'Cable Info'!U10))</f>
        <v>#N/A</v>
      </c>
      <c r="BG11" s="121" t="e">
        <f t="shared" ref="BG11" si="15">IF(BE11="",BD11,CONCATENATE(BD11,"  &lt;=&gt; ",BE11," ",BF11))</f>
        <v>#N/A</v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 t="s">
        <v>107</v>
      </c>
    </row>
    <row r="12" spans="1:90" x14ac:dyDescent="0.25">
      <c r="A12" s="188"/>
      <c r="B12" s="128" t="s">
        <v>13</v>
      </c>
      <c r="C12" s="115" t="str">
        <f>IFERROR(IF(B12="","",IF((COUNTIF('Cable Info'!$B$11:$C$50,B12)=0),VLOOKUP(B12,'Cable Info (2)'!$B$11:$C$50,2,FALSE),(VLOOKUP(B12,'Cable Info'!$B$11:$C$50,2,FALSE)))),"NO SUCH EXIT")</f>
        <v>BB MPS-B200 (SE)</v>
      </c>
      <c r="D12" s="244"/>
      <c r="E12" s="260">
        <v>11</v>
      </c>
      <c r="F12" s="105" t="s">
        <v>45</v>
      </c>
      <c r="G12" s="263">
        <v>14</v>
      </c>
      <c r="H12" s="115">
        <f t="shared" ref="H12" si="17">IF(G12="","",((E12-G12)-1)*(-1))</f>
        <v>4</v>
      </c>
      <c r="I12" s="265">
        <v>5</v>
      </c>
      <c r="J12" s="105" t="s">
        <v>45</v>
      </c>
      <c r="K12" s="268">
        <v>8</v>
      </c>
      <c r="L12" s="247"/>
      <c r="M12" s="115" t="str">
        <f>IFERROR(IF(P12="","",IF((COUNTIF('Cable Info'!$B$11:$C$50,P12)=0),VLOOKUP(P12,'Cable Info (2)'!$B$11:$C$50,2,FALSE),(VLOOKUP(P12,'Cable Info'!$B$11:$C$50,2,FALSE)))),"NO SUCH EXIT")</f>
        <v>507608: ZAYO-ENT-S-1</v>
      </c>
      <c r="N12" s="134"/>
      <c r="O12" s="180"/>
      <c r="P12" s="135" t="s">
        <v>38</v>
      </c>
      <c r="Q12" s="190"/>
      <c r="R12" s="136" t="s">
        <v>59</v>
      </c>
      <c r="S12" s="136" t="s">
        <v>52</v>
      </c>
      <c r="T12" s="137">
        <v>42808</v>
      </c>
      <c r="U12" s="137"/>
      <c r="V12" s="138" t="s">
        <v>105</v>
      </c>
      <c r="W12" s="133" t="s">
        <v>108</v>
      </c>
      <c r="X12" s="195">
        <f t="shared" ref="X12" si="18">IF(V12="","",IF(R12="","",IF(S12="","",IF(R12="SPLICED",(IF(S12="SPLICE",0,9)),IF(V12=$U$3,(IF(S12="BREAK",12,11)),IF(S12="BREAK",2,1))))))</f>
        <v>1</v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>
        <f t="shared" ref="AA12" si="21">IF(K12="","",((I12-K12)-1)*(-1))</f>
        <v>4</v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e">
        <f>IF('Cable Info'!R11="","",CONCATENATE('Cable Info'!R11," - ",'Cable Info'!S11))</f>
        <v>#N/A</v>
      </c>
      <c r="BB12" s="121" t="e">
        <f t="shared" ref="BB12" si="26">IF(AZ12="",AY12,CONCATENATE(AY12,"  &lt;=&gt; ",AZ12," ",BA12))</f>
        <v>#N/A</v>
      </c>
      <c r="BD12" s="121" t="e">
        <f>IF('Cable Info'!T11="","",CONCATENATE('Cable Info'!T11," - ",'Cable Info'!U11))</f>
        <v>#N/A</v>
      </c>
      <c r="BG12" s="121" t="e">
        <f t="shared" ref="BG12" si="27">IF(BE12="",BD12,CONCATENATE(BD12,"  &lt;=&gt; ",BE12," ",BF12))</f>
        <v>#N/A</v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 t="s">
        <v>109</v>
      </c>
    </row>
    <row r="13" spans="1:90" x14ac:dyDescent="0.25">
      <c r="A13" s="188"/>
      <c r="B13" s="128" t="s">
        <v>13</v>
      </c>
      <c r="C13" s="115" t="str">
        <f>IFERROR(IF(B13="","",IF((COUNTIF('Cable Info'!$B$11:$C$50,B13)=0),VLOOKUP(B13,'Cable Info (2)'!$B$11:$C$50,2,FALSE),(VLOOKUP(B13,'Cable Info'!$B$11:$C$50,2,FALSE)))),"NO SUCH EXIT")</f>
        <v>BB MPS-B200 (SE)</v>
      </c>
      <c r="D13" s="244" t="s">
        <v>110</v>
      </c>
      <c r="E13" s="260">
        <v>17</v>
      </c>
      <c r="F13" s="105" t="s">
        <v>45</v>
      </c>
      <c r="G13" s="263">
        <v>18</v>
      </c>
      <c r="H13" s="115">
        <f t="shared" ref="H13:H76" si="29">IF(G13="","",((E13-G13)-1)*(-1))</f>
        <v>2</v>
      </c>
      <c r="I13" s="265">
        <v>3</v>
      </c>
      <c r="J13" s="105" t="s">
        <v>45</v>
      </c>
      <c r="K13" s="268">
        <v>4</v>
      </c>
      <c r="L13" s="247" t="s">
        <v>94</v>
      </c>
      <c r="M13" s="115" t="str">
        <f>IFERROR(IF(P13="","",IF((COUNTIF('Cable Info'!$B$11:$C$50,P13)=0),VLOOKUP(P13,'Cable Info (2)'!$B$11:$C$50,2,FALSE),(VLOOKUP(P13,'Cable Info'!$B$11:$C$50,2,FALSE)))),"NO SUCH EXIT")</f>
        <v>MN-48C: ZAYO-ENT-S-1</v>
      </c>
      <c r="N13" s="134"/>
      <c r="O13" s="180"/>
      <c r="P13" s="135" t="s">
        <v>36</v>
      </c>
      <c r="Q13" s="190"/>
      <c r="R13" s="136" t="s">
        <v>60</v>
      </c>
      <c r="S13" s="136" t="s">
        <v>52</v>
      </c>
      <c r="T13" s="137">
        <v>42898</v>
      </c>
      <c r="U13" s="137">
        <v>42930</v>
      </c>
      <c r="V13" s="138" t="s">
        <v>111</v>
      </c>
      <c r="W13" s="133" t="s">
        <v>112</v>
      </c>
      <c r="X13" s="195">
        <f t="shared" ref="X13:X76" si="30">IF(V13="","",IF(R13="","",IF(S13="","",IF(R13="SPLICED",(IF(S13="SPLICE",0,9)),IF(V13=$U$3,(IF(S13="BREAK",12,11)),IF(S13="BREAK",2,1))))))</f>
        <v>0</v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>
        <f t="shared" ref="AA13:AA76" si="33">IF(K13="","",((I13-K13)-1)*(-1))</f>
        <v>2</v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e">
        <f>IF('Cable Info'!R12="","",CONCATENATE('Cable Info'!R12," - ",'Cable Info'!S12))</f>
        <v>#N/A</v>
      </c>
      <c r="BB13" s="121" t="e">
        <f t="shared" ref="BB13:BB76" si="38">IF(AZ13="",AY13,CONCATENATE(AY13,"  &lt;=&gt; ",AZ13," ",BA13))</f>
        <v>#N/A</v>
      </c>
      <c r="BD13" s="121" t="e">
        <f>IF('Cable Info'!T12="","",CONCATENATE('Cable Info'!T12," - ",'Cable Info'!U12))</f>
        <v>#N/A</v>
      </c>
      <c r="BG13" s="121" t="e">
        <f t="shared" ref="BG13:BG76" si="39">IF(BE13="",BD13,CONCATENATE(BD13,"  &lt;=&gt; ",BE13," ",BF13))</f>
        <v>#N/A</v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 t="s">
        <v>113</v>
      </c>
    </row>
    <row r="14" spans="1:90" x14ac:dyDescent="0.25">
      <c r="A14" s="188"/>
      <c r="B14" s="128" t="s">
        <v>13</v>
      </c>
      <c r="C14" s="115" t="str">
        <f>IFERROR(IF(B14="","",IF((COUNTIF('Cable Info'!$B$11:$C$50,B14)=0),VLOOKUP(B14,'Cable Info (2)'!$B$11:$C$50,2,FALSE),(VLOOKUP(B14,'Cable Info'!$B$11:$C$50,2,FALSE)))),"NO SUCH EXIT")</f>
        <v>BB MPS-B200 (SE)</v>
      </c>
      <c r="D14" s="244" t="s">
        <v>110</v>
      </c>
      <c r="E14" s="260">
        <v>21</v>
      </c>
      <c r="F14" s="105" t="s">
        <v>45</v>
      </c>
      <c r="G14" s="263">
        <v>22</v>
      </c>
      <c r="H14" s="115">
        <f t="shared" si="29"/>
        <v>2</v>
      </c>
      <c r="I14" s="265">
        <v>5</v>
      </c>
      <c r="J14" s="105" t="s">
        <v>45</v>
      </c>
      <c r="K14" s="268">
        <v>6</v>
      </c>
      <c r="L14" s="247" t="s">
        <v>94</v>
      </c>
      <c r="M14" s="115" t="str">
        <f>IFERROR(IF(P14="","",IF((COUNTIF('Cable Info'!$B$11:$C$50,P14)=0),VLOOKUP(P14,'Cable Info (2)'!$B$11:$C$50,2,FALSE),(VLOOKUP(P14,'Cable Info'!$B$11:$C$50,2,FALSE)))),"NO SUCH EXIT")</f>
        <v>MN-48C: ZAYO-ENT-S-1</v>
      </c>
      <c r="N14" s="134"/>
      <c r="O14" s="180"/>
      <c r="P14" s="135" t="s">
        <v>36</v>
      </c>
      <c r="Q14" s="190"/>
      <c r="R14" s="136" t="s">
        <v>60</v>
      </c>
      <c r="S14" s="136" t="s">
        <v>52</v>
      </c>
      <c r="T14" s="137">
        <v>43157</v>
      </c>
      <c r="U14" s="137"/>
      <c r="V14" s="138" t="s">
        <v>116</v>
      </c>
      <c r="W14" s="133" t="s">
        <v>117</v>
      </c>
      <c r="X14" s="195">
        <f t="shared" si="30"/>
        <v>0</v>
      </c>
      <c r="Y14" s="252" t="str">
        <f t="shared" si="31"/>
        <v/>
      </c>
      <c r="Z14" s="253" t="str">
        <f t="shared" si="32"/>
        <v/>
      </c>
      <c r="AA14" s="253">
        <f t="shared" si="33"/>
        <v>2</v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e">
        <f>IF('Cable Info'!R13="","",CONCATENATE('Cable Info'!R13," - ",'Cable Info'!S13))</f>
        <v>#N/A</v>
      </c>
      <c r="BB14" s="121" t="e">
        <f t="shared" si="38"/>
        <v>#N/A</v>
      </c>
      <c r="BD14" s="121" t="e">
        <f>IF('Cable Info'!T13="","",CONCATENATE('Cable Info'!T13," - ",'Cable Info'!U13))</f>
        <v>#N/A</v>
      </c>
      <c r="BG14" s="121" t="e">
        <f t="shared" si="39"/>
        <v>#N/A</v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 t="s">
        <v>96</v>
      </c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e">
        <f>IF('Cable Info'!R14="","",CONCATENATE('Cable Info'!R14," - ",'Cable Info'!S14))</f>
        <v>#N/A</v>
      </c>
      <c r="BB15" s="121" t="e">
        <f t="shared" si="38"/>
        <v>#N/A</v>
      </c>
      <c r="BD15" s="121" t="e">
        <f>IF('Cable Info'!T14="","",CONCATENATE('Cable Info'!T14," - ",'Cable Info'!U14))</f>
        <v>#N/A</v>
      </c>
      <c r="BG15" s="121" t="e">
        <f t="shared" si="39"/>
        <v>#N/A</v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e">
        <f>IF('Cable Info'!R15="","",CONCATENATE('Cable Info'!R15," - ",'Cable Info'!S15))</f>
        <v>#N/A</v>
      </c>
      <c r="BB16" s="121" t="e">
        <f t="shared" si="38"/>
        <v>#N/A</v>
      </c>
      <c r="BD16" s="121" t="e">
        <f>IF('Cable Info'!T15="","",CONCATENATE('Cable Info'!T15," - ",'Cable Info'!U15))</f>
        <v>#N/A</v>
      </c>
      <c r="BG16" s="121" t="e">
        <f t="shared" si="39"/>
        <v>#N/A</v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e">
        <f>IF('Cable Info'!R16="","",CONCATENATE('Cable Info'!R16," - ",'Cable Info'!S16))</f>
        <v>#N/A</v>
      </c>
      <c r="BB17" s="121" t="e">
        <f t="shared" si="38"/>
        <v>#N/A</v>
      </c>
      <c r="BD17" s="121" t="e">
        <f>IF('Cable Info'!T16="","",CONCATENATE('Cable Info'!T16," - ",'Cable Info'!U16))</f>
        <v>#N/A</v>
      </c>
      <c r="BG17" s="121" t="e">
        <f t="shared" si="39"/>
        <v>#N/A</v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e">
        <f>IF('Cable Info'!R17="","",CONCATENATE('Cable Info'!R17," - ",'Cable Info'!S17))</f>
        <v>#N/A</v>
      </c>
      <c r="BB18" s="121" t="e">
        <f t="shared" si="38"/>
        <v>#N/A</v>
      </c>
      <c r="BD18" s="121" t="e">
        <f>IF('Cable Info'!T17="","",CONCATENATE('Cable Info'!T17," - ",'Cable Info'!U17))</f>
        <v>#N/A</v>
      </c>
      <c r="BG18" s="121" t="e">
        <f t="shared" si="39"/>
        <v>#N/A</v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e">
        <f>IF('Cable Info'!R18="","",CONCATENATE('Cable Info'!R18," - ",'Cable Info'!S18))</f>
        <v>#N/A</v>
      </c>
      <c r="BB19" s="121" t="e">
        <f t="shared" si="38"/>
        <v>#N/A</v>
      </c>
      <c r="BD19" s="121" t="e">
        <f>IF('Cable Info'!T18="","",CONCATENATE('Cable Info'!T18," - ",'Cable Info'!U18))</f>
        <v>#N/A</v>
      </c>
      <c r="BG19" s="121" t="e">
        <f t="shared" si="39"/>
        <v>#N/A</v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e">
        <f>IF('Cable Info'!R19="","",CONCATENATE('Cable Info'!R19," - ",'Cable Info'!S19))</f>
        <v>#N/A</v>
      </c>
      <c r="BB20" s="121" t="e">
        <f t="shared" si="38"/>
        <v>#N/A</v>
      </c>
      <c r="BD20" s="121" t="e">
        <f>IF('Cable Info'!T19="","",CONCATENATE('Cable Info'!T19," - ",'Cable Info'!U19))</f>
        <v>#N/A</v>
      </c>
      <c r="BG20" s="121" t="e">
        <f t="shared" si="39"/>
        <v>#N/A</v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e">
        <f>IF('Cable Info'!R20="","",CONCATENATE('Cable Info'!R20," - ",'Cable Info'!S20))</f>
        <v>#N/A</v>
      </c>
      <c r="BB21" s="121" t="e">
        <f t="shared" si="38"/>
        <v>#N/A</v>
      </c>
      <c r="BD21" s="121" t="e">
        <f>IF('Cable Info'!T20="","",CONCATENATE('Cable Info'!T20," - ",'Cable Info'!U20))</f>
        <v>#N/A</v>
      </c>
      <c r="BG21" s="121" t="e">
        <f t="shared" si="39"/>
        <v>#N/A</v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e">
        <f>IF('Cable Info'!R21="","",CONCATENATE('Cable Info'!R21," - ",'Cable Info'!S21))</f>
        <v>#N/A</v>
      </c>
      <c r="BB22" s="121" t="e">
        <f t="shared" si="38"/>
        <v>#N/A</v>
      </c>
      <c r="BD22" s="121" t="e">
        <f>IF('Cable Info'!T21="","",CONCATENATE('Cable Info'!T21," - ",'Cable Info'!U21))</f>
        <v>#N/A</v>
      </c>
      <c r="BG22" s="121" t="e">
        <f t="shared" si="39"/>
        <v>#N/A</v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e">
        <f>IF('Cable Info'!R22="","",CONCATENATE('Cable Info'!R22," - ",'Cable Info'!S22))</f>
        <v>#N/A</v>
      </c>
      <c r="BB23" s="121" t="e">
        <f t="shared" si="38"/>
        <v>#N/A</v>
      </c>
      <c r="BD23" s="121" t="e">
        <f>IF('Cable Info'!T22="","",CONCATENATE('Cable Info'!T22," - ",'Cable Info'!U22))</f>
        <v>#N/A</v>
      </c>
      <c r="BG23" s="121" t="e">
        <f t="shared" si="39"/>
        <v>#N/A</v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e">
        <f>IF('Cable Info'!R23="","",CONCATENATE('Cable Info'!R23," - ",'Cable Info'!S23))</f>
        <v>#N/A</v>
      </c>
      <c r="BB24" s="121" t="e">
        <f t="shared" si="38"/>
        <v>#N/A</v>
      </c>
      <c r="BD24" s="121" t="e">
        <f>IF('Cable Info'!T23="","",CONCATENATE('Cable Info'!T23," - ",'Cable Info'!U23))</f>
        <v>#N/A</v>
      </c>
      <c r="BG24" s="121" t="e">
        <f t="shared" si="39"/>
        <v>#N/A</v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e">
        <f>IF('Cable Info'!R24="","",CONCATENATE('Cable Info'!R24," - ",'Cable Info'!S24))</f>
        <v>#N/A</v>
      </c>
      <c r="BB25" s="121" t="e">
        <f t="shared" si="38"/>
        <v>#N/A</v>
      </c>
      <c r="BD25" s="121" t="e">
        <f>IF('Cable Info'!T24="","",CONCATENATE('Cable Info'!T24," - ",'Cable Info'!U24))</f>
        <v>#N/A</v>
      </c>
      <c r="BG25" s="121" t="e">
        <f t="shared" si="39"/>
        <v>#N/A</v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e">
        <f>IF('Cable Info'!R25="","",CONCATENATE('Cable Info'!R25," - ",'Cable Info'!S25))</f>
        <v>#N/A</v>
      </c>
      <c r="BB26" s="121" t="e">
        <f t="shared" si="38"/>
        <v>#N/A</v>
      </c>
      <c r="BD26" s="121" t="e">
        <f>IF('Cable Info'!T25="","",CONCATENATE('Cable Info'!T25," - ",'Cable Info'!U25))</f>
        <v>#N/A</v>
      </c>
      <c r="BG26" s="121" t="e">
        <f t="shared" si="39"/>
        <v>#N/A</v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e">
        <f>IF('Cable Info'!R26="","",CONCATENATE('Cable Info'!R26," - ",'Cable Info'!S26))</f>
        <v>#N/A</v>
      </c>
      <c r="BB27" s="121" t="e">
        <f t="shared" si="38"/>
        <v>#N/A</v>
      </c>
      <c r="BD27" s="121" t="e">
        <f>IF('Cable Info'!T26="","",CONCATENATE('Cable Info'!T26," - ",'Cable Info'!U26))</f>
        <v>#N/A</v>
      </c>
      <c r="BG27" s="121" t="e">
        <f t="shared" si="39"/>
        <v>#N/A</v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e">
        <f>IF('Cable Info'!R27="","",CONCATENATE('Cable Info'!R27," - ",'Cable Info'!S27))</f>
        <v>#N/A</v>
      </c>
      <c r="BB28" s="121" t="e">
        <f t="shared" si="38"/>
        <v>#N/A</v>
      </c>
      <c r="BD28" s="121" t="e">
        <f>IF('Cable Info'!T27="","",CONCATENATE('Cable Info'!T27," - ",'Cable Info'!U27))</f>
        <v>#N/A</v>
      </c>
      <c r="BG28" s="121" t="e">
        <f t="shared" si="39"/>
        <v>#N/A</v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e">
        <f>IF('Cable Info'!R28="","",CONCATENATE('Cable Info'!R28," - ",'Cable Info'!S28))</f>
        <v>#N/A</v>
      </c>
      <c r="BB29" s="121" t="e">
        <f t="shared" si="38"/>
        <v>#N/A</v>
      </c>
      <c r="BD29" s="121" t="e">
        <f>IF('Cable Info'!T28="","",CONCATENATE('Cable Info'!T28," - ",'Cable Info'!U28))</f>
        <v>#N/A</v>
      </c>
      <c r="BG29" s="121" t="e">
        <f t="shared" si="39"/>
        <v>#N/A</v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e">
        <f>IF('Cable Info'!R29="","",CONCATENATE('Cable Info'!R29," - ",'Cable Info'!S29))</f>
        <v>#N/A</v>
      </c>
      <c r="BB30" s="121" t="e">
        <f t="shared" si="38"/>
        <v>#N/A</v>
      </c>
      <c r="BD30" s="121" t="e">
        <f>IF('Cable Info'!T29="","",CONCATENATE('Cable Info'!T29," - ",'Cable Info'!U29))</f>
        <v>#N/A</v>
      </c>
      <c r="BG30" s="121" t="e">
        <f t="shared" si="39"/>
        <v>#N/A</v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e">
        <f>IF('Cable Info'!R30="","",CONCATENATE('Cable Info'!R30," - ",'Cable Info'!S30))</f>
        <v>#N/A</v>
      </c>
      <c r="BB31" s="121" t="e">
        <f t="shared" si="38"/>
        <v>#N/A</v>
      </c>
      <c r="BD31" s="121" t="e">
        <f>IF('Cable Info'!T30="","",CONCATENATE('Cable Info'!T30," - ",'Cable Info'!U30))</f>
        <v>#N/A</v>
      </c>
      <c r="BG31" s="121" t="e">
        <f t="shared" si="39"/>
        <v>#N/A</v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e">
        <f>IF('Cable Info'!R31="","",CONCATENATE('Cable Info'!R31," - ",'Cable Info'!S31))</f>
        <v>#N/A</v>
      </c>
      <c r="BB32" s="121" t="e">
        <f t="shared" si="38"/>
        <v>#N/A</v>
      </c>
      <c r="BD32" s="121" t="e">
        <f>IF('Cable Info'!T31="","",CONCATENATE('Cable Info'!T31," - ",'Cable Info'!U31))</f>
        <v>#N/A</v>
      </c>
      <c r="BG32" s="121" t="e">
        <f t="shared" si="39"/>
        <v>#N/A</v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e">
        <f>IF('Cable Info'!R32="","",CONCATENATE('Cable Info'!R32," - ",'Cable Info'!S32))</f>
        <v>#N/A</v>
      </c>
      <c r="BB33" s="121" t="e">
        <f t="shared" si="38"/>
        <v>#N/A</v>
      </c>
      <c r="BD33" s="121" t="e">
        <f>IF('Cable Info'!T32="","",CONCATENATE('Cable Info'!T32," - ",'Cable Info'!U32))</f>
        <v>#N/A</v>
      </c>
      <c r="BG33" s="121" t="e">
        <f t="shared" si="39"/>
        <v>#N/A</v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e">
        <f>IF('Cable Info'!R33="","",CONCATENATE('Cable Info'!R33," - ",'Cable Info'!S33))</f>
        <v>#N/A</v>
      </c>
      <c r="BB34" s="121" t="e">
        <f t="shared" si="38"/>
        <v>#N/A</v>
      </c>
      <c r="BD34" s="121" t="e">
        <f>IF('Cable Info'!T33="","",CONCATENATE('Cable Info'!T33," - ",'Cable Info'!U33))</f>
        <v>#N/A</v>
      </c>
      <c r="BG34" s="121" t="e">
        <f t="shared" si="39"/>
        <v>#N/A</v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e">
        <f>IF('Cable Info'!R34="","",CONCATENATE('Cable Info'!R34," - ",'Cable Info'!S34))</f>
        <v>#N/A</v>
      </c>
      <c r="BB35" s="121" t="e">
        <f t="shared" si="38"/>
        <v>#N/A</v>
      </c>
      <c r="BD35" s="121" t="e">
        <f>IF('Cable Info'!T34="","",CONCATENATE('Cable Info'!T34," - ",'Cable Info'!U34))</f>
        <v>#N/A</v>
      </c>
      <c r="BG35" s="121" t="e">
        <f t="shared" si="39"/>
        <v>#N/A</v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e">
        <f>IF('Cable Info'!R35="","",CONCATENATE('Cable Info'!R35," - ",'Cable Info'!S35))</f>
        <v>#N/A</v>
      </c>
      <c r="BB36" s="121" t="e">
        <f t="shared" si="38"/>
        <v>#N/A</v>
      </c>
      <c r="BD36" s="121" t="e">
        <f>IF('Cable Info'!T35="","",CONCATENATE('Cable Info'!T35," - ",'Cable Info'!U35))</f>
        <v>#N/A</v>
      </c>
      <c r="BG36" s="121" t="e">
        <f t="shared" si="39"/>
        <v>#N/A</v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e">
        <f>IF('Cable Info'!R36="","",CONCATENATE('Cable Info'!R36," - ",'Cable Info'!S36))</f>
        <v>#N/A</v>
      </c>
      <c r="BB37" s="121" t="e">
        <f t="shared" si="38"/>
        <v>#N/A</v>
      </c>
      <c r="BD37" s="121" t="e">
        <f>IF('Cable Info'!T36="","",CONCATENATE('Cable Info'!T36," - ",'Cable Info'!U36))</f>
        <v>#N/A</v>
      </c>
      <c r="BG37" s="121" t="e">
        <f t="shared" si="39"/>
        <v>#N/A</v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e">
        <f>IF('Cable Info'!R37="","",CONCATENATE('Cable Info'!R37," - ",'Cable Info'!S37))</f>
        <v>#N/A</v>
      </c>
      <c r="BB38" s="121" t="e">
        <f t="shared" si="38"/>
        <v>#N/A</v>
      </c>
      <c r="BD38" s="121" t="e">
        <f>IF('Cable Info'!T37="","",CONCATENATE('Cable Info'!T37," - ",'Cable Info'!U37))</f>
        <v>#N/A</v>
      </c>
      <c r="BG38" s="121" t="e">
        <f t="shared" si="39"/>
        <v>#N/A</v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e">
        <f>IF('Cable Info'!R38="","",CONCATENATE('Cable Info'!R38," - ",'Cable Info'!S38))</f>
        <v>#N/A</v>
      </c>
      <c r="BB39" s="121" t="e">
        <f t="shared" si="38"/>
        <v>#N/A</v>
      </c>
      <c r="BD39" s="121" t="e">
        <f>IF('Cable Info'!T38="","",CONCATENATE('Cable Info'!T38," - ",'Cable Info'!U38))</f>
        <v>#N/A</v>
      </c>
      <c r="BG39" s="121" t="e">
        <f t="shared" si="39"/>
        <v>#N/A</v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e">
        <f>IF('Cable Info'!R39="","",CONCATENATE('Cable Info'!R39," - ",'Cable Info'!S39))</f>
        <v>#N/A</v>
      </c>
      <c r="BB40" s="121" t="e">
        <f t="shared" si="38"/>
        <v>#N/A</v>
      </c>
      <c r="BD40" s="121" t="e">
        <f>IF('Cable Info'!T39="","",CONCATENATE('Cable Info'!T39," - ",'Cable Info'!U39))</f>
        <v>#N/A</v>
      </c>
      <c r="BG40" s="121" t="e">
        <f t="shared" si="39"/>
        <v>#N/A</v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e">
        <f>IF('Cable Info'!R40="","",CONCATENATE('Cable Info'!R40," - ",'Cable Info'!S40))</f>
        <v>#N/A</v>
      </c>
      <c r="BB41" s="121" t="e">
        <f t="shared" si="38"/>
        <v>#N/A</v>
      </c>
      <c r="BD41" s="121" t="e">
        <f>IF('Cable Info'!T40="","",CONCATENATE('Cable Info'!T40," - ",'Cable Info'!U40))</f>
        <v>#N/A</v>
      </c>
      <c r="BG41" s="121" t="e">
        <f t="shared" si="39"/>
        <v>#N/A</v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e">
        <f>IF('Cable Info'!R41="","",CONCATENATE('Cable Info'!R41," - ",'Cable Info'!S41))</f>
        <v>#N/A</v>
      </c>
      <c r="BB42" s="121" t="e">
        <f t="shared" si="38"/>
        <v>#N/A</v>
      </c>
      <c r="BD42" s="121" t="e">
        <f>IF('Cable Info'!T41="","",CONCATENATE('Cable Info'!T41," - ",'Cable Info'!U41))</f>
        <v>#N/A</v>
      </c>
      <c r="BG42" s="121" t="e">
        <f t="shared" si="39"/>
        <v>#N/A</v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e">
        <f>IF('Cable Info'!R42="","",CONCATENATE('Cable Info'!R42," - ",'Cable Info'!S42))</f>
        <v>#N/A</v>
      </c>
      <c r="BB43" s="121" t="e">
        <f t="shared" si="38"/>
        <v>#N/A</v>
      </c>
      <c r="BD43" s="121" t="e">
        <f>IF('Cable Info'!T42="","",CONCATENATE('Cable Info'!T42," - ",'Cable Info'!U42))</f>
        <v>#N/A</v>
      </c>
      <c r="BG43" s="121" t="e">
        <f t="shared" si="39"/>
        <v>#N/A</v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e">
        <f>IF('Cable Info'!R43="","",CONCATENATE('Cable Info'!R43," - ",'Cable Info'!S43))</f>
        <v>#N/A</v>
      </c>
      <c r="BB44" s="121" t="e">
        <f t="shared" si="38"/>
        <v>#N/A</v>
      </c>
      <c r="BD44" s="121" t="e">
        <f>IF('Cable Info'!T43="","",CONCATENATE('Cable Info'!T43," - ",'Cable Info'!U43))</f>
        <v>#N/A</v>
      </c>
      <c r="BG44" s="121" t="e">
        <f t="shared" si="39"/>
        <v>#N/A</v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e">
        <f>IF('Cable Info'!R44="","",CONCATENATE('Cable Info'!R44," - ",'Cable Info'!S44))</f>
        <v>#N/A</v>
      </c>
      <c r="BB45" s="121" t="e">
        <f t="shared" si="38"/>
        <v>#N/A</v>
      </c>
      <c r="BD45" s="121" t="e">
        <f>IF('Cable Info'!T44="","",CONCATENATE('Cable Info'!T44," - ",'Cable Info'!U44))</f>
        <v>#N/A</v>
      </c>
      <c r="BG45" s="121" t="e">
        <f t="shared" si="39"/>
        <v>#N/A</v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e">
        <f>IF('Cable Info'!R45="","",CONCATENATE('Cable Info'!R45," - ",'Cable Info'!S45))</f>
        <v>#N/A</v>
      </c>
      <c r="BB46" s="121" t="e">
        <f t="shared" si="38"/>
        <v>#N/A</v>
      </c>
      <c r="BD46" s="121" t="e">
        <f>IF('Cable Info'!T45="","",CONCATENATE('Cable Info'!T45," - ",'Cable Info'!U45))</f>
        <v>#N/A</v>
      </c>
      <c r="BG46" s="121" t="e">
        <f t="shared" si="39"/>
        <v>#N/A</v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e">
        <f>IF('Cable Info'!R46="","",CONCATENATE('Cable Info'!R46," - ",'Cable Info'!S46))</f>
        <v>#N/A</v>
      </c>
      <c r="BB47" s="121" t="e">
        <f t="shared" si="38"/>
        <v>#N/A</v>
      </c>
      <c r="BD47" s="121" t="e">
        <f>IF('Cable Info'!T46="","",CONCATENATE('Cable Info'!T46," - ",'Cable Info'!U46))</f>
        <v>#N/A</v>
      </c>
      <c r="BG47" s="121" t="e">
        <f t="shared" si="39"/>
        <v>#N/A</v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e">
        <f>IF('Cable Info'!R47="","",CONCATENATE('Cable Info'!R47," - ",'Cable Info'!S47))</f>
        <v>#N/A</v>
      </c>
      <c r="BB48" s="121" t="e">
        <f t="shared" si="38"/>
        <v>#N/A</v>
      </c>
      <c r="BD48" s="121" t="e">
        <f>IF('Cable Info'!T47="","",CONCATENATE('Cable Info'!T47," - ",'Cable Info'!U47))</f>
        <v>#N/A</v>
      </c>
      <c r="BG48" s="121" t="e">
        <f t="shared" si="39"/>
        <v>#N/A</v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e">
        <f>IF('Cable Info'!R48="","",CONCATENATE('Cable Info'!R48," - ",'Cable Info'!S48))</f>
        <v>#N/A</v>
      </c>
      <c r="BB49" s="121" t="e">
        <f t="shared" si="38"/>
        <v>#N/A</v>
      </c>
      <c r="BD49" s="121" t="e">
        <f>IF('Cable Info'!T48="","",CONCATENATE('Cable Info'!T48," - ",'Cable Info'!U48))</f>
        <v>#N/A</v>
      </c>
      <c r="BG49" s="121" t="e">
        <f t="shared" si="39"/>
        <v>#N/A</v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e">
        <f>IF('Cable Info'!R49="","",CONCATENATE('Cable Info'!R49," - ",'Cable Info'!S49))</f>
        <v>#N/A</v>
      </c>
      <c r="BB50" s="121" t="e">
        <f t="shared" si="38"/>
        <v>#N/A</v>
      </c>
      <c r="BD50" s="121" t="e">
        <f>IF('Cable Info'!T49="","",CONCATENATE('Cable Info'!T49," - ",'Cable Info'!U49))</f>
        <v>#N/A</v>
      </c>
      <c r="BG50" s="121" t="e">
        <f t="shared" si="39"/>
        <v>#N/A</v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e">
        <f>IF('Cable Info'!R50="","",CONCATENATE('Cable Info'!R50," - ",'Cable Info'!S50))</f>
        <v>#N/A</v>
      </c>
      <c r="BB51" s="121" t="e">
        <f t="shared" si="38"/>
        <v>#N/A</v>
      </c>
      <c r="BD51" s="121" t="e">
        <f>IF('Cable Info'!T50="","",CONCATENATE('Cable Info'!T50," - ",'Cable Info'!U50))</f>
        <v>#N/A</v>
      </c>
      <c r="BG51" s="121" t="e">
        <f t="shared" si="39"/>
        <v>#N/A</v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e">
        <f>IF('Cable Info'!R51="","",CONCATENATE('Cable Info'!R51," - ",'Cable Info'!S51))</f>
        <v>#N/A</v>
      </c>
      <c r="BB52" s="121" t="e">
        <f t="shared" si="38"/>
        <v>#N/A</v>
      </c>
      <c r="BD52" s="121" t="e">
        <f>IF('Cable Info'!T51="","",CONCATENATE('Cable Info'!T51," - ",'Cable Info'!U51))</f>
        <v>#N/A</v>
      </c>
      <c r="BG52" s="121" t="e">
        <f t="shared" si="39"/>
        <v>#N/A</v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e">
        <f>IF('Cable Info'!R52="","",CONCATENATE('Cable Info'!R52," - ",'Cable Info'!S52))</f>
        <v>#N/A</v>
      </c>
      <c r="BB53" s="121" t="e">
        <f t="shared" si="38"/>
        <v>#N/A</v>
      </c>
      <c r="BD53" s="121" t="e">
        <f>IF('Cable Info'!T52="","",CONCATENATE('Cable Info'!T52," - ",'Cable Info'!U52))</f>
        <v>#N/A</v>
      </c>
      <c r="BG53" s="121" t="e">
        <f t="shared" si="39"/>
        <v>#N/A</v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e">
        <f>IF('Cable Info'!R53="","",CONCATENATE('Cable Info'!R53," - ",'Cable Info'!S53))</f>
        <v>#N/A</v>
      </c>
      <c r="BB54" s="121" t="e">
        <f t="shared" si="38"/>
        <v>#N/A</v>
      </c>
      <c r="BD54" s="121" t="e">
        <f>IF('Cable Info'!T53="","",CONCATENATE('Cable Info'!T53," - ",'Cable Info'!U53))</f>
        <v>#N/A</v>
      </c>
      <c r="BG54" s="121" t="e">
        <f t="shared" si="39"/>
        <v>#N/A</v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e">
        <f>IF('Cable Info'!R54="","",CONCATENATE('Cable Info'!R54," - ",'Cable Info'!S54))</f>
        <v>#N/A</v>
      </c>
      <c r="BB55" s="121" t="e">
        <f t="shared" si="38"/>
        <v>#N/A</v>
      </c>
      <c r="BD55" s="121" t="e">
        <f>IF('Cable Info'!T54="","",CONCATENATE('Cable Info'!T54," - ",'Cable Info'!U54))</f>
        <v>#N/A</v>
      </c>
      <c r="BG55" s="121" t="e">
        <f t="shared" si="39"/>
        <v>#N/A</v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e">
        <f>IF('Cable Info'!R55="","",CONCATENATE('Cable Info'!R55," - ",'Cable Info'!S55))</f>
        <v>#N/A</v>
      </c>
      <c r="BB56" s="121" t="e">
        <f t="shared" si="38"/>
        <v>#N/A</v>
      </c>
      <c r="BD56" s="121" t="e">
        <f>IF('Cable Info'!T55="","",CONCATENATE('Cable Info'!T55," - ",'Cable Info'!U55))</f>
        <v>#N/A</v>
      </c>
      <c r="BG56" s="121" t="e">
        <f t="shared" si="39"/>
        <v>#N/A</v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e">
        <f>IF('Cable Info'!R56="","",CONCATENATE('Cable Info'!R56," - ",'Cable Info'!S56))</f>
        <v>#N/A</v>
      </c>
      <c r="BB57" s="121" t="e">
        <f t="shared" si="38"/>
        <v>#N/A</v>
      </c>
      <c r="BD57" s="121" t="e">
        <f>IF('Cable Info'!T56="","",CONCATENATE('Cable Info'!T56," - ",'Cable Info'!U56))</f>
        <v>#N/A</v>
      </c>
      <c r="BG57" s="121" t="e">
        <f t="shared" si="39"/>
        <v>#N/A</v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e">
        <f>IF('Cable Info'!R57="","",CONCATENATE('Cable Info'!R57," - ",'Cable Info'!S57))</f>
        <v>#N/A</v>
      </c>
      <c r="BB58" s="121" t="e">
        <f t="shared" si="38"/>
        <v>#N/A</v>
      </c>
      <c r="BD58" s="121" t="e">
        <f>IF('Cable Info'!T57="","",CONCATENATE('Cable Info'!T57," - ",'Cable Info'!U57))</f>
        <v>#N/A</v>
      </c>
      <c r="BG58" s="121" t="e">
        <f t="shared" si="39"/>
        <v>#N/A</v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e">
        <f>IF('Cable Info'!R58="","",CONCATENATE('Cable Info'!R58," - ",'Cable Info'!S58))</f>
        <v>#N/A</v>
      </c>
      <c r="BB59" s="121" t="e">
        <f t="shared" si="38"/>
        <v>#N/A</v>
      </c>
      <c r="BD59" s="121" t="e">
        <f>IF('Cable Info'!T58="","",CONCATENATE('Cable Info'!T58," - ",'Cable Info'!U58))</f>
        <v>#N/A</v>
      </c>
      <c r="BG59" s="121" t="e">
        <f t="shared" si="39"/>
        <v>#N/A</v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e">
        <f>IF('Cable Info'!R59="","",CONCATENATE('Cable Info'!R59," - ",'Cable Info'!S59))</f>
        <v>#N/A</v>
      </c>
      <c r="BB60" s="121" t="e">
        <f t="shared" si="38"/>
        <v>#N/A</v>
      </c>
      <c r="BD60" s="121" t="e">
        <f>IF('Cable Info'!T59="","",CONCATENATE('Cable Info'!T59," - ",'Cable Info'!U59))</f>
        <v>#N/A</v>
      </c>
      <c r="BG60" s="121" t="e">
        <f t="shared" si="39"/>
        <v>#N/A</v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e">
        <f>IF('Cable Info'!R60="","",CONCATENATE('Cable Info'!R60," - ",'Cable Info'!S60))</f>
        <v>#N/A</v>
      </c>
      <c r="BB61" s="121" t="e">
        <f t="shared" si="38"/>
        <v>#N/A</v>
      </c>
      <c r="BD61" s="121" t="e">
        <f>IF('Cable Info'!T60="","",CONCATENATE('Cable Info'!T60," - ",'Cable Info'!U60))</f>
        <v>#N/A</v>
      </c>
      <c r="BG61" s="121" t="e">
        <f t="shared" si="39"/>
        <v>#N/A</v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e">
        <f>IF('Cable Info'!R61="","",CONCATENATE('Cable Info'!R61," - ",'Cable Info'!S61))</f>
        <v>#N/A</v>
      </c>
      <c r="BB62" s="121" t="e">
        <f t="shared" si="38"/>
        <v>#N/A</v>
      </c>
      <c r="BD62" s="121" t="e">
        <f>IF('Cable Info'!T61="","",CONCATENATE('Cable Info'!T61," - ",'Cable Info'!U61))</f>
        <v>#N/A</v>
      </c>
      <c r="BG62" s="121" t="e">
        <f t="shared" si="39"/>
        <v>#N/A</v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e">
        <f>IF('Cable Info'!R62="","",CONCATENATE('Cable Info'!R62," - ",'Cable Info'!S62))</f>
        <v>#N/A</v>
      </c>
      <c r="BB63" s="121" t="e">
        <f t="shared" si="38"/>
        <v>#N/A</v>
      </c>
      <c r="BD63" s="121" t="e">
        <f>IF('Cable Info'!T62="","",CONCATENATE('Cable Info'!T62," - ",'Cable Info'!U62))</f>
        <v>#N/A</v>
      </c>
      <c r="BG63" s="121" t="e">
        <f t="shared" si="39"/>
        <v>#N/A</v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e">
        <f>IF('Cable Info'!R63="","",CONCATENATE('Cable Info'!R63," - ",'Cable Info'!S63))</f>
        <v>#N/A</v>
      </c>
      <c r="BB64" s="121" t="e">
        <f t="shared" si="38"/>
        <v>#N/A</v>
      </c>
      <c r="BD64" s="121" t="e">
        <f>IF('Cable Info'!T63="","",CONCATENATE('Cable Info'!T63," - ",'Cable Info'!U63))</f>
        <v>#N/A</v>
      </c>
      <c r="BG64" s="121" t="e">
        <f t="shared" si="39"/>
        <v>#N/A</v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e">
        <f>IF('Cable Info'!R64="","",CONCATENATE('Cable Info'!R64," - ",'Cable Info'!S64))</f>
        <v>#N/A</v>
      </c>
      <c r="BB65" s="121" t="e">
        <f t="shared" si="38"/>
        <v>#N/A</v>
      </c>
      <c r="BD65" s="121" t="e">
        <f>IF('Cable Info'!T64="","",CONCATENATE('Cable Info'!T64," - ",'Cable Info'!U64))</f>
        <v>#N/A</v>
      </c>
      <c r="BG65" s="121" t="e">
        <f t="shared" si="39"/>
        <v>#N/A</v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e">
        <f>IF('Cable Info'!R65="","",CONCATENATE('Cable Info'!R65," - ",'Cable Info'!S65))</f>
        <v>#N/A</v>
      </c>
      <c r="BB66" s="121" t="e">
        <f t="shared" si="38"/>
        <v>#N/A</v>
      </c>
      <c r="BD66" s="121" t="e">
        <f>IF('Cable Info'!T65="","",CONCATENATE('Cable Info'!T65," - ",'Cable Info'!U65))</f>
        <v>#N/A</v>
      </c>
      <c r="BG66" s="121" t="e">
        <f t="shared" si="39"/>
        <v>#N/A</v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e">
        <f>IF('Cable Info'!R66="","",CONCATENATE('Cable Info'!R66," - ",'Cable Info'!S66))</f>
        <v>#N/A</v>
      </c>
      <c r="BB67" s="121" t="e">
        <f t="shared" si="38"/>
        <v>#N/A</v>
      </c>
      <c r="BD67" s="121" t="e">
        <f>IF('Cable Info'!T66="","",CONCATENATE('Cable Info'!T66," - ",'Cable Info'!U66))</f>
        <v>#N/A</v>
      </c>
      <c r="BG67" s="121" t="e">
        <f t="shared" si="39"/>
        <v>#N/A</v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e">
        <f>IF('Cable Info'!R67="","",CONCATENATE('Cable Info'!R67," - ",'Cable Info'!S67))</f>
        <v>#N/A</v>
      </c>
      <c r="BB68" s="121" t="e">
        <f t="shared" si="38"/>
        <v>#N/A</v>
      </c>
      <c r="BD68" s="121" t="e">
        <f>IF('Cable Info'!T67="","",CONCATENATE('Cable Info'!T67," - ",'Cable Info'!U67))</f>
        <v>#N/A</v>
      </c>
      <c r="BG68" s="121" t="e">
        <f t="shared" si="39"/>
        <v>#N/A</v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e">
        <f>IF('Cable Info'!R68="","",CONCATENATE('Cable Info'!R68," - ",'Cable Info'!S68))</f>
        <v>#N/A</v>
      </c>
      <c r="BB69" s="121" t="e">
        <f t="shared" si="38"/>
        <v>#N/A</v>
      </c>
      <c r="BD69" s="121" t="e">
        <f>IF('Cable Info'!T68="","",CONCATENATE('Cable Info'!T68," - ",'Cable Info'!U68))</f>
        <v>#N/A</v>
      </c>
      <c r="BG69" s="121" t="e">
        <f t="shared" si="39"/>
        <v>#N/A</v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e">
        <f>IF('Cable Info'!R69="","",CONCATENATE('Cable Info'!R69," - ",'Cable Info'!S69))</f>
        <v>#N/A</v>
      </c>
      <c r="BB70" s="121" t="e">
        <f t="shared" si="38"/>
        <v>#N/A</v>
      </c>
      <c r="BD70" s="121" t="e">
        <f>IF('Cable Info'!T69="","",CONCATENATE('Cable Info'!T69," - ",'Cable Info'!U69))</f>
        <v>#N/A</v>
      </c>
      <c r="BG70" s="121" t="e">
        <f t="shared" si="39"/>
        <v>#N/A</v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e">
        <f>IF('Cable Info'!R70="","",CONCATENATE('Cable Info'!R70," - ",'Cable Info'!S70))</f>
        <v>#N/A</v>
      </c>
      <c r="BB71" s="121" t="e">
        <f t="shared" si="38"/>
        <v>#N/A</v>
      </c>
      <c r="BD71" s="121" t="e">
        <f>IF('Cable Info'!T70="","",CONCATENATE('Cable Info'!T70," - ",'Cable Info'!U70))</f>
        <v>#N/A</v>
      </c>
      <c r="BG71" s="121" t="e">
        <f t="shared" si="39"/>
        <v>#N/A</v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e">
        <f>IF('Cable Info'!R71="","",CONCATENATE('Cable Info'!R71," - ",'Cable Info'!S71))</f>
        <v>#N/A</v>
      </c>
      <c r="BB72" s="121" t="e">
        <f t="shared" si="38"/>
        <v>#N/A</v>
      </c>
      <c r="BD72" s="121" t="e">
        <f>IF('Cable Info'!T71="","",CONCATENATE('Cable Info'!T71," - ",'Cable Info'!U71))</f>
        <v>#N/A</v>
      </c>
      <c r="BG72" s="121" t="e">
        <f t="shared" si="39"/>
        <v>#N/A</v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e">
        <f>IF('Cable Info'!R72="","",CONCATENATE('Cable Info'!R72," - ",'Cable Info'!S72))</f>
        <v>#N/A</v>
      </c>
      <c r="BB73" s="121" t="e">
        <f t="shared" si="38"/>
        <v>#N/A</v>
      </c>
      <c r="BD73" s="121" t="e">
        <f>IF('Cable Info'!T72="","",CONCATENATE('Cable Info'!T72," - ",'Cable Info'!U72))</f>
        <v>#N/A</v>
      </c>
      <c r="BG73" s="121" t="e">
        <f t="shared" si="39"/>
        <v>#N/A</v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e">
        <f>IF('Cable Info'!R73="","",CONCATENATE('Cable Info'!R73," - ",'Cable Info'!S73))</f>
        <v>#N/A</v>
      </c>
      <c r="BB74" s="121" t="e">
        <f t="shared" si="38"/>
        <v>#N/A</v>
      </c>
      <c r="BD74" s="121" t="e">
        <f>IF('Cable Info'!T73="","",CONCATENATE('Cable Info'!T73," - ",'Cable Info'!U73))</f>
        <v>#N/A</v>
      </c>
      <c r="BG74" s="121" t="e">
        <f t="shared" si="39"/>
        <v>#N/A</v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e">
        <f>IF('Cable Info'!R74="","",CONCATENATE('Cable Info'!R74," - ",'Cable Info'!S74))</f>
        <v>#N/A</v>
      </c>
      <c r="BB75" s="121" t="e">
        <f t="shared" si="38"/>
        <v>#N/A</v>
      </c>
      <c r="BD75" s="121" t="e">
        <f>IF('Cable Info'!T74="","",CONCATENATE('Cable Info'!T74," - ",'Cable Info'!U74))</f>
        <v>#N/A</v>
      </c>
      <c r="BG75" s="121" t="e">
        <f t="shared" si="39"/>
        <v>#N/A</v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e">
        <f>IF('Cable Info'!R75="","",CONCATENATE('Cable Info'!R75," - ",'Cable Info'!S75))</f>
        <v>#N/A</v>
      </c>
      <c r="BB76" s="121" t="e">
        <f t="shared" si="38"/>
        <v>#N/A</v>
      </c>
      <c r="BD76" s="121" t="e">
        <f>IF('Cable Info'!T75="","",CONCATENATE('Cable Info'!T75," - ",'Cable Info'!U75))</f>
        <v>#N/A</v>
      </c>
      <c r="BG76" s="121" t="e">
        <f t="shared" si="39"/>
        <v>#N/A</v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e">
        <f>IF('Cable Info'!R76="","",CONCATENATE('Cable Info'!R76," - ",'Cable Info'!S76))</f>
        <v>#N/A</v>
      </c>
      <c r="BB77" s="121" t="e">
        <f t="shared" ref="BB77:BB140" si="50">IF(AZ77="",AY77,CONCATENATE(AY77,"  &lt;=&gt; ",AZ77," ",BA77))</f>
        <v>#N/A</v>
      </c>
      <c r="BD77" s="121" t="e">
        <f>IF('Cable Info'!T76="","",CONCATENATE('Cable Info'!T76," - ",'Cable Info'!U76))</f>
        <v>#N/A</v>
      </c>
      <c r="BG77" s="121" t="e">
        <f t="shared" ref="BG77:BG140" si="51">IF(BE77="",BD77,CONCATENATE(BD77,"  &lt;=&gt; ",BE77," ",BF77))</f>
        <v>#N/A</v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e">
        <f>IF('Cable Info'!R77="","",CONCATENATE('Cable Info'!R77," - ",'Cable Info'!S77))</f>
        <v>#N/A</v>
      </c>
      <c r="BB78" s="121" t="e">
        <f t="shared" si="50"/>
        <v>#N/A</v>
      </c>
      <c r="BD78" s="121" t="e">
        <f>IF('Cable Info'!T77="","",CONCATENATE('Cable Info'!T77," - ",'Cable Info'!U77))</f>
        <v>#N/A</v>
      </c>
      <c r="BG78" s="121" t="e">
        <f t="shared" si="51"/>
        <v>#N/A</v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e">
        <f>IF('Cable Info'!R78="","",CONCATENATE('Cable Info'!R78," - ",'Cable Info'!S78))</f>
        <v>#N/A</v>
      </c>
      <c r="BB79" s="121" t="e">
        <f t="shared" si="50"/>
        <v>#N/A</v>
      </c>
      <c r="BD79" s="121" t="e">
        <f>IF('Cable Info'!T78="","",CONCATENATE('Cable Info'!T78," - ",'Cable Info'!U78))</f>
        <v>#N/A</v>
      </c>
      <c r="BG79" s="121" t="e">
        <f t="shared" si="51"/>
        <v>#N/A</v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e">
        <f>IF('Cable Info'!R79="","",CONCATENATE('Cable Info'!R79," - ",'Cable Info'!S79))</f>
        <v>#N/A</v>
      </c>
      <c r="BB80" s="121" t="e">
        <f t="shared" si="50"/>
        <v>#N/A</v>
      </c>
      <c r="BD80" s="121" t="e">
        <f>IF('Cable Info'!T79="","",CONCATENATE('Cable Info'!T79," - ",'Cable Info'!U79))</f>
        <v>#N/A</v>
      </c>
      <c r="BG80" s="121" t="e">
        <f t="shared" si="51"/>
        <v>#N/A</v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e">
        <f>IF('Cable Info'!R80="","",CONCATENATE('Cable Info'!R80," - ",'Cable Info'!S80))</f>
        <v>#N/A</v>
      </c>
      <c r="BB81" s="121" t="e">
        <f t="shared" si="50"/>
        <v>#N/A</v>
      </c>
      <c r="BD81" s="121" t="e">
        <f>IF('Cable Info'!T80="","",CONCATENATE('Cable Info'!T80," - ",'Cable Info'!U80))</f>
        <v>#N/A</v>
      </c>
      <c r="BG81" s="121" t="e">
        <f t="shared" si="51"/>
        <v>#N/A</v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e">
        <f>IF('Cable Info'!R81="","",CONCATENATE('Cable Info'!R81," - ",'Cable Info'!S81))</f>
        <v>#N/A</v>
      </c>
      <c r="BB82" s="121" t="e">
        <f t="shared" si="50"/>
        <v>#N/A</v>
      </c>
      <c r="BD82" s="121" t="e">
        <f>IF('Cable Info'!T81="","",CONCATENATE('Cable Info'!T81," - ",'Cable Info'!U81))</f>
        <v>#N/A</v>
      </c>
      <c r="BG82" s="121" t="e">
        <f t="shared" si="51"/>
        <v>#N/A</v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e">
        <f>IF('Cable Info'!R82="","",CONCATENATE('Cable Info'!R82," - ",'Cable Info'!S82))</f>
        <v>#N/A</v>
      </c>
      <c r="BB83" s="121" t="e">
        <f t="shared" si="50"/>
        <v>#N/A</v>
      </c>
      <c r="BD83" s="121" t="e">
        <f>IF('Cable Info'!T82="","",CONCATENATE('Cable Info'!T82," - ",'Cable Info'!U82))</f>
        <v>#N/A</v>
      </c>
      <c r="BG83" s="121" t="e">
        <f t="shared" si="51"/>
        <v>#N/A</v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e">
        <f>IF('Cable Info'!R83="","",CONCATENATE('Cable Info'!R83," - ",'Cable Info'!S83))</f>
        <v>#N/A</v>
      </c>
      <c r="BB84" s="121" t="e">
        <f t="shared" si="50"/>
        <v>#N/A</v>
      </c>
      <c r="BD84" s="121" t="e">
        <f>IF('Cable Info'!T83="","",CONCATENATE('Cable Info'!T83," - ",'Cable Info'!U83))</f>
        <v>#N/A</v>
      </c>
      <c r="BG84" s="121" t="e">
        <f t="shared" si="51"/>
        <v>#N/A</v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e">
        <f>IF('Cable Info'!R84="","",CONCATENATE('Cable Info'!R84," - ",'Cable Info'!S84))</f>
        <v>#N/A</v>
      </c>
      <c r="BB85" s="121" t="e">
        <f t="shared" si="50"/>
        <v>#N/A</v>
      </c>
      <c r="BD85" s="121" t="e">
        <f>IF('Cable Info'!T84="","",CONCATENATE('Cable Info'!T84," - ",'Cable Info'!U84))</f>
        <v>#N/A</v>
      </c>
      <c r="BG85" s="121" t="e">
        <f t="shared" si="51"/>
        <v>#N/A</v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e">
        <f>IF('Cable Info'!R85="","",CONCATENATE('Cable Info'!R85," - ",'Cable Info'!S85))</f>
        <v>#N/A</v>
      </c>
      <c r="BB86" s="121" t="e">
        <f t="shared" si="50"/>
        <v>#N/A</v>
      </c>
      <c r="BD86" s="121" t="e">
        <f>IF('Cable Info'!T85="","",CONCATENATE('Cable Info'!T85," - ",'Cable Info'!U85))</f>
        <v>#N/A</v>
      </c>
      <c r="BG86" s="121" t="e">
        <f t="shared" si="51"/>
        <v>#N/A</v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e">
        <f>IF('Cable Info'!R86="","",CONCATENATE('Cable Info'!R86," - ",'Cable Info'!S86))</f>
        <v>#N/A</v>
      </c>
      <c r="BB87" s="121" t="e">
        <f t="shared" si="50"/>
        <v>#N/A</v>
      </c>
      <c r="BD87" s="121" t="e">
        <f>IF('Cable Info'!T86="","",CONCATENATE('Cable Info'!T86," - ",'Cable Info'!U86))</f>
        <v>#N/A</v>
      </c>
      <c r="BG87" s="121" t="e">
        <f t="shared" si="51"/>
        <v>#N/A</v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e">
        <f>IF('Cable Info'!R87="","",CONCATENATE('Cable Info'!R87," - ",'Cable Info'!S87))</f>
        <v>#N/A</v>
      </c>
      <c r="BB88" s="121" t="e">
        <f t="shared" si="50"/>
        <v>#N/A</v>
      </c>
      <c r="BD88" s="121" t="e">
        <f>IF('Cable Info'!T87="","",CONCATENATE('Cable Info'!T87," - ",'Cable Info'!U87))</f>
        <v>#N/A</v>
      </c>
      <c r="BG88" s="121" t="e">
        <f t="shared" si="51"/>
        <v>#N/A</v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e">
        <f>IF('Cable Info'!R88="","",CONCATENATE('Cable Info'!R88," - ",'Cable Info'!S88))</f>
        <v>#N/A</v>
      </c>
      <c r="BB89" s="121" t="e">
        <f t="shared" si="50"/>
        <v>#N/A</v>
      </c>
      <c r="BD89" s="121" t="e">
        <f>IF('Cable Info'!T88="","",CONCATENATE('Cable Info'!T88," - ",'Cable Info'!U88))</f>
        <v>#N/A</v>
      </c>
      <c r="BG89" s="121" t="e">
        <f t="shared" si="51"/>
        <v>#N/A</v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e">
        <f>IF('Cable Info'!R89="","",CONCATENATE('Cable Info'!R89," - ",'Cable Info'!S89))</f>
        <v>#N/A</v>
      </c>
      <c r="BB90" s="121" t="e">
        <f t="shared" si="50"/>
        <v>#N/A</v>
      </c>
      <c r="BD90" s="121" t="e">
        <f>IF('Cable Info'!T89="","",CONCATENATE('Cable Info'!T89," - ",'Cable Info'!U89))</f>
        <v>#N/A</v>
      </c>
      <c r="BG90" s="121" t="e">
        <f t="shared" si="51"/>
        <v>#N/A</v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e">
        <f>IF('Cable Info'!R90="","",CONCATENATE('Cable Info'!R90," - ",'Cable Info'!S90))</f>
        <v>#N/A</v>
      </c>
      <c r="BB91" s="121" t="e">
        <f t="shared" si="50"/>
        <v>#N/A</v>
      </c>
      <c r="BD91" s="121" t="e">
        <f>IF('Cable Info'!T90="","",CONCATENATE('Cable Info'!T90," - ",'Cable Info'!U90))</f>
        <v>#N/A</v>
      </c>
      <c r="BG91" s="121" t="e">
        <f t="shared" si="51"/>
        <v>#N/A</v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e">
        <f>IF('Cable Info'!R91="","",CONCATENATE('Cable Info'!R91," - ",'Cable Info'!S91))</f>
        <v>#N/A</v>
      </c>
      <c r="BB92" s="121" t="e">
        <f t="shared" si="50"/>
        <v>#N/A</v>
      </c>
      <c r="BD92" s="121" t="e">
        <f>IF('Cable Info'!T91="","",CONCATENATE('Cable Info'!T91," - ",'Cable Info'!U91))</f>
        <v>#N/A</v>
      </c>
      <c r="BG92" s="121" t="e">
        <f t="shared" si="51"/>
        <v>#N/A</v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e">
        <f>IF('Cable Info'!R92="","",CONCATENATE('Cable Info'!R92," - ",'Cable Info'!S92))</f>
        <v>#N/A</v>
      </c>
      <c r="BB93" s="121" t="e">
        <f t="shared" si="50"/>
        <v>#N/A</v>
      </c>
      <c r="BD93" s="121" t="e">
        <f>IF('Cable Info'!T92="","",CONCATENATE('Cable Info'!T92," - ",'Cable Info'!U92))</f>
        <v>#N/A</v>
      </c>
      <c r="BG93" s="121" t="e">
        <f t="shared" si="51"/>
        <v>#N/A</v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e">
        <f>IF('Cable Info'!R93="","",CONCATENATE('Cable Info'!R93," - ",'Cable Info'!S93))</f>
        <v>#N/A</v>
      </c>
      <c r="BB94" s="121" t="e">
        <f t="shared" si="50"/>
        <v>#N/A</v>
      </c>
      <c r="BD94" s="121" t="e">
        <f>IF('Cable Info'!T93="","",CONCATENATE('Cable Info'!T93," - ",'Cable Info'!U93))</f>
        <v>#N/A</v>
      </c>
      <c r="BG94" s="121" t="e">
        <f t="shared" si="51"/>
        <v>#N/A</v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e">
        <f>IF('Cable Info'!R94="","",CONCATENATE('Cable Info'!R94," - ",'Cable Info'!S94))</f>
        <v>#N/A</v>
      </c>
      <c r="BB95" s="121" t="e">
        <f t="shared" si="50"/>
        <v>#N/A</v>
      </c>
      <c r="BD95" s="121" t="e">
        <f>IF('Cable Info'!T94="","",CONCATENATE('Cable Info'!T94," - ",'Cable Info'!U94))</f>
        <v>#N/A</v>
      </c>
      <c r="BG95" s="121" t="e">
        <f t="shared" si="51"/>
        <v>#N/A</v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e">
        <f>IF('Cable Info'!R95="","",CONCATENATE('Cable Info'!R95," - ",'Cable Info'!S95))</f>
        <v>#N/A</v>
      </c>
      <c r="BB96" s="121" t="e">
        <f t="shared" si="50"/>
        <v>#N/A</v>
      </c>
      <c r="BD96" s="121" t="e">
        <f>IF('Cable Info'!T95="","",CONCATENATE('Cable Info'!T95," - ",'Cable Info'!U95))</f>
        <v>#N/A</v>
      </c>
      <c r="BG96" s="121" t="e">
        <f t="shared" si="51"/>
        <v>#N/A</v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e">
        <f>IF('Cable Info'!R96="","",CONCATENATE('Cable Info'!R96," - ",'Cable Info'!S96))</f>
        <v>#N/A</v>
      </c>
      <c r="BB97" s="121" t="e">
        <f t="shared" si="50"/>
        <v>#N/A</v>
      </c>
      <c r="BD97" s="121" t="e">
        <f>IF('Cable Info'!T96="","",CONCATENATE('Cable Info'!T96," - ",'Cable Info'!U96))</f>
        <v>#N/A</v>
      </c>
      <c r="BG97" s="121" t="e">
        <f t="shared" si="51"/>
        <v>#N/A</v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e">
        <f>IF('Cable Info'!R97="","",CONCATENATE('Cable Info'!R97," - ",'Cable Info'!S97))</f>
        <v>#N/A</v>
      </c>
      <c r="BB98" s="121" t="e">
        <f t="shared" si="50"/>
        <v>#N/A</v>
      </c>
      <c r="BD98" s="121" t="e">
        <f>IF('Cable Info'!T97="","",CONCATENATE('Cable Info'!T97," - ",'Cable Info'!U97))</f>
        <v>#N/A</v>
      </c>
      <c r="BG98" s="121" t="e">
        <f t="shared" si="51"/>
        <v>#N/A</v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e">
        <f>IF('Cable Info'!R98="","",CONCATENATE('Cable Info'!R98," - ",'Cable Info'!S98))</f>
        <v>#N/A</v>
      </c>
      <c r="BB99" s="121" t="e">
        <f t="shared" si="50"/>
        <v>#N/A</v>
      </c>
      <c r="BD99" s="121" t="e">
        <f>IF('Cable Info'!T98="","",CONCATENATE('Cable Info'!T98," - ",'Cable Info'!U98))</f>
        <v>#N/A</v>
      </c>
      <c r="BG99" s="121" t="e">
        <f t="shared" si="51"/>
        <v>#N/A</v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e">
        <f>IF('Cable Info'!R99="","",CONCATENATE('Cable Info'!R99," - ",'Cable Info'!S99))</f>
        <v>#N/A</v>
      </c>
      <c r="BB100" s="121" t="e">
        <f t="shared" si="50"/>
        <v>#N/A</v>
      </c>
      <c r="BD100" s="121" t="e">
        <f>IF('Cable Info'!T99="","",CONCATENATE('Cable Info'!T99," - ",'Cable Info'!U99))</f>
        <v>#N/A</v>
      </c>
      <c r="BG100" s="121" t="e">
        <f t="shared" si="51"/>
        <v>#N/A</v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e">
        <f>IF('Cable Info'!R100="","",CONCATENATE('Cable Info'!R100," - ",'Cable Info'!S100))</f>
        <v>#N/A</v>
      </c>
      <c r="BB101" s="121" t="e">
        <f t="shared" si="50"/>
        <v>#N/A</v>
      </c>
      <c r="BD101" s="121" t="e">
        <f>IF('Cable Info'!T100="","",CONCATENATE('Cable Info'!T100," - ",'Cable Info'!U100))</f>
        <v>#N/A</v>
      </c>
      <c r="BG101" s="121" t="e">
        <f t="shared" si="51"/>
        <v>#N/A</v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e">
        <f>IF('Cable Info'!R101="","",CONCATENATE('Cable Info'!R101," - ",'Cable Info'!S101))</f>
        <v>#N/A</v>
      </c>
      <c r="BB102" s="121" t="e">
        <f t="shared" si="50"/>
        <v>#N/A</v>
      </c>
      <c r="BD102" s="121" t="e">
        <f>IF('Cable Info'!T101="","",CONCATENATE('Cable Info'!T101," - ",'Cable Info'!U101))</f>
        <v>#N/A</v>
      </c>
      <c r="BG102" s="121" t="e">
        <f t="shared" si="51"/>
        <v>#N/A</v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e">
        <f>IF('Cable Info'!R102="","",CONCATENATE('Cable Info'!R102," - ",'Cable Info'!S102))</f>
        <v>#N/A</v>
      </c>
      <c r="BB103" s="121" t="e">
        <f t="shared" si="50"/>
        <v>#N/A</v>
      </c>
      <c r="BD103" s="121" t="e">
        <f>IF('Cable Info'!T102="","",CONCATENATE('Cable Info'!T102," - ",'Cable Info'!U102))</f>
        <v>#N/A</v>
      </c>
      <c r="BG103" s="121" t="e">
        <f t="shared" si="51"/>
        <v>#N/A</v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e">
        <f>IF('Cable Info'!R103="","",CONCATENATE('Cable Info'!R103," - ",'Cable Info'!S103))</f>
        <v>#N/A</v>
      </c>
      <c r="BB104" s="121" t="e">
        <f t="shared" si="50"/>
        <v>#N/A</v>
      </c>
      <c r="BD104" s="121" t="e">
        <f>IF('Cable Info'!T103="","",CONCATENATE('Cable Info'!T103," - ",'Cable Info'!U103))</f>
        <v>#N/A</v>
      </c>
      <c r="BG104" s="121" t="e">
        <f t="shared" si="51"/>
        <v>#N/A</v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e">
        <f>IF('Cable Info'!R104="","",CONCATENATE('Cable Info'!R104," - ",'Cable Info'!S104))</f>
        <v>#N/A</v>
      </c>
      <c r="BB105" s="121" t="e">
        <f t="shared" si="50"/>
        <v>#N/A</v>
      </c>
      <c r="BD105" s="121" t="e">
        <f>IF('Cable Info'!T104="","",CONCATENATE('Cable Info'!T104," - ",'Cable Info'!U104))</f>
        <v>#N/A</v>
      </c>
      <c r="BG105" s="121" t="e">
        <f t="shared" si="51"/>
        <v>#N/A</v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e">
        <f>IF('Cable Info'!R105="","",CONCATENATE('Cable Info'!R105," - ",'Cable Info'!S105))</f>
        <v>#N/A</v>
      </c>
      <c r="BB106" s="121" t="e">
        <f t="shared" si="50"/>
        <v>#N/A</v>
      </c>
      <c r="BD106" s="121" t="e">
        <f>IF('Cable Info'!T105="","",CONCATENATE('Cable Info'!T105," - ",'Cable Info'!U105))</f>
        <v>#N/A</v>
      </c>
      <c r="BG106" s="121" t="e">
        <f t="shared" si="51"/>
        <v>#N/A</v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e">
        <f>IF('Cable Info'!R106="","",CONCATENATE('Cable Info'!R106," - ",'Cable Info'!S106))</f>
        <v>#N/A</v>
      </c>
      <c r="BB107" s="121" t="e">
        <f t="shared" si="50"/>
        <v>#N/A</v>
      </c>
      <c r="BD107" s="121" t="e">
        <f>IF('Cable Info'!T106="","",CONCATENATE('Cable Info'!T106," - ",'Cable Info'!U106))</f>
        <v>#N/A</v>
      </c>
      <c r="BG107" s="121" t="e">
        <f t="shared" si="51"/>
        <v>#N/A</v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e">
        <f>IF('Cable Info'!R107="","",CONCATENATE('Cable Info'!R107," - ",'Cable Info'!S107))</f>
        <v>#N/A</v>
      </c>
      <c r="BB108" s="121" t="e">
        <f t="shared" si="50"/>
        <v>#N/A</v>
      </c>
      <c r="BD108" s="121" t="e">
        <f>IF('Cable Info'!T107="","",CONCATENATE('Cable Info'!T107," - ",'Cable Info'!U107))</f>
        <v>#N/A</v>
      </c>
      <c r="BG108" s="121" t="e">
        <f t="shared" si="51"/>
        <v>#N/A</v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e">
        <f>IF('Cable Info'!R108="","",CONCATENATE('Cable Info'!R108," - ",'Cable Info'!S108))</f>
        <v>#N/A</v>
      </c>
      <c r="BB109" s="121" t="e">
        <f t="shared" si="50"/>
        <v>#N/A</v>
      </c>
      <c r="BD109" s="121" t="e">
        <f>IF('Cable Info'!T108="","",CONCATENATE('Cable Info'!T108," - ",'Cable Info'!U108))</f>
        <v>#N/A</v>
      </c>
      <c r="BG109" s="121" t="e">
        <f t="shared" si="51"/>
        <v>#N/A</v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e">
        <f>IF('Cable Info'!R109="","",CONCATENATE('Cable Info'!R109," - ",'Cable Info'!S109))</f>
        <v>#N/A</v>
      </c>
      <c r="BB110" s="121" t="e">
        <f t="shared" si="50"/>
        <v>#N/A</v>
      </c>
      <c r="BD110" s="121" t="e">
        <f>IF('Cable Info'!T109="","",CONCATENATE('Cable Info'!T109," - ",'Cable Info'!U109))</f>
        <v>#N/A</v>
      </c>
      <c r="BG110" s="121" t="e">
        <f t="shared" si="51"/>
        <v>#N/A</v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e">
        <f>IF('Cable Info'!R110="","",CONCATENATE('Cable Info'!R110," - ",'Cable Info'!S110))</f>
        <v>#N/A</v>
      </c>
      <c r="BB111" s="121" t="e">
        <f t="shared" si="50"/>
        <v>#N/A</v>
      </c>
      <c r="BD111" s="121" t="e">
        <f>IF('Cable Info'!T110="","",CONCATENATE('Cable Info'!T110," - ",'Cable Info'!U110))</f>
        <v>#N/A</v>
      </c>
      <c r="BG111" s="121" t="e">
        <f t="shared" si="51"/>
        <v>#N/A</v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e">
        <f>IF('Cable Info'!R111="","",CONCATENATE('Cable Info'!R111," - ",'Cable Info'!S111))</f>
        <v>#N/A</v>
      </c>
      <c r="BB112" s="121" t="e">
        <f t="shared" si="50"/>
        <v>#N/A</v>
      </c>
      <c r="BD112" s="121" t="e">
        <f>IF('Cable Info'!T111="","",CONCATENATE('Cable Info'!T111," - ",'Cable Info'!U111))</f>
        <v>#N/A</v>
      </c>
      <c r="BG112" s="121" t="e">
        <f t="shared" si="51"/>
        <v>#N/A</v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e">
        <f>IF('Cable Info'!R112="","",CONCATENATE('Cable Info'!R112," - ",'Cable Info'!S112))</f>
        <v>#N/A</v>
      </c>
      <c r="BB113" s="121" t="e">
        <f t="shared" si="50"/>
        <v>#N/A</v>
      </c>
      <c r="BD113" s="121" t="e">
        <f>IF('Cable Info'!T112="","",CONCATENATE('Cable Info'!T112," - ",'Cable Info'!U112))</f>
        <v>#N/A</v>
      </c>
      <c r="BG113" s="121" t="e">
        <f t="shared" si="51"/>
        <v>#N/A</v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e">
        <f>IF('Cable Info'!R113="","",CONCATENATE('Cable Info'!R113," - ",'Cable Info'!S113))</f>
        <v>#N/A</v>
      </c>
      <c r="BB114" s="121" t="e">
        <f t="shared" si="50"/>
        <v>#N/A</v>
      </c>
      <c r="BD114" s="121" t="e">
        <f>IF('Cable Info'!T113="","",CONCATENATE('Cable Info'!T113," - ",'Cable Info'!U113))</f>
        <v>#N/A</v>
      </c>
      <c r="BG114" s="121" t="e">
        <f t="shared" si="51"/>
        <v>#N/A</v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e">
        <f>IF('Cable Info'!R114="","",CONCATENATE('Cable Info'!R114," - ",'Cable Info'!S114))</f>
        <v>#N/A</v>
      </c>
      <c r="BB115" s="121" t="e">
        <f t="shared" si="50"/>
        <v>#N/A</v>
      </c>
      <c r="BD115" s="121" t="e">
        <f>IF('Cable Info'!T114="","",CONCATENATE('Cable Info'!T114," - ",'Cable Info'!U114))</f>
        <v>#N/A</v>
      </c>
      <c r="BG115" s="121" t="e">
        <f t="shared" si="51"/>
        <v>#N/A</v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e">
        <f>IF('Cable Info'!R115="","",CONCATENATE('Cable Info'!R115," - ",'Cable Info'!S115))</f>
        <v>#N/A</v>
      </c>
      <c r="BB116" s="121" t="e">
        <f t="shared" si="50"/>
        <v>#N/A</v>
      </c>
      <c r="BD116" s="121" t="e">
        <f>IF('Cable Info'!T115="","",CONCATENATE('Cable Info'!T115," - ",'Cable Info'!U115))</f>
        <v>#N/A</v>
      </c>
      <c r="BG116" s="121" t="e">
        <f t="shared" si="51"/>
        <v>#N/A</v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e">
        <f>IF('Cable Info'!R116="","",CONCATENATE('Cable Info'!R116," - ",'Cable Info'!S116))</f>
        <v>#N/A</v>
      </c>
      <c r="BB117" s="121" t="e">
        <f t="shared" si="50"/>
        <v>#N/A</v>
      </c>
      <c r="BD117" s="121" t="e">
        <f>IF('Cable Info'!T116="","",CONCATENATE('Cable Info'!T116," - ",'Cable Info'!U116))</f>
        <v>#N/A</v>
      </c>
      <c r="BG117" s="121" t="e">
        <f t="shared" si="51"/>
        <v>#N/A</v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e">
        <f>IF('Cable Info'!R117="","",CONCATENATE('Cable Info'!R117," - ",'Cable Info'!S117))</f>
        <v>#N/A</v>
      </c>
      <c r="BB118" s="121" t="e">
        <f t="shared" si="50"/>
        <v>#N/A</v>
      </c>
      <c r="BD118" s="121" t="e">
        <f>IF('Cable Info'!T117="","",CONCATENATE('Cable Info'!T117," - ",'Cable Info'!U117))</f>
        <v>#N/A</v>
      </c>
      <c r="BG118" s="121" t="e">
        <f t="shared" si="51"/>
        <v>#N/A</v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e">
        <f>IF('Cable Info'!R118="","",CONCATENATE('Cable Info'!R118," - ",'Cable Info'!S118))</f>
        <v>#N/A</v>
      </c>
      <c r="BB119" s="121" t="e">
        <f t="shared" si="50"/>
        <v>#N/A</v>
      </c>
      <c r="BD119" s="121" t="e">
        <f>IF('Cable Info'!T118="","",CONCATENATE('Cable Info'!T118," - ",'Cable Info'!U118))</f>
        <v>#N/A</v>
      </c>
      <c r="BG119" s="121" t="e">
        <f t="shared" si="51"/>
        <v>#N/A</v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e">
        <f>IF('Cable Info'!R119="","",CONCATENATE('Cable Info'!R119," - ",'Cable Info'!S119))</f>
        <v>#N/A</v>
      </c>
      <c r="BB120" s="121" t="e">
        <f t="shared" si="50"/>
        <v>#N/A</v>
      </c>
      <c r="BD120" s="121" t="e">
        <f>IF('Cable Info'!T119="","",CONCATENATE('Cable Info'!T119," - ",'Cable Info'!U119))</f>
        <v>#N/A</v>
      </c>
      <c r="BG120" s="121" t="e">
        <f t="shared" si="51"/>
        <v>#N/A</v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e">
        <f>IF('Cable Info'!R120="","",CONCATENATE('Cable Info'!R120," - ",'Cable Info'!S120))</f>
        <v>#N/A</v>
      </c>
      <c r="BB121" s="121" t="e">
        <f t="shared" si="50"/>
        <v>#N/A</v>
      </c>
      <c r="BD121" s="121" t="e">
        <f>IF('Cable Info'!T120="","",CONCATENATE('Cable Info'!T120," - ",'Cable Info'!U120))</f>
        <v>#N/A</v>
      </c>
      <c r="BG121" s="121" t="e">
        <f t="shared" si="51"/>
        <v>#N/A</v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e">
        <f>IF('Cable Info'!R121="","",CONCATENATE('Cable Info'!R121," - ",'Cable Info'!S121))</f>
        <v>#N/A</v>
      </c>
      <c r="BB122" s="121" t="e">
        <f t="shared" si="50"/>
        <v>#N/A</v>
      </c>
      <c r="BD122" s="121" t="e">
        <f>IF('Cable Info'!T121="","",CONCATENATE('Cable Info'!T121," - ",'Cable Info'!U121))</f>
        <v>#N/A</v>
      </c>
      <c r="BG122" s="121" t="e">
        <f t="shared" si="51"/>
        <v>#N/A</v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e">
        <f>IF('Cable Info'!R122="","",CONCATENATE('Cable Info'!R122," - ",'Cable Info'!S122))</f>
        <v>#N/A</v>
      </c>
      <c r="BB123" s="121" t="e">
        <f t="shared" si="50"/>
        <v>#N/A</v>
      </c>
      <c r="BD123" s="121" t="e">
        <f>IF('Cable Info'!T122="","",CONCATENATE('Cable Info'!T122," - ",'Cable Info'!U122))</f>
        <v>#N/A</v>
      </c>
      <c r="BG123" s="121" t="e">
        <f t="shared" si="51"/>
        <v>#N/A</v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e">
        <f>IF('Cable Info'!R123="","",CONCATENATE('Cable Info'!R123," - ",'Cable Info'!S123))</f>
        <v>#N/A</v>
      </c>
      <c r="BB124" s="121" t="e">
        <f t="shared" si="50"/>
        <v>#N/A</v>
      </c>
      <c r="BD124" s="121" t="e">
        <f>IF('Cable Info'!T123="","",CONCATENATE('Cable Info'!T123," - ",'Cable Info'!U123))</f>
        <v>#N/A</v>
      </c>
      <c r="BG124" s="121" t="e">
        <f t="shared" si="51"/>
        <v>#N/A</v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e">
        <f>IF('Cable Info'!R124="","",CONCATENATE('Cable Info'!R124," - ",'Cable Info'!S124))</f>
        <v>#N/A</v>
      </c>
      <c r="BB125" s="121" t="e">
        <f t="shared" si="50"/>
        <v>#N/A</v>
      </c>
      <c r="BD125" s="121" t="e">
        <f>IF('Cable Info'!T124="","",CONCATENATE('Cable Info'!T124," - ",'Cable Info'!U124))</f>
        <v>#N/A</v>
      </c>
      <c r="BG125" s="121" t="e">
        <f t="shared" si="51"/>
        <v>#N/A</v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e">
        <f>IF('Cable Info'!R125="","",CONCATENATE('Cable Info'!R125," - ",'Cable Info'!S125))</f>
        <v>#N/A</v>
      </c>
      <c r="BB126" s="121" t="e">
        <f t="shared" si="50"/>
        <v>#N/A</v>
      </c>
      <c r="BD126" s="121" t="e">
        <f>IF('Cable Info'!T125="","",CONCATENATE('Cable Info'!T125," - ",'Cable Info'!U125))</f>
        <v>#N/A</v>
      </c>
      <c r="BG126" s="121" t="e">
        <f t="shared" si="51"/>
        <v>#N/A</v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e">
        <f>IF('Cable Info'!R126="","",CONCATENATE('Cable Info'!R126," - ",'Cable Info'!S126))</f>
        <v>#N/A</v>
      </c>
      <c r="BB127" s="121" t="e">
        <f t="shared" si="50"/>
        <v>#N/A</v>
      </c>
      <c r="BD127" s="121" t="e">
        <f>IF('Cable Info'!T126="","",CONCATENATE('Cable Info'!T126," - ",'Cable Info'!U126))</f>
        <v>#N/A</v>
      </c>
      <c r="BG127" s="121" t="e">
        <f t="shared" si="51"/>
        <v>#N/A</v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e">
        <f>IF('Cable Info'!R127="","",CONCATENATE('Cable Info'!R127," - ",'Cable Info'!S127))</f>
        <v>#N/A</v>
      </c>
      <c r="BB128" s="121" t="e">
        <f t="shared" si="50"/>
        <v>#N/A</v>
      </c>
      <c r="BD128" s="121" t="e">
        <f>IF('Cable Info'!T127="","",CONCATENATE('Cable Info'!T127," - ",'Cable Info'!U127))</f>
        <v>#N/A</v>
      </c>
      <c r="BG128" s="121" t="e">
        <f t="shared" si="51"/>
        <v>#N/A</v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e">
        <f>IF('Cable Info'!R128="","",CONCATENATE('Cable Info'!R128," - ",'Cable Info'!S128))</f>
        <v>#N/A</v>
      </c>
      <c r="BB129" s="121" t="e">
        <f t="shared" si="50"/>
        <v>#N/A</v>
      </c>
      <c r="BD129" s="121" t="e">
        <f>IF('Cable Info'!T128="","",CONCATENATE('Cable Info'!T128," - ",'Cable Info'!U128))</f>
        <v>#N/A</v>
      </c>
      <c r="BG129" s="121" t="e">
        <f t="shared" si="51"/>
        <v>#N/A</v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e">
        <f>IF('Cable Info'!R129="","",CONCATENATE('Cable Info'!R129," - ",'Cable Info'!S129))</f>
        <v>#N/A</v>
      </c>
      <c r="BB130" s="121" t="e">
        <f t="shared" si="50"/>
        <v>#N/A</v>
      </c>
      <c r="BD130" s="121" t="e">
        <f>IF('Cable Info'!T129="","",CONCATENATE('Cable Info'!T129," - ",'Cable Info'!U129))</f>
        <v>#N/A</v>
      </c>
      <c r="BG130" s="121" t="e">
        <f t="shared" si="51"/>
        <v>#N/A</v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e">
        <f>IF('Cable Info'!R130="","",CONCATENATE('Cable Info'!R130," - ",'Cable Info'!S130))</f>
        <v>#N/A</v>
      </c>
      <c r="BB131" s="121" t="e">
        <f t="shared" si="50"/>
        <v>#N/A</v>
      </c>
      <c r="BD131" s="121" t="e">
        <f>IF('Cable Info'!T130="","",CONCATENATE('Cable Info'!T130," - ",'Cable Info'!U130))</f>
        <v>#N/A</v>
      </c>
      <c r="BG131" s="121" t="e">
        <f t="shared" si="51"/>
        <v>#N/A</v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e">
        <f>IF('Cable Info'!R131="","",CONCATENATE('Cable Info'!R131," - ",'Cable Info'!S131))</f>
        <v>#N/A</v>
      </c>
      <c r="BB132" s="121" t="e">
        <f t="shared" si="50"/>
        <v>#N/A</v>
      </c>
      <c r="BD132" s="121" t="e">
        <f>IF('Cable Info'!T131="","",CONCATENATE('Cable Info'!T131," - ",'Cable Info'!U131))</f>
        <v>#N/A</v>
      </c>
      <c r="BG132" s="121" t="e">
        <f t="shared" si="51"/>
        <v>#N/A</v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e">
        <f>IF('Cable Info'!R132="","",CONCATENATE('Cable Info'!R132," - ",'Cable Info'!S132))</f>
        <v>#N/A</v>
      </c>
      <c r="BB133" s="121" t="e">
        <f t="shared" si="50"/>
        <v>#N/A</v>
      </c>
      <c r="BD133" s="121" t="e">
        <f>IF('Cable Info'!T132="","",CONCATENATE('Cable Info'!T132," - ",'Cable Info'!U132))</f>
        <v>#N/A</v>
      </c>
      <c r="BG133" s="121" t="e">
        <f t="shared" si="51"/>
        <v>#N/A</v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e">
        <f>IF('Cable Info'!R133="","",CONCATENATE('Cable Info'!R133," - ",'Cable Info'!S133))</f>
        <v>#N/A</v>
      </c>
      <c r="BB134" s="121" t="e">
        <f t="shared" si="50"/>
        <v>#N/A</v>
      </c>
      <c r="BD134" s="121" t="e">
        <f>IF('Cable Info'!T133="","",CONCATENATE('Cable Info'!T133," - ",'Cable Info'!U133))</f>
        <v>#N/A</v>
      </c>
      <c r="BG134" s="121" t="e">
        <f t="shared" si="51"/>
        <v>#N/A</v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e">
        <f>IF('Cable Info'!R134="","",CONCATENATE('Cable Info'!R134," - ",'Cable Info'!S134))</f>
        <v>#N/A</v>
      </c>
      <c r="BB135" s="121" t="e">
        <f t="shared" si="50"/>
        <v>#N/A</v>
      </c>
      <c r="BD135" s="121" t="e">
        <f>IF('Cable Info'!T134="","",CONCATENATE('Cable Info'!T134," - ",'Cable Info'!U134))</f>
        <v>#N/A</v>
      </c>
      <c r="BG135" s="121" t="e">
        <f t="shared" si="51"/>
        <v>#N/A</v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e">
        <f>IF('Cable Info'!R135="","",CONCATENATE('Cable Info'!R135," - ",'Cable Info'!S135))</f>
        <v>#N/A</v>
      </c>
      <c r="BB136" s="121" t="e">
        <f t="shared" si="50"/>
        <v>#N/A</v>
      </c>
      <c r="BD136" s="121" t="e">
        <f>IF('Cable Info'!T135="","",CONCATENATE('Cable Info'!T135," - ",'Cable Info'!U135))</f>
        <v>#N/A</v>
      </c>
      <c r="BG136" s="121" t="e">
        <f t="shared" si="51"/>
        <v>#N/A</v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e">
        <f>IF('Cable Info'!R136="","",CONCATENATE('Cable Info'!R136," - ",'Cable Info'!S136))</f>
        <v>#N/A</v>
      </c>
      <c r="BB137" s="121" t="e">
        <f t="shared" si="50"/>
        <v>#N/A</v>
      </c>
      <c r="BD137" s="121" t="e">
        <f>IF('Cable Info'!T136="","",CONCATENATE('Cable Info'!T136," - ",'Cable Info'!U136))</f>
        <v>#N/A</v>
      </c>
      <c r="BG137" s="121" t="e">
        <f t="shared" si="51"/>
        <v>#N/A</v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e">
        <f>IF('Cable Info'!R137="","",CONCATENATE('Cable Info'!R137," - ",'Cable Info'!S137))</f>
        <v>#N/A</v>
      </c>
      <c r="BB138" s="121" t="e">
        <f t="shared" si="50"/>
        <v>#N/A</v>
      </c>
      <c r="BD138" s="121" t="e">
        <f>IF('Cable Info'!T137="","",CONCATENATE('Cable Info'!T137," - ",'Cable Info'!U137))</f>
        <v>#N/A</v>
      </c>
      <c r="BG138" s="121" t="e">
        <f t="shared" si="51"/>
        <v>#N/A</v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e">
        <f>IF('Cable Info'!R138="","",CONCATENATE('Cable Info'!R138," - ",'Cable Info'!S138))</f>
        <v>#N/A</v>
      </c>
      <c r="BB139" s="121" t="e">
        <f t="shared" si="50"/>
        <v>#N/A</v>
      </c>
      <c r="BD139" s="121" t="e">
        <f>IF('Cable Info'!T138="","",CONCATENATE('Cable Info'!T138," - ",'Cable Info'!U138))</f>
        <v>#N/A</v>
      </c>
      <c r="BG139" s="121" t="e">
        <f t="shared" si="51"/>
        <v>#N/A</v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e">
        <f>IF('Cable Info'!R139="","",CONCATENATE('Cable Info'!R139," - ",'Cable Info'!S139))</f>
        <v>#N/A</v>
      </c>
      <c r="BB140" s="121" t="e">
        <f t="shared" si="50"/>
        <v>#N/A</v>
      </c>
      <c r="BD140" s="121" t="e">
        <f>IF('Cable Info'!T139="","",CONCATENATE('Cable Info'!T139," - ",'Cable Info'!U139))</f>
        <v>#N/A</v>
      </c>
      <c r="BG140" s="121" t="e">
        <f t="shared" si="51"/>
        <v>#N/A</v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e">
        <f>IF('Cable Info'!R140="","",CONCATENATE('Cable Info'!R140," - ",'Cable Info'!S140))</f>
        <v>#N/A</v>
      </c>
      <c r="BB141" s="121" t="e">
        <f t="shared" ref="BB141:BB204" si="62">IF(AZ141="",AY141,CONCATENATE(AY141,"  &lt;=&gt; ",AZ141," ",BA141))</f>
        <v>#N/A</v>
      </c>
      <c r="BD141" s="121" t="e">
        <f>IF('Cable Info'!T140="","",CONCATENATE('Cable Info'!T140," - ",'Cable Info'!U140))</f>
        <v>#N/A</v>
      </c>
      <c r="BG141" s="121" t="e">
        <f t="shared" ref="BG141:BG204" si="63">IF(BE141="",BD141,CONCATENATE(BD141,"  &lt;=&gt; ",BE141," ",BF141))</f>
        <v>#N/A</v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e">
        <f>IF('Cable Info'!R141="","",CONCATENATE('Cable Info'!R141," - ",'Cable Info'!S141))</f>
        <v>#N/A</v>
      </c>
      <c r="BB142" s="121" t="e">
        <f t="shared" si="62"/>
        <v>#N/A</v>
      </c>
      <c r="BD142" s="121" t="e">
        <f>IF('Cable Info'!T141="","",CONCATENATE('Cable Info'!T141," - ",'Cable Info'!U141))</f>
        <v>#N/A</v>
      </c>
      <c r="BG142" s="121" t="e">
        <f t="shared" si="63"/>
        <v>#N/A</v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e">
        <f>IF('Cable Info'!R142="","",CONCATENATE('Cable Info'!R142," - ",'Cable Info'!S142))</f>
        <v>#N/A</v>
      </c>
      <c r="BB143" s="121" t="e">
        <f t="shared" si="62"/>
        <v>#N/A</v>
      </c>
      <c r="BD143" s="121" t="e">
        <f>IF('Cable Info'!T142="","",CONCATENATE('Cable Info'!T142," - ",'Cable Info'!U142))</f>
        <v>#N/A</v>
      </c>
      <c r="BG143" s="121" t="e">
        <f t="shared" si="63"/>
        <v>#N/A</v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e">
        <f>IF('Cable Info'!R143="","",CONCATENATE('Cable Info'!R143," - ",'Cable Info'!S143))</f>
        <v>#N/A</v>
      </c>
      <c r="BB144" s="121" t="e">
        <f t="shared" si="62"/>
        <v>#N/A</v>
      </c>
      <c r="BD144" s="121" t="e">
        <f>IF('Cable Info'!T143="","",CONCATENATE('Cable Info'!T143," - ",'Cable Info'!U143))</f>
        <v>#N/A</v>
      </c>
      <c r="BG144" s="121" t="e">
        <f t="shared" si="63"/>
        <v>#N/A</v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e">
        <f>IF('Cable Info'!R144="","",CONCATENATE('Cable Info'!R144," - ",'Cable Info'!S144))</f>
        <v>#N/A</v>
      </c>
      <c r="BB145" s="121" t="e">
        <f t="shared" si="62"/>
        <v>#N/A</v>
      </c>
      <c r="BD145" s="121" t="e">
        <f>IF('Cable Info'!T144="","",CONCATENATE('Cable Info'!T144," - ",'Cable Info'!U144))</f>
        <v>#N/A</v>
      </c>
      <c r="BG145" s="121" t="e">
        <f t="shared" si="63"/>
        <v>#N/A</v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e">
        <f>IF('Cable Info'!R145="","",CONCATENATE('Cable Info'!R145," - ",'Cable Info'!S145))</f>
        <v>#N/A</v>
      </c>
      <c r="BB146" s="121" t="e">
        <f t="shared" si="62"/>
        <v>#N/A</v>
      </c>
      <c r="BD146" s="121" t="e">
        <f>IF('Cable Info'!T145="","",CONCATENATE('Cable Info'!T145," - ",'Cable Info'!U145))</f>
        <v>#N/A</v>
      </c>
      <c r="BG146" s="121" t="e">
        <f t="shared" si="63"/>
        <v>#N/A</v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e">
        <f>IF('Cable Info'!R146="","",CONCATENATE('Cable Info'!R146," - ",'Cable Info'!S146))</f>
        <v>#N/A</v>
      </c>
      <c r="BB147" s="121" t="e">
        <f t="shared" si="62"/>
        <v>#N/A</v>
      </c>
      <c r="BD147" s="121" t="e">
        <f>IF('Cable Info'!T146="","",CONCATENATE('Cable Info'!T146," - ",'Cable Info'!U146))</f>
        <v>#N/A</v>
      </c>
      <c r="BG147" s="121" t="e">
        <f t="shared" si="63"/>
        <v>#N/A</v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e">
        <f>IF('Cable Info'!R147="","",CONCATENATE('Cable Info'!R147," - ",'Cable Info'!S147))</f>
        <v>#N/A</v>
      </c>
      <c r="BB148" s="121" t="e">
        <f t="shared" si="62"/>
        <v>#N/A</v>
      </c>
      <c r="BD148" s="121" t="e">
        <f>IF('Cable Info'!T147="","",CONCATENATE('Cable Info'!T147," - ",'Cable Info'!U147))</f>
        <v>#N/A</v>
      </c>
      <c r="BG148" s="121" t="e">
        <f t="shared" si="63"/>
        <v>#N/A</v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e">
        <f>IF('Cable Info'!R148="","",CONCATENATE('Cable Info'!R148," - ",'Cable Info'!S148))</f>
        <v>#N/A</v>
      </c>
      <c r="BB149" s="121" t="e">
        <f t="shared" si="62"/>
        <v>#N/A</v>
      </c>
      <c r="BD149" s="121" t="e">
        <f>IF('Cable Info'!T148="","",CONCATENATE('Cable Info'!T148," - ",'Cable Info'!U148))</f>
        <v>#N/A</v>
      </c>
      <c r="BG149" s="121" t="e">
        <f t="shared" si="63"/>
        <v>#N/A</v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e">
        <f>IF('Cable Info'!R149="","",CONCATENATE('Cable Info'!R149," - ",'Cable Info'!S149))</f>
        <v>#N/A</v>
      </c>
      <c r="BB150" s="121" t="e">
        <f t="shared" si="62"/>
        <v>#N/A</v>
      </c>
      <c r="BD150" s="121" t="e">
        <f>IF('Cable Info'!T149="","",CONCATENATE('Cable Info'!T149," - ",'Cable Info'!U149))</f>
        <v>#N/A</v>
      </c>
      <c r="BG150" s="121" t="e">
        <f t="shared" si="63"/>
        <v>#N/A</v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e">
        <f>IF('Cable Info'!R150="","",CONCATENATE('Cable Info'!R150," - ",'Cable Info'!S150))</f>
        <v>#N/A</v>
      </c>
      <c r="BB151" s="121" t="e">
        <f t="shared" si="62"/>
        <v>#N/A</v>
      </c>
      <c r="BD151" s="121" t="e">
        <f>IF('Cable Info'!T150="","",CONCATENATE('Cable Info'!T150," - ",'Cable Info'!U150))</f>
        <v>#N/A</v>
      </c>
      <c r="BG151" s="121" t="e">
        <f t="shared" si="63"/>
        <v>#N/A</v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e">
        <f>IF('Cable Info'!R151="","",CONCATENATE('Cable Info'!R151," - ",'Cable Info'!S151))</f>
        <v>#N/A</v>
      </c>
      <c r="BB152" s="121" t="e">
        <f t="shared" si="62"/>
        <v>#N/A</v>
      </c>
      <c r="BD152" s="121" t="e">
        <f>IF('Cable Info'!T151="","",CONCATENATE('Cable Info'!T151," - ",'Cable Info'!U151))</f>
        <v>#N/A</v>
      </c>
      <c r="BG152" s="121" t="e">
        <f t="shared" si="63"/>
        <v>#N/A</v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e">
        <f>IF('Cable Info'!R152="","",CONCATENATE('Cable Info'!R152," - ",'Cable Info'!S152))</f>
        <v>#N/A</v>
      </c>
      <c r="BB153" s="121" t="e">
        <f t="shared" si="62"/>
        <v>#N/A</v>
      </c>
      <c r="BD153" s="121" t="e">
        <f>IF('Cable Info'!T152="","",CONCATENATE('Cable Info'!T152," - ",'Cable Info'!U152))</f>
        <v>#N/A</v>
      </c>
      <c r="BG153" s="121" t="e">
        <f t="shared" si="63"/>
        <v>#N/A</v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e">
        <f>IF('Cable Info'!R153="","",CONCATENATE('Cable Info'!R153," - ",'Cable Info'!S153))</f>
        <v>#N/A</v>
      </c>
      <c r="BB154" s="121" t="e">
        <f t="shared" si="62"/>
        <v>#N/A</v>
      </c>
      <c r="BD154" s="121" t="e">
        <f>IF('Cable Info'!T153="","",CONCATENATE('Cable Info'!T153," - ",'Cable Info'!U153))</f>
        <v>#N/A</v>
      </c>
      <c r="BG154" s="121" t="e">
        <f t="shared" si="63"/>
        <v>#N/A</v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e">
        <f>IF('Cable Info'!R154="","",CONCATENATE('Cable Info'!R154," - ",'Cable Info'!S154))</f>
        <v>#N/A</v>
      </c>
      <c r="BB155" s="121" t="e">
        <f t="shared" si="62"/>
        <v>#N/A</v>
      </c>
      <c r="BD155" s="121" t="e">
        <f>IF('Cable Info'!T154="","",CONCATENATE('Cable Info'!T154," - ",'Cable Info'!U154))</f>
        <v>#N/A</v>
      </c>
      <c r="BG155" s="121" t="e">
        <f t="shared" si="63"/>
        <v>#N/A</v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e">
        <f>IF('Cable Info'!R155="","",CONCATENATE('Cable Info'!R155," - ",'Cable Info'!S155))</f>
        <v>#N/A</v>
      </c>
      <c r="BB156" s="121" t="e">
        <f t="shared" si="62"/>
        <v>#N/A</v>
      </c>
      <c r="BD156" s="121" t="e">
        <f>IF('Cable Info'!T155="","",CONCATENATE('Cable Info'!T155," - ",'Cable Info'!U155))</f>
        <v>#N/A</v>
      </c>
      <c r="BG156" s="121" t="e">
        <f t="shared" si="63"/>
        <v>#N/A</v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e">
        <f>IF('Cable Info'!R156="","",CONCATENATE('Cable Info'!R156," - ",'Cable Info'!S156))</f>
        <v>#N/A</v>
      </c>
      <c r="BB157" s="121" t="e">
        <f t="shared" si="62"/>
        <v>#N/A</v>
      </c>
      <c r="BD157" s="121" t="e">
        <f>IF('Cable Info'!T156="","",CONCATENATE('Cable Info'!T156," - ",'Cable Info'!U156))</f>
        <v>#N/A</v>
      </c>
      <c r="BG157" s="121" t="e">
        <f t="shared" si="63"/>
        <v>#N/A</v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e">
        <f>IF('Cable Info'!R157="","",CONCATENATE('Cable Info'!R157," - ",'Cable Info'!S157))</f>
        <v>#N/A</v>
      </c>
      <c r="BB158" s="121" t="e">
        <f t="shared" si="62"/>
        <v>#N/A</v>
      </c>
      <c r="BD158" s="121" t="e">
        <f>IF('Cable Info'!T157="","",CONCATENATE('Cable Info'!T157," - ",'Cable Info'!U157))</f>
        <v>#N/A</v>
      </c>
      <c r="BG158" s="121" t="e">
        <f t="shared" si="63"/>
        <v>#N/A</v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e">
        <f>IF('Cable Info'!R158="","",CONCATENATE('Cable Info'!R158," - ",'Cable Info'!S158))</f>
        <v>#N/A</v>
      </c>
      <c r="BB159" s="121" t="e">
        <f t="shared" si="62"/>
        <v>#N/A</v>
      </c>
      <c r="BD159" s="121" t="e">
        <f>IF('Cable Info'!T158="","",CONCATENATE('Cable Info'!T158," - ",'Cable Info'!U158))</f>
        <v>#N/A</v>
      </c>
      <c r="BG159" s="121" t="e">
        <f t="shared" si="63"/>
        <v>#N/A</v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e">
        <f>IF('Cable Info'!R159="","",CONCATENATE('Cable Info'!R159," - ",'Cable Info'!S159))</f>
        <v>#N/A</v>
      </c>
      <c r="BB160" s="121" t="e">
        <f t="shared" si="62"/>
        <v>#N/A</v>
      </c>
      <c r="BD160" s="121" t="e">
        <f>IF('Cable Info'!T159="","",CONCATENATE('Cable Info'!T159," - ",'Cable Info'!U159))</f>
        <v>#N/A</v>
      </c>
      <c r="BG160" s="121" t="e">
        <f t="shared" si="63"/>
        <v>#N/A</v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e">
        <f>IF('Cable Info'!R160="","",CONCATENATE('Cable Info'!R160," - ",'Cable Info'!S160))</f>
        <v>#N/A</v>
      </c>
      <c r="BB161" s="121" t="e">
        <f t="shared" si="62"/>
        <v>#N/A</v>
      </c>
      <c r="BD161" s="121" t="e">
        <f>IF('Cable Info'!T160="","",CONCATENATE('Cable Info'!T160," - ",'Cable Info'!U160))</f>
        <v>#N/A</v>
      </c>
      <c r="BG161" s="121" t="e">
        <f t="shared" si="63"/>
        <v>#N/A</v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e">
        <f>IF('Cable Info'!R161="","",CONCATENATE('Cable Info'!R161," - ",'Cable Info'!S161))</f>
        <v>#N/A</v>
      </c>
      <c r="BB162" s="121" t="e">
        <f t="shared" si="62"/>
        <v>#N/A</v>
      </c>
      <c r="BD162" s="121" t="e">
        <f>IF('Cable Info'!T161="","",CONCATENATE('Cable Info'!T161," - ",'Cable Info'!U161))</f>
        <v>#N/A</v>
      </c>
      <c r="BG162" s="121" t="e">
        <f t="shared" si="63"/>
        <v>#N/A</v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e">
        <f>IF('Cable Info'!R162="","",CONCATENATE('Cable Info'!R162," - ",'Cable Info'!S162))</f>
        <v>#N/A</v>
      </c>
      <c r="BB163" s="121" t="e">
        <f t="shared" si="62"/>
        <v>#N/A</v>
      </c>
      <c r="BD163" s="121" t="e">
        <f>IF('Cable Info'!T162="","",CONCATENATE('Cable Info'!T162," - ",'Cable Info'!U162))</f>
        <v>#N/A</v>
      </c>
      <c r="BG163" s="121" t="e">
        <f t="shared" si="63"/>
        <v>#N/A</v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e">
        <f>IF('Cable Info'!R163="","",CONCATENATE('Cable Info'!R163," - ",'Cable Info'!S163))</f>
        <v>#N/A</v>
      </c>
      <c r="BB164" s="121" t="e">
        <f t="shared" si="62"/>
        <v>#N/A</v>
      </c>
      <c r="BD164" s="121" t="e">
        <f>IF('Cable Info'!T163="","",CONCATENATE('Cable Info'!T163," - ",'Cable Info'!U163))</f>
        <v>#N/A</v>
      </c>
      <c r="BG164" s="121" t="e">
        <f t="shared" si="63"/>
        <v>#N/A</v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e">
        <f>IF('Cable Info'!R164="","",CONCATENATE('Cable Info'!R164," - ",'Cable Info'!S164))</f>
        <v>#N/A</v>
      </c>
      <c r="BB165" s="121" t="e">
        <f t="shared" si="62"/>
        <v>#N/A</v>
      </c>
      <c r="BD165" s="121" t="e">
        <f>IF('Cable Info'!T164="","",CONCATENATE('Cable Info'!T164," - ",'Cable Info'!U164))</f>
        <v>#N/A</v>
      </c>
      <c r="BG165" s="121" t="e">
        <f t="shared" si="63"/>
        <v>#N/A</v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e">
        <f>IF('Cable Info'!R165="","",CONCATENATE('Cable Info'!R165," - ",'Cable Info'!S165))</f>
        <v>#N/A</v>
      </c>
      <c r="BB166" s="121" t="e">
        <f t="shared" si="62"/>
        <v>#N/A</v>
      </c>
      <c r="BD166" s="121" t="e">
        <f>IF('Cable Info'!T165="","",CONCATENATE('Cable Info'!T165," - ",'Cable Info'!U165))</f>
        <v>#N/A</v>
      </c>
      <c r="BG166" s="121" t="e">
        <f t="shared" si="63"/>
        <v>#N/A</v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e">
        <f>IF('Cable Info'!R166="","",CONCATENATE('Cable Info'!R166," - ",'Cable Info'!S166))</f>
        <v>#N/A</v>
      </c>
      <c r="BB167" s="121" t="e">
        <f t="shared" si="62"/>
        <v>#N/A</v>
      </c>
      <c r="BD167" s="121" t="e">
        <f>IF('Cable Info'!T166="","",CONCATENATE('Cable Info'!T166," - ",'Cable Info'!U166))</f>
        <v>#N/A</v>
      </c>
      <c r="BG167" s="121" t="e">
        <f t="shared" si="63"/>
        <v>#N/A</v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e">
        <f>IF('Cable Info'!R167="","",CONCATENATE('Cable Info'!R167," - ",'Cable Info'!S167))</f>
        <v>#N/A</v>
      </c>
      <c r="BB168" s="121" t="e">
        <f t="shared" si="62"/>
        <v>#N/A</v>
      </c>
      <c r="BD168" s="121" t="e">
        <f>IF('Cable Info'!T167="","",CONCATENATE('Cable Info'!T167," - ",'Cable Info'!U167))</f>
        <v>#N/A</v>
      </c>
      <c r="BG168" s="121" t="e">
        <f t="shared" si="63"/>
        <v>#N/A</v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e">
        <f>IF('Cable Info'!R168="","",CONCATENATE('Cable Info'!R168," - ",'Cable Info'!S168))</f>
        <v>#N/A</v>
      </c>
      <c r="BB169" s="121" t="e">
        <f t="shared" si="62"/>
        <v>#N/A</v>
      </c>
      <c r="BD169" s="121" t="e">
        <f>IF('Cable Info'!T168="","",CONCATENATE('Cable Info'!T168," - ",'Cable Info'!U168))</f>
        <v>#N/A</v>
      </c>
      <c r="BG169" s="121" t="e">
        <f t="shared" si="63"/>
        <v>#N/A</v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e">
        <f>IF('Cable Info'!R169="","",CONCATENATE('Cable Info'!R169," - ",'Cable Info'!S169))</f>
        <v>#N/A</v>
      </c>
      <c r="BB170" s="121" t="e">
        <f t="shared" si="62"/>
        <v>#N/A</v>
      </c>
      <c r="BD170" s="121" t="e">
        <f>IF('Cable Info'!T169="","",CONCATENATE('Cable Info'!T169," - ",'Cable Info'!U169))</f>
        <v>#N/A</v>
      </c>
      <c r="BG170" s="121" t="e">
        <f t="shared" si="63"/>
        <v>#N/A</v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e">
        <f>IF('Cable Info'!R170="","",CONCATENATE('Cable Info'!R170," - ",'Cable Info'!S170))</f>
        <v>#N/A</v>
      </c>
      <c r="BB171" s="121" t="e">
        <f t="shared" si="62"/>
        <v>#N/A</v>
      </c>
      <c r="BD171" s="121" t="e">
        <f>IF('Cable Info'!T170="","",CONCATENATE('Cable Info'!T170," - ",'Cable Info'!U170))</f>
        <v>#N/A</v>
      </c>
      <c r="BG171" s="121" t="e">
        <f t="shared" si="63"/>
        <v>#N/A</v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e">
        <f>IF('Cable Info'!R171="","",CONCATENATE('Cable Info'!R171," - ",'Cable Info'!S171))</f>
        <v>#N/A</v>
      </c>
      <c r="BB172" s="121" t="e">
        <f t="shared" si="62"/>
        <v>#N/A</v>
      </c>
      <c r="BD172" s="121" t="e">
        <f>IF('Cable Info'!T171="","",CONCATENATE('Cable Info'!T171," - ",'Cable Info'!U171))</f>
        <v>#N/A</v>
      </c>
      <c r="BG172" s="121" t="e">
        <f t="shared" si="63"/>
        <v>#N/A</v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e">
        <f>IF('Cable Info'!R172="","",CONCATENATE('Cable Info'!R172," - ",'Cable Info'!S172))</f>
        <v>#N/A</v>
      </c>
      <c r="BB173" s="121" t="e">
        <f t="shared" si="62"/>
        <v>#N/A</v>
      </c>
      <c r="BD173" s="121" t="e">
        <f>IF('Cable Info'!T172="","",CONCATENATE('Cable Info'!T172," - ",'Cable Info'!U172))</f>
        <v>#N/A</v>
      </c>
      <c r="BG173" s="121" t="e">
        <f t="shared" si="63"/>
        <v>#N/A</v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e">
        <f>IF('Cable Info'!R173="","",CONCATENATE('Cable Info'!R173," - ",'Cable Info'!S173))</f>
        <v>#N/A</v>
      </c>
      <c r="BB174" s="121" t="e">
        <f t="shared" si="62"/>
        <v>#N/A</v>
      </c>
      <c r="BD174" s="121" t="e">
        <f>IF('Cable Info'!T173="","",CONCATENATE('Cable Info'!T173," - ",'Cable Info'!U173))</f>
        <v>#N/A</v>
      </c>
      <c r="BG174" s="121" t="e">
        <f t="shared" si="63"/>
        <v>#N/A</v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e">
        <f>IF('Cable Info'!R174="","",CONCATENATE('Cable Info'!R174," - ",'Cable Info'!S174))</f>
        <v>#N/A</v>
      </c>
      <c r="BB175" s="121" t="e">
        <f t="shared" si="62"/>
        <v>#N/A</v>
      </c>
      <c r="BD175" s="121" t="e">
        <f>IF('Cable Info'!T174="","",CONCATENATE('Cable Info'!T174," - ",'Cable Info'!U174))</f>
        <v>#N/A</v>
      </c>
      <c r="BG175" s="121" t="e">
        <f t="shared" si="63"/>
        <v>#N/A</v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e">
        <f>IF('Cable Info'!R175="","",CONCATENATE('Cable Info'!R175," - ",'Cable Info'!S175))</f>
        <v>#N/A</v>
      </c>
      <c r="BB176" s="121" t="e">
        <f t="shared" si="62"/>
        <v>#N/A</v>
      </c>
      <c r="BD176" s="121" t="e">
        <f>IF('Cable Info'!T175="","",CONCATENATE('Cable Info'!T175," - ",'Cable Info'!U175))</f>
        <v>#N/A</v>
      </c>
      <c r="BG176" s="121" t="e">
        <f t="shared" si="63"/>
        <v>#N/A</v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e">
        <f>IF('Cable Info'!R176="","",CONCATENATE('Cable Info'!R176," - ",'Cable Info'!S176))</f>
        <v>#N/A</v>
      </c>
      <c r="BB177" s="121" t="e">
        <f t="shared" si="62"/>
        <v>#N/A</v>
      </c>
      <c r="BD177" s="121" t="e">
        <f>IF('Cable Info'!T176="","",CONCATENATE('Cable Info'!T176," - ",'Cable Info'!U176))</f>
        <v>#N/A</v>
      </c>
      <c r="BG177" s="121" t="e">
        <f t="shared" si="63"/>
        <v>#N/A</v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e">
        <f>IF('Cable Info'!R177="","",CONCATENATE('Cable Info'!R177," - ",'Cable Info'!S177))</f>
        <v>#N/A</v>
      </c>
      <c r="BB178" s="121" t="e">
        <f t="shared" si="62"/>
        <v>#N/A</v>
      </c>
      <c r="BD178" s="121" t="e">
        <f>IF('Cable Info'!T177="","",CONCATENATE('Cable Info'!T177," - ",'Cable Info'!U177))</f>
        <v>#N/A</v>
      </c>
      <c r="BG178" s="121" t="e">
        <f t="shared" si="63"/>
        <v>#N/A</v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e">
        <f>IF('Cable Info'!R178="","",CONCATENATE('Cable Info'!R178," - ",'Cable Info'!S178))</f>
        <v>#N/A</v>
      </c>
      <c r="BB179" s="121" t="e">
        <f t="shared" si="62"/>
        <v>#N/A</v>
      </c>
      <c r="BD179" s="121" t="e">
        <f>IF('Cable Info'!T178="","",CONCATENATE('Cable Info'!T178," - ",'Cable Info'!U178))</f>
        <v>#N/A</v>
      </c>
      <c r="BG179" s="121" t="e">
        <f t="shared" si="63"/>
        <v>#N/A</v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e">
        <f>IF('Cable Info'!R179="","",CONCATENATE('Cable Info'!R179," - ",'Cable Info'!S179))</f>
        <v>#N/A</v>
      </c>
      <c r="BB180" s="121" t="e">
        <f t="shared" si="62"/>
        <v>#N/A</v>
      </c>
      <c r="BD180" s="121" t="e">
        <f>IF('Cable Info'!T179="","",CONCATENATE('Cable Info'!T179," - ",'Cable Info'!U179))</f>
        <v>#N/A</v>
      </c>
      <c r="BG180" s="121" t="e">
        <f t="shared" si="63"/>
        <v>#N/A</v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e">
        <f>IF('Cable Info'!R180="","",CONCATENATE('Cable Info'!R180," - ",'Cable Info'!S180))</f>
        <v>#N/A</v>
      </c>
      <c r="BB181" s="121" t="e">
        <f t="shared" si="62"/>
        <v>#N/A</v>
      </c>
      <c r="BD181" s="121" t="e">
        <f>IF('Cable Info'!T180="","",CONCATENATE('Cable Info'!T180," - ",'Cable Info'!U180))</f>
        <v>#N/A</v>
      </c>
      <c r="BG181" s="121" t="e">
        <f t="shared" si="63"/>
        <v>#N/A</v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e">
        <f>IF('Cable Info'!R181="","",CONCATENATE('Cable Info'!R181," - ",'Cable Info'!S181))</f>
        <v>#N/A</v>
      </c>
      <c r="BB182" s="121" t="e">
        <f t="shared" si="62"/>
        <v>#N/A</v>
      </c>
      <c r="BD182" s="121" t="e">
        <f>IF('Cable Info'!T181="","",CONCATENATE('Cable Info'!T181," - ",'Cable Info'!U181))</f>
        <v>#N/A</v>
      </c>
      <c r="BG182" s="121" t="e">
        <f t="shared" si="63"/>
        <v>#N/A</v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e">
        <f>IF('Cable Info'!R182="","",CONCATENATE('Cable Info'!R182," - ",'Cable Info'!S182))</f>
        <v>#N/A</v>
      </c>
      <c r="BB183" s="121" t="e">
        <f t="shared" si="62"/>
        <v>#N/A</v>
      </c>
      <c r="BD183" s="121" t="e">
        <f>IF('Cable Info'!T182="","",CONCATENATE('Cable Info'!T182," - ",'Cable Info'!U182))</f>
        <v>#N/A</v>
      </c>
      <c r="BG183" s="121" t="e">
        <f t="shared" si="63"/>
        <v>#N/A</v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e">
        <f>IF('Cable Info'!R183="","",CONCATENATE('Cable Info'!R183," - ",'Cable Info'!S183))</f>
        <v>#N/A</v>
      </c>
      <c r="BB184" s="121" t="e">
        <f t="shared" si="62"/>
        <v>#N/A</v>
      </c>
      <c r="BD184" s="121" t="e">
        <f>IF('Cable Info'!T183="","",CONCATENATE('Cable Info'!T183," - ",'Cable Info'!U183))</f>
        <v>#N/A</v>
      </c>
      <c r="BG184" s="121" t="e">
        <f t="shared" si="63"/>
        <v>#N/A</v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e">
        <f>IF('Cable Info'!R184="","",CONCATENATE('Cable Info'!R184," - ",'Cable Info'!S184))</f>
        <v>#N/A</v>
      </c>
      <c r="BB185" s="121" t="e">
        <f t="shared" si="62"/>
        <v>#N/A</v>
      </c>
      <c r="BD185" s="121" t="e">
        <f>IF('Cable Info'!T184="","",CONCATENATE('Cable Info'!T184," - ",'Cable Info'!U184))</f>
        <v>#N/A</v>
      </c>
      <c r="BG185" s="121" t="e">
        <f t="shared" si="63"/>
        <v>#N/A</v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e">
        <f>IF('Cable Info'!R185="","",CONCATENATE('Cable Info'!R185," - ",'Cable Info'!S185))</f>
        <v>#N/A</v>
      </c>
      <c r="BB186" s="121" t="e">
        <f t="shared" si="62"/>
        <v>#N/A</v>
      </c>
      <c r="BD186" s="121" t="e">
        <f>IF('Cable Info'!T185="","",CONCATENATE('Cable Info'!T185," - ",'Cable Info'!U185))</f>
        <v>#N/A</v>
      </c>
      <c r="BG186" s="121" t="e">
        <f t="shared" si="63"/>
        <v>#N/A</v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e">
        <f>IF('Cable Info'!R186="","",CONCATENATE('Cable Info'!R186," - ",'Cable Info'!S186))</f>
        <v>#N/A</v>
      </c>
      <c r="BB187" s="121" t="e">
        <f t="shared" si="62"/>
        <v>#N/A</v>
      </c>
      <c r="BD187" s="121" t="e">
        <f>IF('Cable Info'!T186="","",CONCATENATE('Cable Info'!T186," - ",'Cable Info'!U186))</f>
        <v>#N/A</v>
      </c>
      <c r="BG187" s="121" t="e">
        <f t="shared" si="63"/>
        <v>#N/A</v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e">
        <f>IF('Cable Info'!R187="","",CONCATENATE('Cable Info'!R187," - ",'Cable Info'!S187))</f>
        <v>#N/A</v>
      </c>
      <c r="BB188" s="121" t="e">
        <f t="shared" si="62"/>
        <v>#N/A</v>
      </c>
      <c r="BD188" s="121" t="e">
        <f>IF('Cable Info'!T187="","",CONCATENATE('Cable Info'!T187," - ",'Cable Info'!U187))</f>
        <v>#N/A</v>
      </c>
      <c r="BG188" s="121" t="e">
        <f t="shared" si="63"/>
        <v>#N/A</v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e">
        <f>IF('Cable Info'!R188="","",CONCATENATE('Cable Info'!R188," - ",'Cable Info'!S188))</f>
        <v>#N/A</v>
      </c>
      <c r="BB189" s="121" t="e">
        <f t="shared" si="62"/>
        <v>#N/A</v>
      </c>
      <c r="BD189" s="121" t="e">
        <f>IF('Cable Info'!T188="","",CONCATENATE('Cable Info'!T188," - ",'Cable Info'!U188))</f>
        <v>#N/A</v>
      </c>
      <c r="BG189" s="121" t="e">
        <f t="shared" si="63"/>
        <v>#N/A</v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e">
        <f>IF('Cable Info'!R189="","",CONCATENATE('Cable Info'!R189," - ",'Cable Info'!S189))</f>
        <v>#N/A</v>
      </c>
      <c r="BB190" s="121" t="e">
        <f t="shared" si="62"/>
        <v>#N/A</v>
      </c>
      <c r="BD190" s="121" t="e">
        <f>IF('Cable Info'!T189="","",CONCATENATE('Cable Info'!T189," - ",'Cable Info'!U189))</f>
        <v>#N/A</v>
      </c>
      <c r="BG190" s="121" t="e">
        <f t="shared" si="63"/>
        <v>#N/A</v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e">
        <f>IF('Cable Info'!R190="","",CONCATENATE('Cable Info'!R190," - ",'Cable Info'!S190))</f>
        <v>#N/A</v>
      </c>
      <c r="BB191" s="121" t="e">
        <f t="shared" si="62"/>
        <v>#N/A</v>
      </c>
      <c r="BD191" s="121" t="e">
        <f>IF('Cable Info'!T190="","",CONCATENATE('Cable Info'!T190," - ",'Cable Info'!U190))</f>
        <v>#N/A</v>
      </c>
      <c r="BG191" s="121" t="e">
        <f t="shared" si="63"/>
        <v>#N/A</v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e">
        <f>IF('Cable Info'!R191="","",CONCATENATE('Cable Info'!R191," - ",'Cable Info'!S191))</f>
        <v>#N/A</v>
      </c>
      <c r="BB192" s="121" t="e">
        <f t="shared" si="62"/>
        <v>#N/A</v>
      </c>
      <c r="BD192" s="121" t="e">
        <f>IF('Cable Info'!T191="","",CONCATENATE('Cable Info'!T191," - ",'Cable Info'!U191))</f>
        <v>#N/A</v>
      </c>
      <c r="BG192" s="121" t="e">
        <f t="shared" si="63"/>
        <v>#N/A</v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e">
        <f>IF('Cable Info'!R192="","",CONCATENATE('Cable Info'!R192," - ",'Cable Info'!S192))</f>
        <v>#N/A</v>
      </c>
      <c r="BB193" s="121" t="e">
        <f t="shared" si="62"/>
        <v>#N/A</v>
      </c>
      <c r="BD193" s="121" t="e">
        <f>IF('Cable Info'!T192="","",CONCATENATE('Cable Info'!T192," - ",'Cable Info'!U192))</f>
        <v>#N/A</v>
      </c>
      <c r="BG193" s="121" t="e">
        <f t="shared" si="63"/>
        <v>#N/A</v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e">
        <f>IF('Cable Info'!R193="","",CONCATENATE('Cable Info'!R193," - ",'Cable Info'!S193))</f>
        <v>#N/A</v>
      </c>
      <c r="BB194" s="121" t="e">
        <f t="shared" si="62"/>
        <v>#N/A</v>
      </c>
      <c r="BD194" s="121" t="e">
        <f>IF('Cable Info'!T193="","",CONCATENATE('Cable Info'!T193," - ",'Cable Info'!U193))</f>
        <v>#N/A</v>
      </c>
      <c r="BG194" s="121" t="e">
        <f t="shared" si="63"/>
        <v>#N/A</v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e">
        <f>IF('Cable Info'!R194="","",CONCATENATE('Cable Info'!R194," - ",'Cable Info'!S194))</f>
        <v>#N/A</v>
      </c>
      <c r="BB195" s="121" t="e">
        <f t="shared" si="62"/>
        <v>#N/A</v>
      </c>
      <c r="BD195" s="121" t="e">
        <f>IF('Cable Info'!T194="","",CONCATENATE('Cable Info'!T194," - ",'Cable Info'!U194))</f>
        <v>#N/A</v>
      </c>
      <c r="BG195" s="121" t="e">
        <f t="shared" si="63"/>
        <v>#N/A</v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e">
        <f>IF('Cable Info'!R195="","",CONCATENATE('Cable Info'!R195," - ",'Cable Info'!S195))</f>
        <v>#N/A</v>
      </c>
      <c r="BB196" s="121" t="e">
        <f t="shared" si="62"/>
        <v>#N/A</v>
      </c>
      <c r="BD196" s="121" t="e">
        <f>IF('Cable Info'!T195="","",CONCATENATE('Cable Info'!T195," - ",'Cable Info'!U195))</f>
        <v>#N/A</v>
      </c>
      <c r="BG196" s="121" t="e">
        <f t="shared" si="63"/>
        <v>#N/A</v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e">
        <f>IF('Cable Info'!R196="","",CONCATENATE('Cable Info'!R196," - ",'Cable Info'!S196))</f>
        <v>#N/A</v>
      </c>
      <c r="BB197" s="121" t="e">
        <f t="shared" si="62"/>
        <v>#N/A</v>
      </c>
      <c r="BD197" s="121" t="e">
        <f>IF('Cable Info'!T196="","",CONCATENATE('Cable Info'!T196," - ",'Cable Info'!U196))</f>
        <v>#N/A</v>
      </c>
      <c r="BG197" s="121" t="e">
        <f t="shared" si="63"/>
        <v>#N/A</v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e">
        <f>IF('Cable Info'!R197="","",CONCATENATE('Cable Info'!R197," - ",'Cable Info'!S197))</f>
        <v>#N/A</v>
      </c>
      <c r="BB198" s="121" t="e">
        <f t="shared" si="62"/>
        <v>#N/A</v>
      </c>
      <c r="BD198" s="121" t="e">
        <f>IF('Cable Info'!T197="","",CONCATENATE('Cable Info'!T197," - ",'Cable Info'!U197))</f>
        <v>#N/A</v>
      </c>
      <c r="BG198" s="121" t="e">
        <f t="shared" si="63"/>
        <v>#N/A</v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e">
        <f>IF('Cable Info'!R198="","",CONCATENATE('Cable Info'!R198," - ",'Cable Info'!S198))</f>
        <v>#N/A</v>
      </c>
      <c r="BB199" s="121" t="e">
        <f t="shared" si="62"/>
        <v>#N/A</v>
      </c>
      <c r="BD199" s="121" t="e">
        <f>IF('Cable Info'!T198="","",CONCATENATE('Cable Info'!T198," - ",'Cable Info'!U198))</f>
        <v>#N/A</v>
      </c>
      <c r="BG199" s="121" t="e">
        <f t="shared" si="63"/>
        <v>#N/A</v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e">
        <f>IF('Cable Info'!R199="","",CONCATENATE('Cable Info'!R199," - ",'Cable Info'!S199))</f>
        <v>#N/A</v>
      </c>
      <c r="BB200" s="121" t="e">
        <f t="shared" si="62"/>
        <v>#N/A</v>
      </c>
      <c r="BD200" s="121" t="e">
        <f>IF('Cable Info'!T199="","",CONCATENATE('Cable Info'!T199," - ",'Cable Info'!U199))</f>
        <v>#N/A</v>
      </c>
      <c r="BG200" s="121" t="e">
        <f t="shared" si="63"/>
        <v>#N/A</v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e">
        <f>IF('Cable Info'!R200="","",CONCATENATE('Cable Info'!R200," - ",'Cable Info'!S200))</f>
        <v>#N/A</v>
      </c>
      <c r="BB201" s="121" t="e">
        <f t="shared" si="62"/>
        <v>#N/A</v>
      </c>
      <c r="BD201" s="121" t="e">
        <f>IF('Cable Info'!T200="","",CONCATENATE('Cable Info'!T200," - ",'Cable Info'!U200))</f>
        <v>#N/A</v>
      </c>
      <c r="BG201" s="121" t="e">
        <f t="shared" si="63"/>
        <v>#N/A</v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e">
        <f>IF('Cable Info'!R201="","",CONCATENATE('Cable Info'!R201," - ",'Cable Info'!S201))</f>
        <v>#N/A</v>
      </c>
      <c r="BB202" s="121" t="e">
        <f t="shared" si="62"/>
        <v>#N/A</v>
      </c>
      <c r="BD202" s="121" t="e">
        <f>IF('Cable Info'!T201="","",CONCATENATE('Cable Info'!T201," - ",'Cable Info'!U201))</f>
        <v>#N/A</v>
      </c>
      <c r="BG202" s="121" t="e">
        <f t="shared" si="63"/>
        <v>#N/A</v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e">
        <f>IF('Cable Info'!R202="","",CONCATENATE('Cable Info'!R202," - ",'Cable Info'!S202))</f>
        <v>#N/A</v>
      </c>
      <c r="BB203" s="121" t="e">
        <f t="shared" si="62"/>
        <v>#N/A</v>
      </c>
      <c r="BD203" s="121" t="e">
        <f>IF('Cable Info'!T202="","",CONCATENATE('Cable Info'!T202," - ",'Cable Info'!U202))</f>
        <v>#N/A</v>
      </c>
      <c r="BG203" s="121" t="e">
        <f t="shared" si="63"/>
        <v>#N/A</v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e">
        <f>IF('Cable Info'!R203="","",CONCATENATE('Cable Info'!R203," - ",'Cable Info'!S203))</f>
        <v>#N/A</v>
      </c>
      <c r="BB204" s="121" t="e">
        <f t="shared" si="62"/>
        <v>#N/A</v>
      </c>
      <c r="BD204" s="121" t="e">
        <f>IF('Cable Info'!T203="","",CONCATENATE('Cable Info'!T203," - ",'Cable Info'!U203))</f>
        <v>#N/A</v>
      </c>
      <c r="BG204" s="121" t="e">
        <f t="shared" si="63"/>
        <v>#N/A</v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e">
        <f>IF('Cable Info'!R204="","",CONCATENATE('Cable Info'!R204," - ",'Cable Info'!S204))</f>
        <v>#N/A</v>
      </c>
      <c r="BB205" s="121" t="e">
        <f t="shared" ref="BB205:BB268" si="74">IF(AZ205="",AY205,CONCATENATE(AY205,"  &lt;=&gt; ",AZ205," ",BA205))</f>
        <v>#N/A</v>
      </c>
      <c r="BD205" s="121" t="e">
        <f>IF('Cable Info'!T204="","",CONCATENATE('Cable Info'!T204," - ",'Cable Info'!U204))</f>
        <v>#N/A</v>
      </c>
      <c r="BG205" s="121" t="e">
        <f t="shared" ref="BG205:BG268" si="75">IF(BE205="",BD205,CONCATENATE(BD205,"  &lt;=&gt; ",BE205," ",BF205))</f>
        <v>#N/A</v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e">
        <f>IF('Cable Info'!R205="","",CONCATENATE('Cable Info'!R205," - ",'Cable Info'!S205))</f>
        <v>#N/A</v>
      </c>
      <c r="BB206" s="121" t="e">
        <f t="shared" si="74"/>
        <v>#N/A</v>
      </c>
      <c r="BD206" s="121" t="e">
        <f>IF('Cable Info'!T205="","",CONCATENATE('Cable Info'!T205," - ",'Cable Info'!U205))</f>
        <v>#N/A</v>
      </c>
      <c r="BG206" s="121" t="e">
        <f t="shared" si="75"/>
        <v>#N/A</v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e">
        <f>IF('Cable Info'!R206="","",CONCATENATE('Cable Info'!R206," - ",'Cable Info'!S206))</f>
        <v>#N/A</v>
      </c>
      <c r="BB207" s="121" t="e">
        <f t="shared" si="74"/>
        <v>#N/A</v>
      </c>
      <c r="BD207" s="121" t="e">
        <f>IF('Cable Info'!T206="","",CONCATENATE('Cable Info'!T206," - ",'Cable Info'!U206))</f>
        <v>#N/A</v>
      </c>
      <c r="BG207" s="121" t="e">
        <f t="shared" si="75"/>
        <v>#N/A</v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e">
        <f>IF('Cable Info'!R207="","",CONCATENATE('Cable Info'!R207," - ",'Cable Info'!S207))</f>
        <v>#N/A</v>
      </c>
      <c r="BB208" s="121" t="e">
        <f t="shared" si="74"/>
        <v>#N/A</v>
      </c>
      <c r="BD208" s="121" t="e">
        <f>IF('Cable Info'!T207="","",CONCATENATE('Cable Info'!T207," - ",'Cable Info'!U207))</f>
        <v>#N/A</v>
      </c>
      <c r="BG208" s="121" t="e">
        <f t="shared" si="75"/>
        <v>#N/A</v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e">
        <f>IF('Cable Info'!R208="","",CONCATENATE('Cable Info'!R208," - ",'Cable Info'!S208))</f>
        <v>#N/A</v>
      </c>
      <c r="BB209" s="121" t="e">
        <f t="shared" si="74"/>
        <v>#N/A</v>
      </c>
      <c r="BD209" s="121" t="e">
        <f>IF('Cable Info'!T208="","",CONCATENATE('Cable Info'!T208," - ",'Cable Info'!U208))</f>
        <v>#N/A</v>
      </c>
      <c r="BG209" s="121" t="e">
        <f t="shared" si="75"/>
        <v>#N/A</v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e">
        <f>IF('Cable Info'!R209="","",CONCATENATE('Cable Info'!R209," - ",'Cable Info'!S209))</f>
        <v>#N/A</v>
      </c>
      <c r="BB210" s="121" t="e">
        <f t="shared" si="74"/>
        <v>#N/A</v>
      </c>
      <c r="BD210" s="121" t="e">
        <f>IF('Cable Info'!T209="","",CONCATENATE('Cable Info'!T209," - ",'Cable Info'!U209))</f>
        <v>#N/A</v>
      </c>
      <c r="BG210" s="121" t="e">
        <f t="shared" si="75"/>
        <v>#N/A</v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e">
        <f>IF('Cable Info'!R210="","",CONCATENATE('Cable Info'!R210," - ",'Cable Info'!S210))</f>
        <v>#N/A</v>
      </c>
      <c r="BB211" s="121" t="e">
        <f t="shared" si="74"/>
        <v>#N/A</v>
      </c>
      <c r="BD211" s="121" t="e">
        <f>IF('Cable Info'!T210="","",CONCATENATE('Cable Info'!T210," - ",'Cable Info'!U210))</f>
        <v>#N/A</v>
      </c>
      <c r="BG211" s="121" t="e">
        <f t="shared" si="75"/>
        <v>#N/A</v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e">
        <f>IF('Cable Info'!R211="","",CONCATENATE('Cable Info'!R211," - ",'Cable Info'!S211))</f>
        <v>#N/A</v>
      </c>
      <c r="BB212" s="121" t="e">
        <f t="shared" si="74"/>
        <v>#N/A</v>
      </c>
      <c r="BD212" s="121" t="e">
        <f>IF('Cable Info'!T211="","",CONCATENATE('Cable Info'!T211," - ",'Cable Info'!U211))</f>
        <v>#N/A</v>
      </c>
      <c r="BG212" s="121" t="e">
        <f t="shared" si="75"/>
        <v>#N/A</v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e">
        <f>IF('Cable Info'!R212="","",CONCATENATE('Cable Info'!R212," - ",'Cable Info'!S212))</f>
        <v>#N/A</v>
      </c>
      <c r="BB213" s="121" t="e">
        <f t="shared" si="74"/>
        <v>#N/A</v>
      </c>
      <c r="BD213" s="121" t="e">
        <f>IF('Cable Info'!T212="","",CONCATENATE('Cable Info'!T212," - ",'Cable Info'!U212))</f>
        <v>#N/A</v>
      </c>
      <c r="BG213" s="121" t="e">
        <f t="shared" si="75"/>
        <v>#N/A</v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e">
        <f>IF('Cable Info'!R213="","",CONCATENATE('Cable Info'!R213," - ",'Cable Info'!S213))</f>
        <v>#N/A</v>
      </c>
      <c r="BB214" s="121" t="e">
        <f t="shared" si="74"/>
        <v>#N/A</v>
      </c>
      <c r="BD214" s="121" t="e">
        <f>IF('Cable Info'!T213="","",CONCATENATE('Cable Info'!T213," - ",'Cable Info'!U213))</f>
        <v>#N/A</v>
      </c>
      <c r="BG214" s="121" t="e">
        <f t="shared" si="75"/>
        <v>#N/A</v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e">
        <f>IF('Cable Info'!R214="","",CONCATENATE('Cable Info'!R214," - ",'Cable Info'!S214))</f>
        <v>#N/A</v>
      </c>
      <c r="BB215" s="121" t="e">
        <f t="shared" si="74"/>
        <v>#N/A</v>
      </c>
      <c r="BD215" s="121" t="e">
        <f>IF('Cable Info'!T214="","",CONCATENATE('Cable Info'!T214," - ",'Cable Info'!U214))</f>
        <v>#N/A</v>
      </c>
      <c r="BG215" s="121" t="e">
        <f t="shared" si="75"/>
        <v>#N/A</v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e">
        <f>IF('Cable Info'!R215="","",CONCATENATE('Cable Info'!R215," - ",'Cable Info'!S215))</f>
        <v>#N/A</v>
      </c>
      <c r="BB216" s="121" t="e">
        <f t="shared" si="74"/>
        <v>#N/A</v>
      </c>
      <c r="BD216" s="121" t="e">
        <f>IF('Cable Info'!T215="","",CONCATENATE('Cable Info'!T215," - ",'Cable Info'!U215))</f>
        <v>#N/A</v>
      </c>
      <c r="BG216" s="121" t="e">
        <f t="shared" si="75"/>
        <v>#N/A</v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e">
        <f>IF('Cable Info'!R216="","",CONCATENATE('Cable Info'!R216," - ",'Cable Info'!S216))</f>
        <v>#N/A</v>
      </c>
      <c r="BB217" s="121" t="e">
        <f t="shared" si="74"/>
        <v>#N/A</v>
      </c>
      <c r="BD217" s="121" t="e">
        <f>IF('Cable Info'!T216="","",CONCATENATE('Cable Info'!T216," - ",'Cable Info'!U216))</f>
        <v>#N/A</v>
      </c>
      <c r="BG217" s="121" t="e">
        <f t="shared" si="75"/>
        <v>#N/A</v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e">
        <f>IF('Cable Info'!R217="","",CONCATENATE('Cable Info'!R217," - ",'Cable Info'!S217))</f>
        <v>#N/A</v>
      </c>
      <c r="BB218" s="121" t="e">
        <f t="shared" si="74"/>
        <v>#N/A</v>
      </c>
      <c r="BD218" s="121" t="e">
        <f>IF('Cable Info'!T217="","",CONCATENATE('Cable Info'!T217," - ",'Cable Info'!U217))</f>
        <v>#N/A</v>
      </c>
      <c r="BG218" s="121" t="e">
        <f t="shared" si="75"/>
        <v>#N/A</v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e">
        <f>IF('Cable Info'!R218="","",CONCATENATE('Cable Info'!R218," - ",'Cable Info'!S218))</f>
        <v>#N/A</v>
      </c>
      <c r="BB219" s="121" t="e">
        <f t="shared" si="74"/>
        <v>#N/A</v>
      </c>
      <c r="BD219" s="121" t="e">
        <f>IF('Cable Info'!T218="","",CONCATENATE('Cable Info'!T218," - ",'Cable Info'!U218))</f>
        <v>#N/A</v>
      </c>
      <c r="BG219" s="121" t="e">
        <f t="shared" si="75"/>
        <v>#N/A</v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e">
        <f>IF('Cable Info'!R219="","",CONCATENATE('Cable Info'!R219," - ",'Cable Info'!S219))</f>
        <v>#N/A</v>
      </c>
      <c r="BB220" s="121" t="e">
        <f t="shared" si="74"/>
        <v>#N/A</v>
      </c>
      <c r="BD220" s="121" t="e">
        <f>IF('Cable Info'!T219="","",CONCATENATE('Cable Info'!T219," - ",'Cable Info'!U219))</f>
        <v>#N/A</v>
      </c>
      <c r="BG220" s="121" t="e">
        <f t="shared" si="75"/>
        <v>#N/A</v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e">
        <f>IF('Cable Info'!R220="","",CONCATENATE('Cable Info'!R220," - ",'Cable Info'!S220))</f>
        <v>#N/A</v>
      </c>
      <c r="BB221" s="121" t="e">
        <f t="shared" si="74"/>
        <v>#N/A</v>
      </c>
      <c r="BD221" s="121" t="e">
        <f>IF('Cable Info'!T220="","",CONCATENATE('Cable Info'!T220," - ",'Cable Info'!U220))</f>
        <v>#N/A</v>
      </c>
      <c r="BG221" s="121" t="e">
        <f t="shared" si="75"/>
        <v>#N/A</v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e">
        <f>IF('Cable Info'!R221="","",CONCATENATE('Cable Info'!R221," - ",'Cable Info'!S221))</f>
        <v>#N/A</v>
      </c>
      <c r="BB222" s="121" t="e">
        <f t="shared" si="74"/>
        <v>#N/A</v>
      </c>
      <c r="BD222" s="121" t="e">
        <f>IF('Cable Info'!T221="","",CONCATENATE('Cable Info'!T221," - ",'Cable Info'!U221))</f>
        <v>#N/A</v>
      </c>
      <c r="BG222" s="121" t="e">
        <f t="shared" si="75"/>
        <v>#N/A</v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e">
        <f>IF('Cable Info'!R222="","",CONCATENATE('Cable Info'!R222," - ",'Cable Info'!S222))</f>
        <v>#N/A</v>
      </c>
      <c r="BB223" s="121" t="e">
        <f t="shared" si="74"/>
        <v>#N/A</v>
      </c>
      <c r="BD223" s="121" t="e">
        <f>IF('Cable Info'!T222="","",CONCATENATE('Cable Info'!T222," - ",'Cable Info'!U222))</f>
        <v>#N/A</v>
      </c>
      <c r="BG223" s="121" t="e">
        <f t="shared" si="75"/>
        <v>#N/A</v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e">
        <f>IF('Cable Info'!R223="","",CONCATENATE('Cable Info'!R223," - ",'Cable Info'!S223))</f>
        <v>#N/A</v>
      </c>
      <c r="BB224" s="121" t="e">
        <f t="shared" si="74"/>
        <v>#N/A</v>
      </c>
      <c r="BD224" s="121" t="e">
        <f>IF('Cable Info'!T223="","",CONCATENATE('Cable Info'!T223," - ",'Cable Info'!U223))</f>
        <v>#N/A</v>
      </c>
      <c r="BG224" s="121" t="e">
        <f t="shared" si="75"/>
        <v>#N/A</v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e">
        <f>IF('Cable Info'!R224="","",CONCATENATE('Cable Info'!R224," - ",'Cable Info'!S224))</f>
        <v>#N/A</v>
      </c>
      <c r="BB225" s="121" t="e">
        <f t="shared" si="74"/>
        <v>#N/A</v>
      </c>
      <c r="BD225" s="121" t="e">
        <f>IF('Cable Info'!T224="","",CONCATENATE('Cable Info'!T224," - ",'Cable Info'!U224))</f>
        <v>#N/A</v>
      </c>
      <c r="BG225" s="121" t="e">
        <f t="shared" si="75"/>
        <v>#N/A</v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e">
        <f>IF('Cable Info'!R225="","",CONCATENATE('Cable Info'!R225," - ",'Cable Info'!S225))</f>
        <v>#N/A</v>
      </c>
      <c r="BB226" s="121" t="e">
        <f t="shared" si="74"/>
        <v>#N/A</v>
      </c>
      <c r="BD226" s="121" t="e">
        <f>IF('Cable Info'!T225="","",CONCATENATE('Cable Info'!T225," - ",'Cable Info'!U225))</f>
        <v>#N/A</v>
      </c>
      <c r="BG226" s="121" t="e">
        <f t="shared" si="75"/>
        <v>#N/A</v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e">
        <f>IF('Cable Info'!R226="","",CONCATENATE('Cable Info'!R226," - ",'Cable Info'!S226))</f>
        <v>#N/A</v>
      </c>
      <c r="BB227" s="121" t="e">
        <f t="shared" si="74"/>
        <v>#N/A</v>
      </c>
      <c r="BD227" s="121" t="e">
        <f>IF('Cable Info'!T226="","",CONCATENATE('Cable Info'!T226," - ",'Cable Info'!U226))</f>
        <v>#N/A</v>
      </c>
      <c r="BG227" s="121" t="e">
        <f t="shared" si="75"/>
        <v>#N/A</v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e">
        <f>IF('Cable Info'!R227="","",CONCATENATE('Cable Info'!R227," - ",'Cable Info'!S227))</f>
        <v>#N/A</v>
      </c>
      <c r="BB228" s="121" t="e">
        <f t="shared" si="74"/>
        <v>#N/A</v>
      </c>
      <c r="BD228" s="121" t="e">
        <f>IF('Cable Info'!T227="","",CONCATENATE('Cable Info'!T227," - ",'Cable Info'!U227))</f>
        <v>#N/A</v>
      </c>
      <c r="BG228" s="121" t="e">
        <f t="shared" si="75"/>
        <v>#N/A</v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e">
        <f>IF('Cable Info'!R228="","",CONCATENATE('Cable Info'!R228," - ",'Cable Info'!S228))</f>
        <v>#N/A</v>
      </c>
      <c r="BB229" s="121" t="e">
        <f t="shared" si="74"/>
        <v>#N/A</v>
      </c>
      <c r="BD229" s="121" t="e">
        <f>IF('Cable Info'!T228="","",CONCATENATE('Cable Info'!T228," - ",'Cable Info'!U228))</f>
        <v>#N/A</v>
      </c>
      <c r="BG229" s="121" t="e">
        <f t="shared" si="75"/>
        <v>#N/A</v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e">
        <f>IF('Cable Info'!R229="","",CONCATENATE('Cable Info'!R229," - ",'Cable Info'!S229))</f>
        <v>#N/A</v>
      </c>
      <c r="BB230" s="121" t="e">
        <f t="shared" si="74"/>
        <v>#N/A</v>
      </c>
      <c r="BD230" s="121" t="e">
        <f>IF('Cable Info'!T229="","",CONCATENATE('Cable Info'!T229," - ",'Cable Info'!U229))</f>
        <v>#N/A</v>
      </c>
      <c r="BG230" s="121" t="e">
        <f t="shared" si="75"/>
        <v>#N/A</v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e">
        <f>IF('Cable Info'!R230="","",CONCATENATE('Cable Info'!R230," - ",'Cable Info'!S230))</f>
        <v>#N/A</v>
      </c>
      <c r="BB231" s="121" t="e">
        <f t="shared" si="74"/>
        <v>#N/A</v>
      </c>
      <c r="BD231" s="121" t="e">
        <f>IF('Cable Info'!T230="","",CONCATENATE('Cable Info'!T230," - ",'Cable Info'!U230))</f>
        <v>#N/A</v>
      </c>
      <c r="BG231" s="121" t="e">
        <f t="shared" si="75"/>
        <v>#N/A</v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e">
        <f>IF('Cable Info'!R231="","",CONCATENATE('Cable Info'!R231," - ",'Cable Info'!S231))</f>
        <v>#N/A</v>
      </c>
      <c r="BB232" s="121" t="e">
        <f t="shared" si="74"/>
        <v>#N/A</v>
      </c>
      <c r="BD232" s="121" t="e">
        <f>IF('Cable Info'!T231="","",CONCATENATE('Cable Info'!T231," - ",'Cable Info'!U231))</f>
        <v>#N/A</v>
      </c>
      <c r="BG232" s="121" t="e">
        <f t="shared" si="75"/>
        <v>#N/A</v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e">
        <f>IF('Cable Info'!R232="","",CONCATENATE('Cable Info'!R232," - ",'Cable Info'!S232))</f>
        <v>#N/A</v>
      </c>
      <c r="BB233" s="121" t="e">
        <f t="shared" si="74"/>
        <v>#N/A</v>
      </c>
      <c r="BD233" s="121" t="e">
        <f>IF('Cable Info'!T232="","",CONCATENATE('Cable Info'!T232," - ",'Cable Info'!U232))</f>
        <v>#N/A</v>
      </c>
      <c r="BG233" s="121" t="e">
        <f t="shared" si="75"/>
        <v>#N/A</v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e">
        <f>IF('Cable Info'!R233="","",CONCATENATE('Cable Info'!R233," - ",'Cable Info'!S233))</f>
        <v>#N/A</v>
      </c>
      <c r="BB234" s="121" t="e">
        <f t="shared" si="74"/>
        <v>#N/A</v>
      </c>
      <c r="BD234" s="121" t="e">
        <f>IF('Cable Info'!T233="","",CONCATENATE('Cable Info'!T233," - ",'Cable Info'!U233))</f>
        <v>#N/A</v>
      </c>
      <c r="BG234" s="121" t="e">
        <f t="shared" si="75"/>
        <v>#N/A</v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e">
        <f>IF('Cable Info'!R234="","",CONCATENATE('Cable Info'!R234," - ",'Cable Info'!S234))</f>
        <v>#N/A</v>
      </c>
      <c r="BB235" s="121" t="e">
        <f t="shared" si="74"/>
        <v>#N/A</v>
      </c>
      <c r="BD235" s="121" t="e">
        <f>IF('Cable Info'!T234="","",CONCATENATE('Cable Info'!T234," - ",'Cable Info'!U234))</f>
        <v>#N/A</v>
      </c>
      <c r="BG235" s="121" t="e">
        <f t="shared" si="75"/>
        <v>#N/A</v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e">
        <f>IF('Cable Info'!R235="","",CONCATENATE('Cable Info'!R235," - ",'Cable Info'!S235))</f>
        <v>#N/A</v>
      </c>
      <c r="BB236" s="121" t="e">
        <f t="shared" si="74"/>
        <v>#N/A</v>
      </c>
      <c r="BD236" s="121" t="e">
        <f>IF('Cable Info'!T235="","",CONCATENATE('Cable Info'!T235," - ",'Cable Info'!U235))</f>
        <v>#N/A</v>
      </c>
      <c r="BG236" s="121" t="e">
        <f t="shared" si="75"/>
        <v>#N/A</v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e">
        <f>IF('Cable Info'!R236="","",CONCATENATE('Cable Info'!R236," - ",'Cable Info'!S236))</f>
        <v>#N/A</v>
      </c>
      <c r="BB237" s="121" t="e">
        <f t="shared" si="74"/>
        <v>#N/A</v>
      </c>
      <c r="BD237" s="121" t="e">
        <f>IF('Cable Info'!T236="","",CONCATENATE('Cable Info'!T236," - ",'Cable Info'!U236))</f>
        <v>#N/A</v>
      </c>
      <c r="BG237" s="121" t="e">
        <f t="shared" si="75"/>
        <v>#N/A</v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e">
        <f>IF('Cable Info'!R237="","",CONCATENATE('Cable Info'!R237," - ",'Cable Info'!S237))</f>
        <v>#N/A</v>
      </c>
      <c r="BB238" s="121" t="e">
        <f t="shared" si="74"/>
        <v>#N/A</v>
      </c>
      <c r="BD238" s="121" t="e">
        <f>IF('Cable Info'!T237="","",CONCATENATE('Cable Info'!T237," - ",'Cable Info'!U237))</f>
        <v>#N/A</v>
      </c>
      <c r="BG238" s="121" t="e">
        <f t="shared" si="75"/>
        <v>#N/A</v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e">
        <f>IF('Cable Info'!R238="","",CONCATENATE('Cable Info'!R238," - ",'Cable Info'!S238))</f>
        <v>#N/A</v>
      </c>
      <c r="BB239" s="121" t="e">
        <f t="shared" si="74"/>
        <v>#N/A</v>
      </c>
      <c r="BD239" s="121" t="e">
        <f>IF('Cable Info'!T238="","",CONCATENATE('Cable Info'!T238," - ",'Cable Info'!U238))</f>
        <v>#N/A</v>
      </c>
      <c r="BG239" s="121" t="e">
        <f t="shared" si="75"/>
        <v>#N/A</v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e">
        <f>IF('Cable Info'!R239="","",CONCATENATE('Cable Info'!R239," - ",'Cable Info'!S239))</f>
        <v>#N/A</v>
      </c>
      <c r="BB240" s="121" t="e">
        <f t="shared" si="74"/>
        <v>#N/A</v>
      </c>
      <c r="BD240" s="121" t="e">
        <f>IF('Cable Info'!T239="","",CONCATENATE('Cable Info'!T239," - ",'Cable Info'!U239))</f>
        <v>#N/A</v>
      </c>
      <c r="BG240" s="121" t="e">
        <f t="shared" si="75"/>
        <v>#N/A</v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e">
        <f>IF('Cable Info'!R240="","",CONCATENATE('Cable Info'!R240," - ",'Cable Info'!S240))</f>
        <v>#N/A</v>
      </c>
      <c r="BB241" s="121" t="e">
        <f t="shared" si="74"/>
        <v>#N/A</v>
      </c>
      <c r="BD241" s="121" t="e">
        <f>IF('Cable Info'!T240="","",CONCATENATE('Cable Info'!T240," - ",'Cable Info'!U240))</f>
        <v>#N/A</v>
      </c>
      <c r="BG241" s="121" t="e">
        <f t="shared" si="75"/>
        <v>#N/A</v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e">
        <f>IF('Cable Info'!R241="","",CONCATENATE('Cable Info'!R241," - ",'Cable Info'!S241))</f>
        <v>#N/A</v>
      </c>
      <c r="BB242" s="121" t="e">
        <f t="shared" si="74"/>
        <v>#N/A</v>
      </c>
      <c r="BD242" s="121" t="e">
        <f>IF('Cable Info'!T241="","",CONCATENATE('Cable Info'!T241," - ",'Cable Info'!U241))</f>
        <v>#N/A</v>
      </c>
      <c r="BG242" s="121" t="e">
        <f t="shared" si="75"/>
        <v>#N/A</v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e">
        <f>IF('Cable Info'!R242="","",CONCATENATE('Cable Info'!R242," - ",'Cable Info'!S242))</f>
        <v>#N/A</v>
      </c>
      <c r="BB243" s="121" t="e">
        <f t="shared" si="74"/>
        <v>#N/A</v>
      </c>
      <c r="BD243" s="121" t="e">
        <f>IF('Cable Info'!T242="","",CONCATENATE('Cable Info'!T242," - ",'Cable Info'!U242))</f>
        <v>#N/A</v>
      </c>
      <c r="BG243" s="121" t="e">
        <f t="shared" si="75"/>
        <v>#N/A</v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e">
        <f>IF('Cable Info'!R243="","",CONCATENATE('Cable Info'!R243," - ",'Cable Info'!S243))</f>
        <v>#N/A</v>
      </c>
      <c r="BB244" s="121" t="e">
        <f t="shared" si="74"/>
        <v>#N/A</v>
      </c>
      <c r="BD244" s="121" t="e">
        <f>IF('Cable Info'!T243="","",CONCATENATE('Cable Info'!T243," - ",'Cable Info'!U243))</f>
        <v>#N/A</v>
      </c>
      <c r="BG244" s="121" t="e">
        <f t="shared" si="75"/>
        <v>#N/A</v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e">
        <f>IF('Cable Info'!R244="","",CONCATENATE('Cable Info'!R244," - ",'Cable Info'!S244))</f>
        <v>#N/A</v>
      </c>
      <c r="BB245" s="121" t="e">
        <f t="shared" si="74"/>
        <v>#N/A</v>
      </c>
      <c r="BD245" s="121" t="e">
        <f>IF('Cable Info'!T244="","",CONCATENATE('Cable Info'!T244," - ",'Cable Info'!U244))</f>
        <v>#N/A</v>
      </c>
      <c r="BG245" s="121" t="e">
        <f t="shared" si="75"/>
        <v>#N/A</v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e">
        <f>IF('Cable Info'!R245="","",CONCATENATE('Cable Info'!R245," - ",'Cable Info'!S245))</f>
        <v>#N/A</v>
      </c>
      <c r="BB246" s="121" t="e">
        <f t="shared" si="74"/>
        <v>#N/A</v>
      </c>
      <c r="BD246" s="121" t="e">
        <f>IF('Cable Info'!T245="","",CONCATENATE('Cable Info'!T245," - ",'Cable Info'!U245))</f>
        <v>#N/A</v>
      </c>
      <c r="BG246" s="121" t="e">
        <f t="shared" si="75"/>
        <v>#N/A</v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e">
        <f>IF('Cable Info'!R246="","",CONCATENATE('Cable Info'!R246," - ",'Cable Info'!S246))</f>
        <v>#N/A</v>
      </c>
      <c r="BB247" s="121" t="e">
        <f t="shared" si="74"/>
        <v>#N/A</v>
      </c>
      <c r="BD247" s="121" t="e">
        <f>IF('Cable Info'!T246="","",CONCATENATE('Cable Info'!T246," - ",'Cable Info'!U246))</f>
        <v>#N/A</v>
      </c>
      <c r="BG247" s="121" t="e">
        <f t="shared" si="75"/>
        <v>#N/A</v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e">
        <f>IF('Cable Info'!R247="","",CONCATENATE('Cable Info'!R247," - ",'Cable Info'!S247))</f>
        <v>#N/A</v>
      </c>
      <c r="BB248" s="121" t="e">
        <f t="shared" si="74"/>
        <v>#N/A</v>
      </c>
      <c r="BD248" s="121" t="e">
        <f>IF('Cable Info'!T247="","",CONCATENATE('Cable Info'!T247," - ",'Cable Info'!U247))</f>
        <v>#N/A</v>
      </c>
      <c r="BG248" s="121" t="e">
        <f t="shared" si="75"/>
        <v>#N/A</v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e">
        <f>IF('Cable Info'!R248="","",CONCATENATE('Cable Info'!R248," - ",'Cable Info'!S248))</f>
        <v>#N/A</v>
      </c>
      <c r="BB249" s="121" t="e">
        <f t="shared" si="74"/>
        <v>#N/A</v>
      </c>
      <c r="BD249" s="121" t="e">
        <f>IF('Cable Info'!T248="","",CONCATENATE('Cable Info'!T248," - ",'Cable Info'!U248))</f>
        <v>#N/A</v>
      </c>
      <c r="BG249" s="121" t="e">
        <f t="shared" si="75"/>
        <v>#N/A</v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e">
        <f>IF('Cable Info'!R249="","",CONCATENATE('Cable Info'!R249," - ",'Cable Info'!S249))</f>
        <v>#N/A</v>
      </c>
      <c r="BB250" s="121" t="e">
        <f t="shared" si="74"/>
        <v>#N/A</v>
      </c>
      <c r="BD250" s="121" t="e">
        <f>IF('Cable Info'!T249="","",CONCATENATE('Cable Info'!T249," - ",'Cable Info'!U249))</f>
        <v>#N/A</v>
      </c>
      <c r="BG250" s="121" t="e">
        <f t="shared" si="75"/>
        <v>#N/A</v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e">
        <f>IF('Cable Info'!R250="","",CONCATENATE('Cable Info'!R250," - ",'Cable Info'!S250))</f>
        <v>#N/A</v>
      </c>
      <c r="BB251" s="121" t="e">
        <f t="shared" si="74"/>
        <v>#N/A</v>
      </c>
      <c r="BD251" s="121" t="e">
        <f>IF('Cable Info'!T250="","",CONCATENATE('Cable Info'!T250," - ",'Cable Info'!U250))</f>
        <v>#N/A</v>
      </c>
      <c r="BG251" s="121" t="e">
        <f t="shared" si="75"/>
        <v>#N/A</v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e">
        <f>IF('Cable Info'!R251="","",CONCATENATE('Cable Info'!R251," - ",'Cable Info'!S251))</f>
        <v>#N/A</v>
      </c>
      <c r="BB252" s="121" t="e">
        <f t="shared" si="74"/>
        <v>#N/A</v>
      </c>
      <c r="BD252" s="121" t="e">
        <f>IF('Cable Info'!T251="","",CONCATENATE('Cable Info'!T251," - ",'Cable Info'!U251))</f>
        <v>#N/A</v>
      </c>
      <c r="BG252" s="121" t="e">
        <f t="shared" si="75"/>
        <v>#N/A</v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e">
        <f>IF('Cable Info'!R252="","",CONCATENATE('Cable Info'!R252," - ",'Cable Info'!S252))</f>
        <v>#N/A</v>
      </c>
      <c r="BB253" s="121" t="e">
        <f t="shared" si="74"/>
        <v>#N/A</v>
      </c>
      <c r="BD253" s="121" t="e">
        <f>IF('Cable Info'!T252="","",CONCATENATE('Cable Info'!T252," - ",'Cable Info'!U252))</f>
        <v>#N/A</v>
      </c>
      <c r="BG253" s="121" t="e">
        <f t="shared" si="75"/>
        <v>#N/A</v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e">
        <f>IF('Cable Info'!R253="","",CONCATENATE('Cable Info'!R253," - ",'Cable Info'!S253))</f>
        <v>#N/A</v>
      </c>
      <c r="BB254" s="121" t="e">
        <f t="shared" si="74"/>
        <v>#N/A</v>
      </c>
      <c r="BD254" s="121" t="e">
        <f>IF('Cable Info'!T253="","",CONCATENATE('Cable Info'!T253," - ",'Cable Info'!U253))</f>
        <v>#N/A</v>
      </c>
      <c r="BG254" s="121" t="e">
        <f t="shared" si="75"/>
        <v>#N/A</v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e">
        <f>IF('Cable Info'!R254="","",CONCATENATE('Cable Info'!R254," - ",'Cable Info'!S254))</f>
        <v>#N/A</v>
      </c>
      <c r="BB255" s="121" t="e">
        <f t="shared" si="74"/>
        <v>#N/A</v>
      </c>
      <c r="BD255" s="121" t="e">
        <f>IF('Cable Info'!T254="","",CONCATENATE('Cable Info'!T254," - ",'Cable Info'!U254))</f>
        <v>#N/A</v>
      </c>
      <c r="BG255" s="121" t="e">
        <f t="shared" si="75"/>
        <v>#N/A</v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e">
        <f>IF('Cable Info'!R255="","",CONCATENATE('Cable Info'!R255," - ",'Cable Info'!S255))</f>
        <v>#N/A</v>
      </c>
      <c r="BB256" s="121" t="e">
        <f t="shared" si="74"/>
        <v>#N/A</v>
      </c>
      <c r="BD256" s="121" t="e">
        <f>IF('Cable Info'!T255="","",CONCATENATE('Cable Info'!T255," - ",'Cable Info'!U255))</f>
        <v>#N/A</v>
      </c>
      <c r="BG256" s="121" t="e">
        <f t="shared" si="75"/>
        <v>#N/A</v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e">
        <f>IF('Cable Info'!R256="","",CONCATENATE('Cable Info'!R256," - ",'Cable Info'!S256))</f>
        <v>#N/A</v>
      </c>
      <c r="BB257" s="121" t="e">
        <f t="shared" si="74"/>
        <v>#N/A</v>
      </c>
      <c r="BD257" s="121" t="e">
        <f>IF('Cable Info'!T256="","",CONCATENATE('Cable Info'!T256," - ",'Cable Info'!U256))</f>
        <v>#N/A</v>
      </c>
      <c r="BG257" s="121" t="e">
        <f t="shared" si="75"/>
        <v>#N/A</v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e">
        <f>IF('Cable Info'!R257="","",CONCATENATE('Cable Info'!R257," - ",'Cable Info'!S257))</f>
        <v>#N/A</v>
      </c>
      <c r="BB258" s="121" t="e">
        <f t="shared" si="74"/>
        <v>#N/A</v>
      </c>
      <c r="BD258" s="121" t="e">
        <f>IF('Cable Info'!T257="","",CONCATENATE('Cable Info'!T257," - ",'Cable Info'!U257))</f>
        <v>#N/A</v>
      </c>
      <c r="BG258" s="121" t="e">
        <f t="shared" si="75"/>
        <v>#N/A</v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e">
        <f>IF('Cable Info'!R258="","",CONCATENATE('Cable Info'!R258," - ",'Cable Info'!S258))</f>
        <v>#N/A</v>
      </c>
      <c r="BB259" s="121" t="e">
        <f t="shared" si="74"/>
        <v>#N/A</v>
      </c>
      <c r="BD259" s="121" t="e">
        <f>IF('Cable Info'!T258="","",CONCATENATE('Cable Info'!T258," - ",'Cable Info'!U258))</f>
        <v>#N/A</v>
      </c>
      <c r="BG259" s="121" t="e">
        <f t="shared" si="75"/>
        <v>#N/A</v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e">
        <f>IF('Cable Info'!R259="","",CONCATENATE('Cable Info'!R259," - ",'Cable Info'!S259))</f>
        <v>#N/A</v>
      </c>
      <c r="BB260" s="121" t="e">
        <f t="shared" si="74"/>
        <v>#N/A</v>
      </c>
      <c r="BD260" s="121" t="e">
        <f>IF('Cable Info'!T259="","",CONCATENATE('Cable Info'!T259," - ",'Cable Info'!U259))</f>
        <v>#N/A</v>
      </c>
      <c r="BG260" s="121" t="e">
        <f t="shared" si="75"/>
        <v>#N/A</v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e">
        <f>IF('Cable Info'!R260="","",CONCATENATE('Cable Info'!R260," - ",'Cable Info'!S260))</f>
        <v>#N/A</v>
      </c>
      <c r="BB261" s="121" t="e">
        <f t="shared" si="74"/>
        <v>#N/A</v>
      </c>
      <c r="BD261" s="121" t="e">
        <f>IF('Cable Info'!T260="","",CONCATENATE('Cable Info'!T260," - ",'Cable Info'!U260))</f>
        <v>#N/A</v>
      </c>
      <c r="BG261" s="121" t="e">
        <f t="shared" si="75"/>
        <v>#N/A</v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e">
        <f>IF('Cable Info'!R261="","",CONCATENATE('Cable Info'!R261," - ",'Cable Info'!S261))</f>
        <v>#N/A</v>
      </c>
      <c r="BB262" s="121" t="e">
        <f t="shared" si="74"/>
        <v>#N/A</v>
      </c>
      <c r="BD262" s="121" t="e">
        <f>IF('Cable Info'!T261="","",CONCATENATE('Cable Info'!T261," - ",'Cable Info'!U261))</f>
        <v>#N/A</v>
      </c>
      <c r="BG262" s="121" t="e">
        <f t="shared" si="75"/>
        <v>#N/A</v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e">
        <f>IF('Cable Info'!R262="","",CONCATENATE('Cable Info'!R262," - ",'Cable Info'!S262))</f>
        <v>#N/A</v>
      </c>
      <c r="BB263" s="121" t="e">
        <f t="shared" si="74"/>
        <v>#N/A</v>
      </c>
      <c r="BD263" s="121" t="e">
        <f>IF('Cable Info'!T262="","",CONCATENATE('Cable Info'!T262," - ",'Cable Info'!U262))</f>
        <v>#N/A</v>
      </c>
      <c r="BG263" s="121" t="e">
        <f t="shared" si="75"/>
        <v>#N/A</v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e">
        <f>IF('Cable Info'!R263="","",CONCATENATE('Cable Info'!R263," - ",'Cable Info'!S263))</f>
        <v>#N/A</v>
      </c>
      <c r="BB264" s="121" t="e">
        <f t="shared" si="74"/>
        <v>#N/A</v>
      </c>
      <c r="BD264" s="121" t="e">
        <f>IF('Cable Info'!T263="","",CONCATENATE('Cable Info'!T263," - ",'Cable Info'!U263))</f>
        <v>#N/A</v>
      </c>
      <c r="BG264" s="121" t="e">
        <f t="shared" si="75"/>
        <v>#N/A</v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e">
        <f>IF('Cable Info'!R264="","",CONCATENATE('Cable Info'!R264," - ",'Cable Info'!S264))</f>
        <v>#N/A</v>
      </c>
      <c r="BB265" s="121" t="e">
        <f t="shared" si="74"/>
        <v>#N/A</v>
      </c>
      <c r="BD265" s="121" t="e">
        <f>IF('Cable Info'!T264="","",CONCATENATE('Cable Info'!T264," - ",'Cable Info'!U264))</f>
        <v>#N/A</v>
      </c>
      <c r="BG265" s="121" t="e">
        <f t="shared" si="75"/>
        <v>#N/A</v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e">
        <f>IF('Cable Info'!R265="","",CONCATENATE('Cable Info'!R265," - ",'Cable Info'!S265))</f>
        <v>#N/A</v>
      </c>
      <c r="BB266" s="121" t="e">
        <f t="shared" si="74"/>
        <v>#N/A</v>
      </c>
      <c r="BD266" s="121" t="e">
        <f>IF('Cable Info'!T265="","",CONCATENATE('Cable Info'!T265," - ",'Cable Info'!U265))</f>
        <v>#N/A</v>
      </c>
      <c r="BG266" s="121" t="e">
        <f t="shared" si="75"/>
        <v>#N/A</v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e">
        <f>IF('Cable Info'!R266="","",CONCATENATE('Cable Info'!R266," - ",'Cable Info'!S266))</f>
        <v>#N/A</v>
      </c>
      <c r="BB267" s="121" t="e">
        <f t="shared" si="74"/>
        <v>#N/A</v>
      </c>
      <c r="BD267" s="121" t="e">
        <f>IF('Cable Info'!T266="","",CONCATENATE('Cable Info'!T266," - ",'Cable Info'!U266))</f>
        <v>#N/A</v>
      </c>
      <c r="BG267" s="121" t="e">
        <f t="shared" si="75"/>
        <v>#N/A</v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e">
        <f>IF('Cable Info'!R267="","",CONCATENATE('Cable Info'!R267," - ",'Cable Info'!S267))</f>
        <v>#N/A</v>
      </c>
      <c r="BB268" s="121" t="e">
        <f t="shared" si="74"/>
        <v>#N/A</v>
      </c>
      <c r="BD268" s="121" t="e">
        <f>IF('Cable Info'!T267="","",CONCATENATE('Cable Info'!T267," - ",'Cable Info'!U267))</f>
        <v>#N/A</v>
      </c>
      <c r="BG268" s="121" t="e">
        <f t="shared" si="75"/>
        <v>#N/A</v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e">
        <f>IF('Cable Info'!R268="","",CONCATENATE('Cable Info'!R268," - ",'Cable Info'!S268))</f>
        <v>#N/A</v>
      </c>
      <c r="BB269" s="121" t="e">
        <f t="shared" ref="BB269:BB332" si="86">IF(AZ269="",AY269,CONCATENATE(AY269,"  &lt;=&gt; ",AZ269," ",BA269))</f>
        <v>#N/A</v>
      </c>
      <c r="BD269" s="121" t="e">
        <f>IF('Cable Info'!T268="","",CONCATENATE('Cable Info'!T268," - ",'Cable Info'!U268))</f>
        <v>#N/A</v>
      </c>
      <c r="BG269" s="121" t="e">
        <f t="shared" ref="BG269:BG332" si="87">IF(BE269="",BD269,CONCATENATE(BD269,"  &lt;=&gt; ",BE269," ",BF269))</f>
        <v>#N/A</v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e">
        <f>IF('Cable Info'!R269="","",CONCATENATE('Cable Info'!R269," - ",'Cable Info'!S269))</f>
        <v>#N/A</v>
      </c>
      <c r="BB270" s="121" t="e">
        <f t="shared" si="86"/>
        <v>#N/A</v>
      </c>
      <c r="BD270" s="121" t="e">
        <f>IF('Cable Info'!T269="","",CONCATENATE('Cable Info'!T269," - ",'Cable Info'!U269))</f>
        <v>#N/A</v>
      </c>
      <c r="BG270" s="121" t="e">
        <f t="shared" si="87"/>
        <v>#N/A</v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e">
        <f>IF('Cable Info'!R270="","",CONCATENATE('Cable Info'!R270," - ",'Cable Info'!S270))</f>
        <v>#N/A</v>
      </c>
      <c r="BB271" s="121" t="e">
        <f t="shared" si="86"/>
        <v>#N/A</v>
      </c>
      <c r="BD271" s="121" t="e">
        <f>IF('Cable Info'!T270="","",CONCATENATE('Cable Info'!T270," - ",'Cable Info'!U270))</f>
        <v>#N/A</v>
      </c>
      <c r="BG271" s="121" t="e">
        <f t="shared" si="87"/>
        <v>#N/A</v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e">
        <f>IF('Cable Info'!R271="","",CONCATENATE('Cable Info'!R271," - ",'Cable Info'!S271))</f>
        <v>#N/A</v>
      </c>
      <c r="BB272" s="121" t="e">
        <f t="shared" si="86"/>
        <v>#N/A</v>
      </c>
      <c r="BD272" s="121" t="e">
        <f>IF('Cable Info'!T271="","",CONCATENATE('Cable Info'!T271," - ",'Cable Info'!U271))</f>
        <v>#N/A</v>
      </c>
      <c r="BG272" s="121" t="e">
        <f t="shared" si="87"/>
        <v>#N/A</v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e">
        <f>IF('Cable Info'!R272="","",CONCATENATE('Cable Info'!R272," - ",'Cable Info'!S272))</f>
        <v>#N/A</v>
      </c>
      <c r="BB273" s="121" t="e">
        <f t="shared" si="86"/>
        <v>#N/A</v>
      </c>
      <c r="BD273" s="121" t="e">
        <f>IF('Cable Info'!T272="","",CONCATENATE('Cable Info'!T272," - ",'Cable Info'!U272))</f>
        <v>#N/A</v>
      </c>
      <c r="BG273" s="121" t="e">
        <f t="shared" si="87"/>
        <v>#N/A</v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e">
        <f>IF('Cable Info'!R273="","",CONCATENATE('Cable Info'!R273," - ",'Cable Info'!S273))</f>
        <v>#N/A</v>
      </c>
      <c r="BB274" s="121" t="e">
        <f t="shared" si="86"/>
        <v>#N/A</v>
      </c>
      <c r="BD274" s="121" t="e">
        <f>IF('Cable Info'!T273="","",CONCATENATE('Cable Info'!T273," - ",'Cable Info'!U273))</f>
        <v>#N/A</v>
      </c>
      <c r="BG274" s="121" t="e">
        <f t="shared" si="87"/>
        <v>#N/A</v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e">
        <f>IF('Cable Info'!R274="","",CONCATENATE('Cable Info'!R274," - ",'Cable Info'!S274))</f>
        <v>#N/A</v>
      </c>
      <c r="BB275" s="121" t="e">
        <f t="shared" si="86"/>
        <v>#N/A</v>
      </c>
      <c r="BD275" s="121" t="e">
        <f>IF('Cable Info'!T274="","",CONCATENATE('Cable Info'!T274," - ",'Cable Info'!U274))</f>
        <v>#N/A</v>
      </c>
      <c r="BG275" s="121" t="e">
        <f t="shared" si="87"/>
        <v>#N/A</v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e">
        <f>IF('Cable Info'!R275="","",CONCATENATE('Cable Info'!R275," - ",'Cable Info'!S275))</f>
        <v>#N/A</v>
      </c>
      <c r="BB276" s="121" t="e">
        <f t="shared" si="86"/>
        <v>#N/A</v>
      </c>
      <c r="BD276" s="121" t="e">
        <f>IF('Cable Info'!T275="","",CONCATENATE('Cable Info'!T275," - ",'Cable Info'!U275))</f>
        <v>#N/A</v>
      </c>
      <c r="BG276" s="121" t="e">
        <f t="shared" si="87"/>
        <v>#N/A</v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e">
        <f>IF('Cable Info'!R276="","",CONCATENATE('Cable Info'!R276," - ",'Cable Info'!S276))</f>
        <v>#N/A</v>
      </c>
      <c r="BB277" s="121" t="e">
        <f t="shared" si="86"/>
        <v>#N/A</v>
      </c>
      <c r="BD277" s="121" t="e">
        <f>IF('Cable Info'!T276="","",CONCATENATE('Cable Info'!T276," - ",'Cable Info'!U276))</f>
        <v>#N/A</v>
      </c>
      <c r="BG277" s="121" t="e">
        <f t="shared" si="87"/>
        <v>#N/A</v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e">
        <f>IF('Cable Info'!R277="","",CONCATENATE('Cable Info'!R277," - ",'Cable Info'!S277))</f>
        <v>#N/A</v>
      </c>
      <c r="BB278" s="121" t="e">
        <f t="shared" si="86"/>
        <v>#N/A</v>
      </c>
      <c r="BD278" s="121" t="e">
        <f>IF('Cable Info'!T277="","",CONCATENATE('Cable Info'!T277," - ",'Cable Info'!U277))</f>
        <v>#N/A</v>
      </c>
      <c r="BG278" s="121" t="e">
        <f t="shared" si="87"/>
        <v>#N/A</v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e">
        <f>IF('Cable Info'!R278="","",CONCATENATE('Cable Info'!R278," - ",'Cable Info'!S278))</f>
        <v>#N/A</v>
      </c>
      <c r="BB279" s="121" t="e">
        <f t="shared" si="86"/>
        <v>#N/A</v>
      </c>
      <c r="BD279" s="121" t="e">
        <f>IF('Cable Info'!T278="","",CONCATENATE('Cable Info'!T278," - ",'Cable Info'!U278))</f>
        <v>#N/A</v>
      </c>
      <c r="BG279" s="121" t="e">
        <f t="shared" si="87"/>
        <v>#N/A</v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e">
        <f>IF('Cable Info'!R279="","",CONCATENATE('Cable Info'!R279," - ",'Cable Info'!S279))</f>
        <v>#N/A</v>
      </c>
      <c r="BB280" s="121" t="e">
        <f t="shared" si="86"/>
        <v>#N/A</v>
      </c>
      <c r="BD280" s="121" t="e">
        <f>IF('Cable Info'!T279="","",CONCATENATE('Cable Info'!T279," - ",'Cable Info'!U279))</f>
        <v>#N/A</v>
      </c>
      <c r="BG280" s="121" t="e">
        <f t="shared" si="87"/>
        <v>#N/A</v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e">
        <f>IF('Cable Info'!R280="","",CONCATENATE('Cable Info'!R280," - ",'Cable Info'!S280))</f>
        <v>#N/A</v>
      </c>
      <c r="BB281" s="121" t="e">
        <f t="shared" si="86"/>
        <v>#N/A</v>
      </c>
      <c r="BD281" s="121" t="e">
        <f>IF('Cable Info'!T280="","",CONCATENATE('Cable Info'!T280," - ",'Cable Info'!U280))</f>
        <v>#N/A</v>
      </c>
      <c r="BG281" s="121" t="e">
        <f t="shared" si="87"/>
        <v>#N/A</v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e">
        <f>IF('Cable Info'!R281="","",CONCATENATE('Cable Info'!R281," - ",'Cable Info'!S281))</f>
        <v>#N/A</v>
      </c>
      <c r="BB282" s="121" t="e">
        <f t="shared" si="86"/>
        <v>#N/A</v>
      </c>
      <c r="BD282" s="121" t="e">
        <f>IF('Cable Info'!T281="","",CONCATENATE('Cable Info'!T281," - ",'Cable Info'!U281))</f>
        <v>#N/A</v>
      </c>
      <c r="BG282" s="121" t="e">
        <f t="shared" si="87"/>
        <v>#N/A</v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e">
        <f>IF('Cable Info'!R282="","",CONCATENATE('Cable Info'!R282," - ",'Cable Info'!S282))</f>
        <v>#N/A</v>
      </c>
      <c r="BB283" s="121" t="e">
        <f t="shared" si="86"/>
        <v>#N/A</v>
      </c>
      <c r="BD283" s="121" t="e">
        <f>IF('Cable Info'!T282="","",CONCATENATE('Cable Info'!T282," - ",'Cable Info'!U282))</f>
        <v>#N/A</v>
      </c>
      <c r="BG283" s="121" t="e">
        <f t="shared" si="87"/>
        <v>#N/A</v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e">
        <f>IF('Cable Info'!R283="","",CONCATENATE('Cable Info'!R283," - ",'Cable Info'!S283))</f>
        <v>#N/A</v>
      </c>
      <c r="BB284" s="121" t="e">
        <f t="shared" si="86"/>
        <v>#N/A</v>
      </c>
      <c r="BD284" s="121" t="e">
        <f>IF('Cable Info'!T283="","",CONCATENATE('Cable Info'!T283," - ",'Cable Info'!U283))</f>
        <v>#N/A</v>
      </c>
      <c r="BG284" s="121" t="e">
        <f t="shared" si="87"/>
        <v>#N/A</v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e">
        <f>IF('Cable Info'!R284="","",CONCATENATE('Cable Info'!R284," - ",'Cable Info'!S284))</f>
        <v>#N/A</v>
      </c>
      <c r="BB285" s="121" t="e">
        <f t="shared" si="86"/>
        <v>#N/A</v>
      </c>
      <c r="BD285" s="121" t="e">
        <f>IF('Cable Info'!T284="","",CONCATENATE('Cable Info'!T284," - ",'Cable Info'!U284))</f>
        <v>#N/A</v>
      </c>
      <c r="BG285" s="121" t="e">
        <f t="shared" si="87"/>
        <v>#N/A</v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e">
        <f>IF('Cable Info'!R285="","",CONCATENATE('Cable Info'!R285," - ",'Cable Info'!S285))</f>
        <v>#N/A</v>
      </c>
      <c r="BB286" s="121" t="e">
        <f t="shared" si="86"/>
        <v>#N/A</v>
      </c>
      <c r="BD286" s="121" t="e">
        <f>IF('Cable Info'!T285="","",CONCATENATE('Cable Info'!T285," - ",'Cable Info'!U285))</f>
        <v>#N/A</v>
      </c>
      <c r="BG286" s="121" t="e">
        <f t="shared" si="87"/>
        <v>#N/A</v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e">
        <f>IF('Cable Info'!R286="","",CONCATENATE('Cable Info'!R286," - ",'Cable Info'!S286))</f>
        <v>#N/A</v>
      </c>
      <c r="BB287" s="121" t="e">
        <f t="shared" si="86"/>
        <v>#N/A</v>
      </c>
      <c r="BD287" s="121" t="e">
        <f>IF('Cable Info'!T286="","",CONCATENATE('Cable Info'!T286," - ",'Cable Info'!U286))</f>
        <v>#N/A</v>
      </c>
      <c r="BG287" s="121" t="e">
        <f t="shared" si="87"/>
        <v>#N/A</v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e">
        <f>IF('Cable Info'!R287="","",CONCATENATE('Cable Info'!R287," - ",'Cable Info'!S287))</f>
        <v>#N/A</v>
      </c>
      <c r="BB288" s="121" t="e">
        <f t="shared" si="86"/>
        <v>#N/A</v>
      </c>
      <c r="BD288" s="121" t="e">
        <f>IF('Cable Info'!T287="","",CONCATENATE('Cable Info'!T287," - ",'Cable Info'!U287))</f>
        <v>#N/A</v>
      </c>
      <c r="BG288" s="121" t="e">
        <f t="shared" si="87"/>
        <v>#N/A</v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e">
        <f>IF('Cable Info'!R288="","",CONCATENATE('Cable Info'!R288," - ",'Cable Info'!S288))</f>
        <v>#N/A</v>
      </c>
      <c r="BB289" s="121" t="e">
        <f t="shared" si="86"/>
        <v>#N/A</v>
      </c>
      <c r="BD289" s="121" t="e">
        <f>IF('Cable Info'!T288="","",CONCATENATE('Cable Info'!T288," - ",'Cable Info'!U288))</f>
        <v>#N/A</v>
      </c>
      <c r="BG289" s="121" t="e">
        <f t="shared" si="87"/>
        <v>#N/A</v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e">
        <f>IF('Cable Info'!R289="","",CONCATENATE('Cable Info'!R289," - ",'Cable Info'!S289))</f>
        <v>#N/A</v>
      </c>
      <c r="BB290" s="121" t="e">
        <f t="shared" si="86"/>
        <v>#N/A</v>
      </c>
      <c r="BD290" s="121" t="e">
        <f>IF('Cable Info'!T289="","",CONCATENATE('Cable Info'!T289," - ",'Cable Info'!U289))</f>
        <v>#N/A</v>
      </c>
      <c r="BG290" s="121" t="e">
        <f t="shared" si="87"/>
        <v>#N/A</v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e">
        <f>IF('Cable Info'!R290="","",CONCATENATE('Cable Info'!R290," - ",'Cable Info'!S290))</f>
        <v>#N/A</v>
      </c>
      <c r="BB291" s="121" t="e">
        <f t="shared" si="86"/>
        <v>#N/A</v>
      </c>
      <c r="BD291" s="121" t="e">
        <f>IF('Cable Info'!T290="","",CONCATENATE('Cable Info'!T290," - ",'Cable Info'!U290))</f>
        <v>#N/A</v>
      </c>
      <c r="BG291" s="121" t="e">
        <f t="shared" si="87"/>
        <v>#N/A</v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e">
        <f>IF('Cable Info'!R291="","",CONCATENATE('Cable Info'!R291," - ",'Cable Info'!S291))</f>
        <v>#N/A</v>
      </c>
      <c r="BB292" s="121" t="e">
        <f t="shared" si="86"/>
        <v>#N/A</v>
      </c>
      <c r="BD292" s="121" t="e">
        <f>IF('Cable Info'!T291="","",CONCATENATE('Cable Info'!T291," - ",'Cable Info'!U291))</f>
        <v>#N/A</v>
      </c>
      <c r="BG292" s="121" t="e">
        <f t="shared" si="87"/>
        <v>#N/A</v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e">
        <f>IF('Cable Info'!R292="","",CONCATENATE('Cable Info'!R292," - ",'Cable Info'!S292))</f>
        <v>#N/A</v>
      </c>
      <c r="BB293" s="121" t="e">
        <f t="shared" si="86"/>
        <v>#N/A</v>
      </c>
      <c r="BD293" s="121" t="e">
        <f>IF('Cable Info'!T292="","",CONCATENATE('Cable Info'!T292," - ",'Cable Info'!U292))</f>
        <v>#N/A</v>
      </c>
      <c r="BG293" s="121" t="e">
        <f t="shared" si="87"/>
        <v>#N/A</v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e">
        <f>IF('Cable Info'!R293="","",CONCATENATE('Cable Info'!R293," - ",'Cable Info'!S293))</f>
        <v>#N/A</v>
      </c>
      <c r="BB294" s="121" t="e">
        <f t="shared" si="86"/>
        <v>#N/A</v>
      </c>
      <c r="BD294" s="121" t="e">
        <f>IF('Cable Info'!T293="","",CONCATENATE('Cable Info'!T293," - ",'Cable Info'!U293))</f>
        <v>#N/A</v>
      </c>
      <c r="BG294" s="121" t="e">
        <f t="shared" si="87"/>
        <v>#N/A</v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e">
        <f>IF('Cable Info'!R294="","",CONCATENATE('Cable Info'!R294," - ",'Cable Info'!S294))</f>
        <v>#N/A</v>
      </c>
      <c r="BB295" s="121" t="e">
        <f t="shared" si="86"/>
        <v>#N/A</v>
      </c>
      <c r="BD295" s="121" t="e">
        <f>IF('Cable Info'!T294="","",CONCATENATE('Cable Info'!T294," - ",'Cable Info'!U294))</f>
        <v>#N/A</v>
      </c>
      <c r="BG295" s="121" t="e">
        <f t="shared" si="87"/>
        <v>#N/A</v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e">
        <f>IF('Cable Info'!R295="","",CONCATENATE('Cable Info'!R295," - ",'Cable Info'!S295))</f>
        <v>#N/A</v>
      </c>
      <c r="BB296" s="121" t="e">
        <f t="shared" si="86"/>
        <v>#N/A</v>
      </c>
      <c r="BD296" s="121" t="e">
        <f>IF('Cable Info'!T295="","",CONCATENATE('Cable Info'!T295," - ",'Cable Info'!U295))</f>
        <v>#N/A</v>
      </c>
      <c r="BG296" s="121" t="e">
        <f t="shared" si="87"/>
        <v>#N/A</v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e">
        <f>IF('Cable Info'!R296="","",CONCATENATE('Cable Info'!R296," - ",'Cable Info'!S296))</f>
        <v>#N/A</v>
      </c>
      <c r="BB297" s="121" t="e">
        <f t="shared" si="86"/>
        <v>#N/A</v>
      </c>
      <c r="BD297" s="121" t="e">
        <f>IF('Cable Info'!T296="","",CONCATENATE('Cable Info'!T296," - ",'Cable Info'!U296))</f>
        <v>#N/A</v>
      </c>
      <c r="BG297" s="121" t="e">
        <f t="shared" si="87"/>
        <v>#N/A</v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e">
        <f>IF('Cable Info'!R297="","",CONCATENATE('Cable Info'!R297," - ",'Cable Info'!S297))</f>
        <v>#N/A</v>
      </c>
      <c r="BB298" s="121" t="e">
        <f t="shared" si="86"/>
        <v>#N/A</v>
      </c>
      <c r="BD298" s="121" t="e">
        <f>IF('Cable Info'!T297="","",CONCATENATE('Cable Info'!T297," - ",'Cable Info'!U297))</f>
        <v>#N/A</v>
      </c>
      <c r="BG298" s="121" t="e">
        <f t="shared" si="87"/>
        <v>#N/A</v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e">
        <f>IF('Cable Info'!R298="","",CONCATENATE('Cable Info'!R298," - ",'Cable Info'!S298))</f>
        <v>#N/A</v>
      </c>
      <c r="BB299" s="121" t="e">
        <f t="shared" si="86"/>
        <v>#N/A</v>
      </c>
      <c r="BD299" s="121" t="e">
        <f>IF('Cable Info'!T298="","",CONCATENATE('Cable Info'!T298," - ",'Cable Info'!U298))</f>
        <v>#N/A</v>
      </c>
      <c r="BG299" s="121" t="e">
        <f t="shared" si="87"/>
        <v>#N/A</v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e">
        <f>IF('Cable Info'!R299="","",CONCATENATE('Cable Info'!R299," - ",'Cable Info'!S299))</f>
        <v>#N/A</v>
      </c>
      <c r="BB300" s="121" t="e">
        <f t="shared" si="86"/>
        <v>#N/A</v>
      </c>
      <c r="BD300" s="121" t="e">
        <f>IF('Cable Info'!T299="","",CONCATENATE('Cable Info'!T299," - ",'Cable Info'!U299))</f>
        <v>#N/A</v>
      </c>
      <c r="BG300" s="121" t="e">
        <f t="shared" si="87"/>
        <v>#N/A</v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e">
        <f>IF('Cable Info'!R300="","",CONCATENATE('Cable Info'!R300," - ",'Cable Info'!S300))</f>
        <v>#N/A</v>
      </c>
      <c r="BB301" s="121" t="e">
        <f t="shared" si="86"/>
        <v>#N/A</v>
      </c>
      <c r="BD301" s="121" t="e">
        <f>IF('Cable Info'!T300="","",CONCATENATE('Cable Info'!T300," - ",'Cable Info'!U300))</f>
        <v>#N/A</v>
      </c>
      <c r="BG301" s="121" t="e">
        <f t="shared" si="87"/>
        <v>#N/A</v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e">
        <f>IF('Cable Info'!R301="","",CONCATENATE('Cable Info'!R301," - ",'Cable Info'!S301))</f>
        <v>#N/A</v>
      </c>
      <c r="BB302" s="121" t="e">
        <f t="shared" si="86"/>
        <v>#N/A</v>
      </c>
      <c r="BD302" s="121" t="e">
        <f>IF('Cable Info'!T301="","",CONCATENATE('Cable Info'!T301," - ",'Cable Info'!U301))</f>
        <v>#N/A</v>
      </c>
      <c r="BG302" s="121" t="e">
        <f t="shared" si="87"/>
        <v>#N/A</v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e">
        <f>IF('Cable Info'!R302="","",CONCATENATE('Cable Info'!R302," - ",'Cable Info'!S302))</f>
        <v>#N/A</v>
      </c>
      <c r="BB303" s="121" t="e">
        <f t="shared" si="86"/>
        <v>#N/A</v>
      </c>
      <c r="BD303" s="121" t="e">
        <f>IF('Cable Info'!T302="","",CONCATENATE('Cable Info'!T302," - ",'Cable Info'!U302))</f>
        <v>#N/A</v>
      </c>
      <c r="BG303" s="121" t="e">
        <f t="shared" si="87"/>
        <v>#N/A</v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e">
        <f>IF('Cable Info'!R303="","",CONCATENATE('Cable Info'!R303," - ",'Cable Info'!S303))</f>
        <v>#N/A</v>
      </c>
      <c r="BB304" s="121" t="e">
        <f t="shared" si="86"/>
        <v>#N/A</v>
      </c>
      <c r="BD304" s="121" t="e">
        <f>IF('Cable Info'!T303="","",CONCATENATE('Cable Info'!T303," - ",'Cable Info'!U303))</f>
        <v>#N/A</v>
      </c>
      <c r="BG304" s="121" t="e">
        <f t="shared" si="87"/>
        <v>#N/A</v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e">
        <f>IF('Cable Info'!R304="","",CONCATENATE('Cable Info'!R304," - ",'Cable Info'!S304))</f>
        <v>#N/A</v>
      </c>
      <c r="BB305" s="121" t="e">
        <f t="shared" si="86"/>
        <v>#N/A</v>
      </c>
      <c r="BD305" s="121" t="e">
        <f>IF('Cable Info'!T304="","",CONCATENATE('Cable Info'!T304," - ",'Cable Info'!U304))</f>
        <v>#N/A</v>
      </c>
      <c r="BG305" s="121" t="e">
        <f t="shared" si="87"/>
        <v>#N/A</v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e">
        <f>IF('Cable Info'!R305="","",CONCATENATE('Cable Info'!R305," - ",'Cable Info'!S305))</f>
        <v>#N/A</v>
      </c>
      <c r="BB306" s="121" t="e">
        <f t="shared" si="86"/>
        <v>#N/A</v>
      </c>
      <c r="BD306" s="121" t="e">
        <f>IF('Cable Info'!T305="","",CONCATENATE('Cable Info'!T305," - ",'Cable Info'!U305))</f>
        <v>#N/A</v>
      </c>
      <c r="BG306" s="121" t="e">
        <f t="shared" si="87"/>
        <v>#N/A</v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e">
        <f>IF('Cable Info'!R306="","",CONCATENATE('Cable Info'!R306," - ",'Cable Info'!S306))</f>
        <v>#N/A</v>
      </c>
      <c r="BB307" s="121" t="e">
        <f t="shared" si="86"/>
        <v>#N/A</v>
      </c>
      <c r="BD307" s="121" t="e">
        <f>IF('Cable Info'!T306="","",CONCATENATE('Cable Info'!T306," - ",'Cable Info'!U306))</f>
        <v>#N/A</v>
      </c>
      <c r="BG307" s="121" t="e">
        <f t="shared" si="87"/>
        <v>#N/A</v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e">
        <f>IF('Cable Info'!R307="","",CONCATENATE('Cable Info'!R307," - ",'Cable Info'!S307))</f>
        <v>#N/A</v>
      </c>
      <c r="BB308" s="121" t="e">
        <f t="shared" si="86"/>
        <v>#N/A</v>
      </c>
      <c r="BD308" s="121" t="e">
        <f>IF('Cable Info'!T307="","",CONCATENATE('Cable Info'!T307," - ",'Cable Info'!U307))</f>
        <v>#N/A</v>
      </c>
      <c r="BG308" s="121" t="e">
        <f t="shared" si="87"/>
        <v>#N/A</v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e">
        <f>IF('Cable Info'!R308="","",CONCATENATE('Cable Info'!R308," - ",'Cable Info'!S308))</f>
        <v>#N/A</v>
      </c>
      <c r="BB309" s="121" t="e">
        <f t="shared" si="86"/>
        <v>#N/A</v>
      </c>
      <c r="BD309" s="121" t="e">
        <f>IF('Cable Info'!T308="","",CONCATENATE('Cable Info'!T308," - ",'Cable Info'!U308))</f>
        <v>#N/A</v>
      </c>
      <c r="BG309" s="121" t="e">
        <f t="shared" si="87"/>
        <v>#N/A</v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e">
        <f>IF('Cable Info'!R309="","",CONCATENATE('Cable Info'!R309," - ",'Cable Info'!S309))</f>
        <v>#N/A</v>
      </c>
      <c r="BB310" s="121" t="e">
        <f t="shared" si="86"/>
        <v>#N/A</v>
      </c>
      <c r="BD310" s="121" t="e">
        <f>IF('Cable Info'!T309="","",CONCATENATE('Cable Info'!T309," - ",'Cable Info'!U309))</f>
        <v>#N/A</v>
      </c>
      <c r="BG310" s="121" t="e">
        <f t="shared" si="87"/>
        <v>#N/A</v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e">
        <f>IF('Cable Info'!R310="","",CONCATENATE('Cable Info'!R310," - ",'Cable Info'!S310))</f>
        <v>#N/A</v>
      </c>
      <c r="BB311" s="121" t="e">
        <f t="shared" si="86"/>
        <v>#N/A</v>
      </c>
      <c r="BD311" s="121" t="e">
        <f>IF('Cable Info'!T310="","",CONCATENATE('Cable Info'!T310," - ",'Cable Info'!U310))</f>
        <v>#N/A</v>
      </c>
      <c r="BG311" s="121" t="e">
        <f t="shared" si="87"/>
        <v>#N/A</v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e">
        <f>IF('Cable Info'!R311="","",CONCATENATE('Cable Info'!R311," - ",'Cable Info'!S311))</f>
        <v>#N/A</v>
      </c>
      <c r="BB312" s="121" t="e">
        <f t="shared" si="86"/>
        <v>#N/A</v>
      </c>
      <c r="BD312" s="121" t="e">
        <f>IF('Cable Info'!T311="","",CONCATENATE('Cable Info'!T311," - ",'Cable Info'!U311))</f>
        <v>#N/A</v>
      </c>
      <c r="BG312" s="121" t="e">
        <f t="shared" si="87"/>
        <v>#N/A</v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e">
        <f>IF('Cable Info'!R312="","",CONCATENATE('Cable Info'!R312," - ",'Cable Info'!S312))</f>
        <v>#N/A</v>
      </c>
      <c r="BB313" s="121" t="e">
        <f t="shared" si="86"/>
        <v>#N/A</v>
      </c>
      <c r="BD313" s="121" t="e">
        <f>IF('Cable Info'!T312="","",CONCATENATE('Cable Info'!T312," - ",'Cable Info'!U312))</f>
        <v>#N/A</v>
      </c>
      <c r="BG313" s="121" t="e">
        <f t="shared" si="87"/>
        <v>#N/A</v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e">
        <f>IF('Cable Info'!R313="","",CONCATENATE('Cable Info'!R313," - ",'Cable Info'!S313))</f>
        <v>#N/A</v>
      </c>
      <c r="BB314" s="121" t="e">
        <f t="shared" si="86"/>
        <v>#N/A</v>
      </c>
      <c r="BD314" s="121" t="e">
        <f>IF('Cable Info'!T313="","",CONCATENATE('Cable Info'!T313," - ",'Cable Info'!U313))</f>
        <v>#N/A</v>
      </c>
      <c r="BG314" s="121" t="e">
        <f t="shared" si="87"/>
        <v>#N/A</v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e">
        <f>IF('Cable Info'!R314="","",CONCATENATE('Cable Info'!R314," - ",'Cable Info'!S314))</f>
        <v>#N/A</v>
      </c>
      <c r="BB315" s="121" t="e">
        <f t="shared" si="86"/>
        <v>#N/A</v>
      </c>
      <c r="BD315" s="121" t="e">
        <f>IF('Cable Info'!T314="","",CONCATENATE('Cable Info'!T314," - ",'Cable Info'!U314))</f>
        <v>#N/A</v>
      </c>
      <c r="BG315" s="121" t="e">
        <f t="shared" si="87"/>
        <v>#N/A</v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e">
        <f>IF('Cable Info'!R315="","",CONCATENATE('Cable Info'!R315," - ",'Cable Info'!S315))</f>
        <v>#N/A</v>
      </c>
      <c r="BB316" s="121" t="e">
        <f t="shared" si="86"/>
        <v>#N/A</v>
      </c>
      <c r="BD316" s="121" t="e">
        <f>IF('Cable Info'!T315="","",CONCATENATE('Cable Info'!T315," - ",'Cable Info'!U315))</f>
        <v>#N/A</v>
      </c>
      <c r="BG316" s="121" t="e">
        <f t="shared" si="87"/>
        <v>#N/A</v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e">
        <f>IF('Cable Info'!R316="","",CONCATENATE('Cable Info'!R316," - ",'Cable Info'!S316))</f>
        <v>#N/A</v>
      </c>
      <c r="BB317" s="121" t="e">
        <f t="shared" si="86"/>
        <v>#N/A</v>
      </c>
      <c r="BD317" s="121" t="e">
        <f>IF('Cable Info'!T316="","",CONCATENATE('Cable Info'!T316," - ",'Cable Info'!U316))</f>
        <v>#N/A</v>
      </c>
      <c r="BG317" s="121" t="e">
        <f t="shared" si="87"/>
        <v>#N/A</v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e">
        <f>IF('Cable Info'!R317="","",CONCATENATE('Cable Info'!R317," - ",'Cable Info'!S317))</f>
        <v>#N/A</v>
      </c>
      <c r="BB318" s="121" t="e">
        <f t="shared" si="86"/>
        <v>#N/A</v>
      </c>
      <c r="BD318" s="121" t="e">
        <f>IF('Cable Info'!T317="","",CONCATENATE('Cable Info'!T317," - ",'Cable Info'!U317))</f>
        <v>#N/A</v>
      </c>
      <c r="BG318" s="121" t="e">
        <f t="shared" si="87"/>
        <v>#N/A</v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e">
        <f>IF('Cable Info'!R318="","",CONCATENATE('Cable Info'!R318," - ",'Cable Info'!S318))</f>
        <v>#N/A</v>
      </c>
      <c r="BB319" s="121" t="e">
        <f t="shared" si="86"/>
        <v>#N/A</v>
      </c>
      <c r="BD319" s="121" t="e">
        <f>IF('Cable Info'!T318="","",CONCATENATE('Cable Info'!T318," - ",'Cable Info'!U318))</f>
        <v>#N/A</v>
      </c>
      <c r="BG319" s="121" t="e">
        <f t="shared" si="87"/>
        <v>#N/A</v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e">
        <f>IF('Cable Info'!R319="","",CONCATENATE('Cable Info'!R319," - ",'Cable Info'!S319))</f>
        <v>#N/A</v>
      </c>
      <c r="BB320" s="121" t="e">
        <f t="shared" si="86"/>
        <v>#N/A</v>
      </c>
      <c r="BD320" s="121" t="e">
        <f>IF('Cable Info'!T319="","",CONCATENATE('Cable Info'!T319," - ",'Cable Info'!U319))</f>
        <v>#N/A</v>
      </c>
      <c r="BG320" s="121" t="e">
        <f t="shared" si="87"/>
        <v>#N/A</v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e">
        <f>IF('Cable Info'!R320="","",CONCATENATE('Cable Info'!R320," - ",'Cable Info'!S320))</f>
        <v>#N/A</v>
      </c>
      <c r="BB321" s="121" t="e">
        <f t="shared" si="86"/>
        <v>#N/A</v>
      </c>
      <c r="BD321" s="121" t="e">
        <f>IF('Cable Info'!T320="","",CONCATENATE('Cable Info'!T320," - ",'Cable Info'!U320))</f>
        <v>#N/A</v>
      </c>
      <c r="BG321" s="121" t="e">
        <f t="shared" si="87"/>
        <v>#N/A</v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e">
        <f>IF('Cable Info'!R321="","",CONCATENATE('Cable Info'!R321," - ",'Cable Info'!S321))</f>
        <v>#N/A</v>
      </c>
      <c r="BB322" s="121" t="e">
        <f t="shared" si="86"/>
        <v>#N/A</v>
      </c>
      <c r="BD322" s="121" t="e">
        <f>IF('Cable Info'!T321="","",CONCATENATE('Cable Info'!T321," - ",'Cable Info'!U321))</f>
        <v>#N/A</v>
      </c>
      <c r="BG322" s="121" t="e">
        <f t="shared" si="87"/>
        <v>#N/A</v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e">
        <f>IF('Cable Info'!R322="","",CONCATENATE('Cable Info'!R322," - ",'Cable Info'!S322))</f>
        <v>#N/A</v>
      </c>
      <c r="BB323" s="121" t="e">
        <f t="shared" si="86"/>
        <v>#N/A</v>
      </c>
      <c r="BD323" s="121" t="e">
        <f>IF('Cable Info'!T322="","",CONCATENATE('Cable Info'!T322," - ",'Cable Info'!U322))</f>
        <v>#N/A</v>
      </c>
      <c r="BG323" s="121" t="e">
        <f t="shared" si="87"/>
        <v>#N/A</v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e">
        <f>IF('Cable Info'!R323="","",CONCATENATE('Cable Info'!R323," - ",'Cable Info'!S323))</f>
        <v>#N/A</v>
      </c>
      <c r="BB324" s="121" t="e">
        <f t="shared" si="86"/>
        <v>#N/A</v>
      </c>
      <c r="BD324" s="121" t="e">
        <f>IF('Cable Info'!T323="","",CONCATENATE('Cable Info'!T323," - ",'Cable Info'!U323))</f>
        <v>#N/A</v>
      </c>
      <c r="BG324" s="121" t="e">
        <f t="shared" si="87"/>
        <v>#N/A</v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e">
        <f>IF('Cable Info'!R324="","",CONCATENATE('Cable Info'!R324," - ",'Cable Info'!S324))</f>
        <v>#N/A</v>
      </c>
      <c r="BB325" s="121" t="e">
        <f t="shared" si="86"/>
        <v>#N/A</v>
      </c>
      <c r="BD325" s="121" t="e">
        <f>IF('Cable Info'!T324="","",CONCATENATE('Cable Info'!T324," - ",'Cable Info'!U324))</f>
        <v>#N/A</v>
      </c>
      <c r="BG325" s="121" t="e">
        <f t="shared" si="87"/>
        <v>#N/A</v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e">
        <f>IF('Cable Info'!R325="","",CONCATENATE('Cable Info'!R325," - ",'Cable Info'!S325))</f>
        <v>#N/A</v>
      </c>
      <c r="BB326" s="121" t="e">
        <f t="shared" si="86"/>
        <v>#N/A</v>
      </c>
      <c r="BD326" s="121" t="e">
        <f>IF('Cable Info'!T325="","",CONCATENATE('Cable Info'!T325," - ",'Cable Info'!U325))</f>
        <v>#N/A</v>
      </c>
      <c r="BG326" s="121" t="e">
        <f t="shared" si="87"/>
        <v>#N/A</v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e">
        <f>IF('Cable Info'!R326="","",CONCATENATE('Cable Info'!R326," - ",'Cable Info'!S326))</f>
        <v>#N/A</v>
      </c>
      <c r="BB327" s="121" t="e">
        <f t="shared" si="86"/>
        <v>#N/A</v>
      </c>
      <c r="BD327" s="121" t="e">
        <f>IF('Cable Info'!T326="","",CONCATENATE('Cable Info'!T326," - ",'Cable Info'!U326))</f>
        <v>#N/A</v>
      </c>
      <c r="BG327" s="121" t="e">
        <f t="shared" si="87"/>
        <v>#N/A</v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e">
        <f>IF('Cable Info'!R327="","",CONCATENATE('Cable Info'!R327," - ",'Cable Info'!S327))</f>
        <v>#N/A</v>
      </c>
      <c r="BB328" s="121" t="e">
        <f t="shared" si="86"/>
        <v>#N/A</v>
      </c>
      <c r="BD328" s="121" t="e">
        <f>IF('Cable Info'!T327="","",CONCATENATE('Cable Info'!T327," - ",'Cable Info'!U327))</f>
        <v>#N/A</v>
      </c>
      <c r="BG328" s="121" t="e">
        <f t="shared" si="87"/>
        <v>#N/A</v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e">
        <f>IF('Cable Info'!R328="","",CONCATENATE('Cable Info'!R328," - ",'Cable Info'!S328))</f>
        <v>#N/A</v>
      </c>
      <c r="BB329" s="121" t="e">
        <f t="shared" si="86"/>
        <v>#N/A</v>
      </c>
      <c r="BD329" s="121" t="e">
        <f>IF('Cable Info'!T328="","",CONCATENATE('Cable Info'!T328," - ",'Cable Info'!U328))</f>
        <v>#N/A</v>
      </c>
      <c r="BG329" s="121" t="e">
        <f t="shared" si="87"/>
        <v>#N/A</v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e">
        <f>IF('Cable Info'!R329="","",CONCATENATE('Cable Info'!R329," - ",'Cable Info'!S329))</f>
        <v>#N/A</v>
      </c>
      <c r="BB330" s="121" t="e">
        <f t="shared" si="86"/>
        <v>#N/A</v>
      </c>
      <c r="BD330" s="121" t="e">
        <f>IF('Cable Info'!T329="","",CONCATENATE('Cable Info'!T329," - ",'Cable Info'!U329))</f>
        <v>#N/A</v>
      </c>
      <c r="BG330" s="121" t="e">
        <f t="shared" si="87"/>
        <v>#N/A</v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e">
        <f>IF('Cable Info'!R330="","",CONCATENATE('Cable Info'!R330," - ",'Cable Info'!S330))</f>
        <v>#N/A</v>
      </c>
      <c r="BB331" s="121" t="e">
        <f t="shared" si="86"/>
        <v>#N/A</v>
      </c>
      <c r="BD331" s="121" t="e">
        <f>IF('Cable Info'!T330="","",CONCATENATE('Cable Info'!T330," - ",'Cable Info'!U330))</f>
        <v>#N/A</v>
      </c>
      <c r="BG331" s="121" t="e">
        <f t="shared" si="87"/>
        <v>#N/A</v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e">
        <f>IF('Cable Info'!R331="","",CONCATENATE('Cable Info'!R331," - ",'Cable Info'!S331))</f>
        <v>#N/A</v>
      </c>
      <c r="BB332" s="121" t="e">
        <f t="shared" si="86"/>
        <v>#N/A</v>
      </c>
      <c r="BD332" s="121" t="e">
        <f>IF('Cable Info'!T331="","",CONCATENATE('Cable Info'!T331," - ",'Cable Info'!U331))</f>
        <v>#N/A</v>
      </c>
      <c r="BG332" s="121" t="e">
        <f t="shared" si="87"/>
        <v>#N/A</v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e">
        <f>IF('Cable Info'!R332="","",CONCATENATE('Cable Info'!R332," - ",'Cable Info'!S332))</f>
        <v>#N/A</v>
      </c>
      <c r="BB333" s="121" t="e">
        <f t="shared" ref="BB333:BB368" si="98">IF(AZ333="",AY333,CONCATENATE(AY333,"  &lt;=&gt; ",AZ333," ",BA333))</f>
        <v>#N/A</v>
      </c>
      <c r="BD333" s="121" t="e">
        <f>IF('Cable Info'!T332="","",CONCATENATE('Cable Info'!T332," - ",'Cable Info'!U332))</f>
        <v>#N/A</v>
      </c>
      <c r="BG333" s="121" t="e">
        <f t="shared" ref="BG333:BG368" si="99">IF(BE333="",BD333,CONCATENATE(BD333,"  &lt;=&gt; ",BE333," ",BF333))</f>
        <v>#N/A</v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e">
        <f>IF('Cable Info'!R333="","",CONCATENATE('Cable Info'!R333," - ",'Cable Info'!S333))</f>
        <v>#N/A</v>
      </c>
      <c r="BB334" s="121" t="e">
        <f t="shared" si="98"/>
        <v>#N/A</v>
      </c>
      <c r="BD334" s="121" t="e">
        <f>IF('Cable Info'!T333="","",CONCATENATE('Cable Info'!T333," - ",'Cable Info'!U333))</f>
        <v>#N/A</v>
      </c>
      <c r="BG334" s="121" t="e">
        <f t="shared" si="99"/>
        <v>#N/A</v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e">
        <f>IF('Cable Info'!R334="","",CONCATENATE('Cable Info'!R334," - ",'Cable Info'!S334))</f>
        <v>#N/A</v>
      </c>
      <c r="BB335" s="121" t="e">
        <f t="shared" si="98"/>
        <v>#N/A</v>
      </c>
      <c r="BD335" s="121" t="e">
        <f>IF('Cable Info'!T334="","",CONCATENATE('Cable Info'!T334," - ",'Cable Info'!U334))</f>
        <v>#N/A</v>
      </c>
      <c r="BG335" s="121" t="e">
        <f t="shared" si="99"/>
        <v>#N/A</v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e">
        <f>IF('Cable Info'!R335="","",CONCATENATE('Cable Info'!R335," - ",'Cable Info'!S335))</f>
        <v>#N/A</v>
      </c>
      <c r="BB336" s="121" t="e">
        <f t="shared" si="98"/>
        <v>#N/A</v>
      </c>
      <c r="BD336" s="121" t="e">
        <f>IF('Cable Info'!T335="","",CONCATENATE('Cable Info'!T335," - ",'Cable Info'!U335))</f>
        <v>#N/A</v>
      </c>
      <c r="BG336" s="121" t="e">
        <f t="shared" si="99"/>
        <v>#N/A</v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e">
        <f>IF('Cable Info'!R336="","",CONCATENATE('Cable Info'!R336," - ",'Cable Info'!S336))</f>
        <v>#N/A</v>
      </c>
      <c r="BB337" s="121" t="e">
        <f t="shared" si="98"/>
        <v>#N/A</v>
      </c>
      <c r="BD337" s="121" t="e">
        <f>IF('Cable Info'!T336="","",CONCATENATE('Cable Info'!T336," - ",'Cable Info'!U336))</f>
        <v>#N/A</v>
      </c>
      <c r="BG337" s="121" t="e">
        <f t="shared" si="99"/>
        <v>#N/A</v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e">
        <f>IF('Cable Info'!R337="","",CONCATENATE('Cable Info'!R337," - ",'Cable Info'!S337))</f>
        <v>#N/A</v>
      </c>
      <c r="BB338" s="121" t="e">
        <f t="shared" si="98"/>
        <v>#N/A</v>
      </c>
      <c r="BD338" s="121" t="e">
        <f>IF('Cable Info'!T337="","",CONCATENATE('Cable Info'!T337," - ",'Cable Info'!U337))</f>
        <v>#N/A</v>
      </c>
      <c r="BG338" s="121" t="e">
        <f t="shared" si="99"/>
        <v>#N/A</v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e">
        <f>IF('Cable Info'!R338="","",CONCATENATE('Cable Info'!R338," - ",'Cable Info'!S338))</f>
        <v>#N/A</v>
      </c>
      <c r="BB339" s="121" t="e">
        <f t="shared" si="98"/>
        <v>#N/A</v>
      </c>
      <c r="BD339" s="121" t="e">
        <f>IF('Cable Info'!T338="","",CONCATENATE('Cable Info'!T338," - ",'Cable Info'!U338))</f>
        <v>#N/A</v>
      </c>
      <c r="BG339" s="121" t="e">
        <f t="shared" si="99"/>
        <v>#N/A</v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e">
        <f>IF('Cable Info'!R339="","",CONCATENATE('Cable Info'!R339," - ",'Cable Info'!S339))</f>
        <v>#N/A</v>
      </c>
      <c r="BB340" s="121" t="e">
        <f t="shared" si="98"/>
        <v>#N/A</v>
      </c>
      <c r="BD340" s="121" t="e">
        <f>IF('Cable Info'!T339="","",CONCATENATE('Cable Info'!T339," - ",'Cable Info'!U339))</f>
        <v>#N/A</v>
      </c>
      <c r="BG340" s="121" t="e">
        <f t="shared" si="99"/>
        <v>#N/A</v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e">
        <f>IF('Cable Info'!R340="","",CONCATENATE('Cable Info'!R340," - ",'Cable Info'!S340))</f>
        <v>#N/A</v>
      </c>
      <c r="BB341" s="121" t="e">
        <f t="shared" si="98"/>
        <v>#N/A</v>
      </c>
      <c r="BD341" s="121" t="e">
        <f>IF('Cable Info'!T340="","",CONCATENATE('Cable Info'!T340," - ",'Cable Info'!U340))</f>
        <v>#N/A</v>
      </c>
      <c r="BG341" s="121" t="e">
        <f t="shared" si="99"/>
        <v>#N/A</v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e">
        <f>IF('Cable Info'!R341="","",CONCATENATE('Cable Info'!R341," - ",'Cable Info'!S341))</f>
        <v>#N/A</v>
      </c>
      <c r="BB342" s="121" t="e">
        <f t="shared" si="98"/>
        <v>#N/A</v>
      </c>
      <c r="BD342" s="121" t="e">
        <f>IF('Cable Info'!T341="","",CONCATENATE('Cable Info'!T341," - ",'Cable Info'!U341))</f>
        <v>#N/A</v>
      </c>
      <c r="BG342" s="121" t="e">
        <f t="shared" si="99"/>
        <v>#N/A</v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e">
        <f>IF('Cable Info'!R342="","",CONCATENATE('Cable Info'!R342," - ",'Cable Info'!S342))</f>
        <v>#N/A</v>
      </c>
      <c r="BB343" s="121" t="e">
        <f t="shared" si="98"/>
        <v>#N/A</v>
      </c>
      <c r="BD343" s="121" t="e">
        <f>IF('Cable Info'!T342="","",CONCATENATE('Cable Info'!T342," - ",'Cable Info'!U342))</f>
        <v>#N/A</v>
      </c>
      <c r="BG343" s="121" t="e">
        <f t="shared" si="99"/>
        <v>#N/A</v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e">
        <f>IF('Cable Info'!R343="","",CONCATENATE('Cable Info'!R343," - ",'Cable Info'!S343))</f>
        <v>#N/A</v>
      </c>
      <c r="BB344" s="121" t="e">
        <f t="shared" si="98"/>
        <v>#N/A</v>
      </c>
      <c r="BD344" s="121" t="e">
        <f>IF('Cable Info'!T343="","",CONCATENATE('Cable Info'!T343," - ",'Cable Info'!U343))</f>
        <v>#N/A</v>
      </c>
      <c r="BG344" s="121" t="e">
        <f t="shared" si="99"/>
        <v>#N/A</v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e">
        <f>IF('Cable Info'!R344="","",CONCATENATE('Cable Info'!R344," - ",'Cable Info'!S344))</f>
        <v>#N/A</v>
      </c>
      <c r="BB345" s="121" t="e">
        <f t="shared" si="98"/>
        <v>#N/A</v>
      </c>
      <c r="BD345" s="121" t="e">
        <f>IF('Cable Info'!T344="","",CONCATENATE('Cable Info'!T344," - ",'Cable Info'!U344))</f>
        <v>#N/A</v>
      </c>
      <c r="BG345" s="121" t="e">
        <f t="shared" si="99"/>
        <v>#N/A</v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e">
        <f>IF('Cable Info'!R345="","",CONCATENATE('Cable Info'!R345," - ",'Cable Info'!S345))</f>
        <v>#N/A</v>
      </c>
      <c r="BB346" s="121" t="e">
        <f t="shared" si="98"/>
        <v>#N/A</v>
      </c>
      <c r="BD346" s="121" t="e">
        <f>IF('Cable Info'!T345="","",CONCATENATE('Cable Info'!T345," - ",'Cable Info'!U345))</f>
        <v>#N/A</v>
      </c>
      <c r="BG346" s="121" t="e">
        <f t="shared" si="99"/>
        <v>#N/A</v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e">
        <f>IF('Cable Info'!R346="","",CONCATENATE('Cable Info'!R346," - ",'Cable Info'!S346))</f>
        <v>#N/A</v>
      </c>
      <c r="BB347" s="121" t="e">
        <f t="shared" si="98"/>
        <v>#N/A</v>
      </c>
      <c r="BD347" s="121" t="e">
        <f>IF('Cable Info'!T346="","",CONCATENATE('Cable Info'!T346," - ",'Cable Info'!U346))</f>
        <v>#N/A</v>
      </c>
      <c r="BG347" s="121" t="e">
        <f t="shared" si="99"/>
        <v>#N/A</v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e">
        <f>IF('Cable Info'!R347="","",CONCATENATE('Cable Info'!R347," - ",'Cable Info'!S347))</f>
        <v>#N/A</v>
      </c>
      <c r="BB348" s="121" t="e">
        <f t="shared" si="98"/>
        <v>#N/A</v>
      </c>
      <c r="BD348" s="121" t="e">
        <f>IF('Cable Info'!T347="","",CONCATENATE('Cable Info'!T347," - ",'Cable Info'!U347))</f>
        <v>#N/A</v>
      </c>
      <c r="BG348" s="121" t="e">
        <f t="shared" si="99"/>
        <v>#N/A</v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e">
        <f>IF('Cable Info'!R348="","",CONCATENATE('Cable Info'!R348," - ",'Cable Info'!S348))</f>
        <v>#N/A</v>
      </c>
      <c r="BB349" s="121" t="e">
        <f t="shared" si="98"/>
        <v>#N/A</v>
      </c>
      <c r="BD349" s="121" t="e">
        <f>IF('Cable Info'!T348="","",CONCATENATE('Cable Info'!T348," - ",'Cable Info'!U348))</f>
        <v>#N/A</v>
      </c>
      <c r="BG349" s="121" t="e">
        <f t="shared" si="99"/>
        <v>#N/A</v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e">
        <f>IF('Cable Info'!R349="","",CONCATENATE('Cable Info'!R349," - ",'Cable Info'!S349))</f>
        <v>#N/A</v>
      </c>
      <c r="BB350" s="121" t="e">
        <f t="shared" si="98"/>
        <v>#N/A</v>
      </c>
      <c r="BD350" s="121" t="e">
        <f>IF('Cable Info'!T349="","",CONCATENATE('Cable Info'!T349," - ",'Cable Info'!U349))</f>
        <v>#N/A</v>
      </c>
      <c r="BG350" s="121" t="e">
        <f t="shared" si="99"/>
        <v>#N/A</v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e">
        <f>IF('Cable Info'!R350="","",CONCATENATE('Cable Info'!R350," - ",'Cable Info'!S350))</f>
        <v>#N/A</v>
      </c>
      <c r="BB351" s="121" t="e">
        <f t="shared" si="98"/>
        <v>#N/A</v>
      </c>
      <c r="BD351" s="121" t="e">
        <f>IF('Cable Info'!T350="","",CONCATENATE('Cable Info'!T350," - ",'Cable Info'!U350))</f>
        <v>#N/A</v>
      </c>
      <c r="BG351" s="121" t="e">
        <f t="shared" si="99"/>
        <v>#N/A</v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e">
        <f>IF('Cable Info'!R351="","",CONCATENATE('Cable Info'!R351," - ",'Cable Info'!S351))</f>
        <v>#N/A</v>
      </c>
      <c r="BB352" s="121" t="e">
        <f t="shared" si="98"/>
        <v>#N/A</v>
      </c>
      <c r="BD352" s="121" t="e">
        <f>IF('Cable Info'!T351="","",CONCATENATE('Cable Info'!T351," - ",'Cable Info'!U351))</f>
        <v>#N/A</v>
      </c>
      <c r="BG352" s="121" t="e">
        <f t="shared" si="99"/>
        <v>#N/A</v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e">
        <f>IF('Cable Info'!R352="","",CONCATENATE('Cable Info'!R352," - ",'Cable Info'!S352))</f>
        <v>#N/A</v>
      </c>
      <c r="BB353" s="121" t="e">
        <f t="shared" si="98"/>
        <v>#N/A</v>
      </c>
      <c r="BD353" s="121" t="e">
        <f>IF('Cable Info'!T352="","",CONCATENATE('Cable Info'!T352," - ",'Cable Info'!U352))</f>
        <v>#N/A</v>
      </c>
      <c r="BG353" s="121" t="e">
        <f t="shared" si="99"/>
        <v>#N/A</v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e">
        <f>IF('Cable Info'!R353="","",CONCATENATE('Cable Info'!R353," - ",'Cable Info'!S353))</f>
        <v>#N/A</v>
      </c>
      <c r="BB354" s="121" t="e">
        <f t="shared" si="98"/>
        <v>#N/A</v>
      </c>
      <c r="BD354" s="121" t="e">
        <f>IF('Cable Info'!T353="","",CONCATENATE('Cable Info'!T353," - ",'Cable Info'!U353))</f>
        <v>#N/A</v>
      </c>
      <c r="BG354" s="121" t="e">
        <f t="shared" si="99"/>
        <v>#N/A</v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e">
        <f>IF('Cable Info'!R354="","",CONCATENATE('Cable Info'!R354," - ",'Cable Info'!S354))</f>
        <v>#N/A</v>
      </c>
      <c r="BB355" s="121" t="e">
        <f t="shared" si="98"/>
        <v>#N/A</v>
      </c>
      <c r="BD355" s="121" t="e">
        <f>IF('Cable Info'!T354="","",CONCATENATE('Cable Info'!T354," - ",'Cable Info'!U354))</f>
        <v>#N/A</v>
      </c>
      <c r="BG355" s="121" t="e">
        <f t="shared" si="99"/>
        <v>#N/A</v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e">
        <f>IF('Cable Info'!R355="","",CONCATENATE('Cable Info'!R355," - ",'Cable Info'!S355))</f>
        <v>#N/A</v>
      </c>
      <c r="BB356" s="121" t="e">
        <f t="shared" si="98"/>
        <v>#N/A</v>
      </c>
      <c r="BD356" s="121" t="e">
        <f>IF('Cable Info'!T355="","",CONCATENATE('Cable Info'!T355," - ",'Cable Info'!U355))</f>
        <v>#N/A</v>
      </c>
      <c r="BG356" s="121" t="e">
        <f t="shared" si="99"/>
        <v>#N/A</v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e">
        <f>IF('Cable Info'!R356="","",CONCATENATE('Cable Info'!R356," - ",'Cable Info'!S356))</f>
        <v>#N/A</v>
      </c>
      <c r="BB357" s="121" t="e">
        <f t="shared" si="98"/>
        <v>#N/A</v>
      </c>
      <c r="BD357" s="121" t="e">
        <f>IF('Cable Info'!T356="","",CONCATENATE('Cable Info'!T356," - ",'Cable Info'!U356))</f>
        <v>#N/A</v>
      </c>
      <c r="BG357" s="121" t="e">
        <f t="shared" si="99"/>
        <v>#N/A</v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e">
        <f>IF('Cable Info'!R357="","",CONCATENATE('Cable Info'!R357," - ",'Cable Info'!S357))</f>
        <v>#N/A</v>
      </c>
      <c r="BB358" s="121" t="e">
        <f t="shared" si="98"/>
        <v>#N/A</v>
      </c>
      <c r="BD358" s="121" t="e">
        <f>IF('Cable Info'!T357="","",CONCATENATE('Cable Info'!T357," - ",'Cable Info'!U357))</f>
        <v>#N/A</v>
      </c>
      <c r="BG358" s="121" t="e">
        <f t="shared" si="99"/>
        <v>#N/A</v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e">
        <f>IF('Cable Info'!R358="","",CONCATENATE('Cable Info'!R358," - ",'Cable Info'!S358))</f>
        <v>#N/A</v>
      </c>
      <c r="BB359" s="121" t="e">
        <f t="shared" si="98"/>
        <v>#N/A</v>
      </c>
      <c r="BD359" s="121" t="e">
        <f>IF('Cable Info'!T358="","",CONCATENATE('Cable Info'!T358," - ",'Cable Info'!U358))</f>
        <v>#N/A</v>
      </c>
      <c r="BG359" s="121" t="e">
        <f t="shared" si="99"/>
        <v>#N/A</v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e">
        <f>IF('Cable Info'!R359="","",CONCATENATE('Cable Info'!R359," - ",'Cable Info'!S359))</f>
        <v>#N/A</v>
      </c>
      <c r="BB360" s="121" t="e">
        <f t="shared" si="98"/>
        <v>#N/A</v>
      </c>
      <c r="BD360" s="121" t="e">
        <f>IF('Cable Info'!T359="","",CONCATENATE('Cable Info'!T359," - ",'Cable Info'!U359))</f>
        <v>#N/A</v>
      </c>
      <c r="BG360" s="121" t="e">
        <f t="shared" si="99"/>
        <v>#N/A</v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e">
        <f>IF('Cable Info'!R360="","",CONCATENATE('Cable Info'!R360," - ",'Cable Info'!S360))</f>
        <v>#N/A</v>
      </c>
      <c r="BB361" s="121" t="e">
        <f t="shared" si="98"/>
        <v>#N/A</v>
      </c>
      <c r="BD361" s="121" t="e">
        <f>IF('Cable Info'!T360="","",CONCATENATE('Cable Info'!T360," - ",'Cable Info'!U360))</f>
        <v>#N/A</v>
      </c>
      <c r="BG361" s="121" t="e">
        <f t="shared" si="99"/>
        <v>#N/A</v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e">
        <f>IF('Cable Info'!R361="","",CONCATENATE('Cable Info'!R361," - ",'Cable Info'!S361))</f>
        <v>#N/A</v>
      </c>
      <c r="BB362" s="121" t="e">
        <f t="shared" si="98"/>
        <v>#N/A</v>
      </c>
      <c r="BD362" s="121" t="e">
        <f>IF('Cable Info'!T361="","",CONCATENATE('Cable Info'!T361," - ",'Cable Info'!U361))</f>
        <v>#N/A</v>
      </c>
      <c r="BG362" s="121" t="e">
        <f t="shared" si="99"/>
        <v>#N/A</v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e">
        <f>IF('Cable Info'!R362="","",CONCATENATE('Cable Info'!R362," - ",'Cable Info'!S362))</f>
        <v>#N/A</v>
      </c>
      <c r="BB363" s="121" t="e">
        <f t="shared" si="98"/>
        <v>#N/A</v>
      </c>
      <c r="BD363" s="121" t="e">
        <f>IF('Cable Info'!T362="","",CONCATENATE('Cable Info'!T362," - ",'Cable Info'!U362))</f>
        <v>#N/A</v>
      </c>
      <c r="BG363" s="121" t="e">
        <f t="shared" si="99"/>
        <v>#N/A</v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e">
        <f>IF('Cable Info'!R363="","",CONCATENATE('Cable Info'!R363," - ",'Cable Info'!S363))</f>
        <v>#N/A</v>
      </c>
      <c r="BB364" s="121" t="e">
        <f t="shared" si="98"/>
        <v>#N/A</v>
      </c>
      <c r="BD364" s="121" t="e">
        <f>IF('Cable Info'!T363="","",CONCATENATE('Cable Info'!T363," - ",'Cable Info'!U363))</f>
        <v>#N/A</v>
      </c>
      <c r="BG364" s="121" t="e">
        <f t="shared" si="99"/>
        <v>#N/A</v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e">
        <f>IF('Cable Info'!R364="","",CONCATENATE('Cable Info'!R364," - ",'Cable Info'!S364))</f>
        <v>#N/A</v>
      </c>
      <c r="BB365" s="121" t="e">
        <f t="shared" si="98"/>
        <v>#N/A</v>
      </c>
      <c r="BD365" s="121" t="e">
        <f>IF('Cable Info'!T364="","",CONCATENATE('Cable Info'!T364," - ",'Cable Info'!U364))</f>
        <v>#N/A</v>
      </c>
      <c r="BG365" s="121" t="e">
        <f t="shared" si="99"/>
        <v>#N/A</v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e">
        <f>IF('Cable Info'!R365="","",CONCATENATE('Cable Info'!R365," - ",'Cable Info'!S365))</f>
        <v>#N/A</v>
      </c>
      <c r="BB366" s="121" t="e">
        <f t="shared" si="98"/>
        <v>#N/A</v>
      </c>
      <c r="BD366" s="121" t="e">
        <f>IF('Cable Info'!T365="","",CONCATENATE('Cable Info'!T365," - ",'Cable Info'!U365))</f>
        <v>#N/A</v>
      </c>
      <c r="BG366" s="121" t="e">
        <f t="shared" si="99"/>
        <v>#N/A</v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e">
        <f>IF('Cable Info'!R366="","",CONCATENATE('Cable Info'!R366," - ",'Cable Info'!S366))</f>
        <v>#N/A</v>
      </c>
      <c r="BB367" s="121" t="e">
        <f t="shared" si="98"/>
        <v>#N/A</v>
      </c>
      <c r="BD367" s="121" t="e">
        <f>IF('Cable Info'!T366="","",CONCATENATE('Cable Info'!T366," - ",'Cable Info'!U366))</f>
        <v>#N/A</v>
      </c>
      <c r="BG367" s="121" t="e">
        <f t="shared" si="99"/>
        <v>#N/A</v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e">
        <f>IF('Cable Info'!R367="","",CONCATENATE('Cable Info'!R367," - ",'Cable Info'!S367))</f>
        <v>#N/A</v>
      </c>
      <c r="BB368" s="121" t="e">
        <f t="shared" si="98"/>
        <v>#N/A</v>
      </c>
      <c r="BD368" s="121" t="e">
        <f>IF('Cable Info'!T367="","",CONCATENATE('Cable Info'!T367," - ",'Cable Info'!U367))</f>
        <v>#N/A</v>
      </c>
      <c r="BG368" s="121" t="e">
        <f t="shared" si="99"/>
        <v>#N/A</v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e">
        <f>IF('Cable Info'!R186="","",CONCATENATE('Cable Info'!R186," - ",'Cable Info'!S186))</f>
        <v>#N/A</v>
      </c>
      <c r="BB369" s="121" t="e">
        <f t="shared" ref="BB369:BB379" si="110">IF(AZ369="",AY369,CONCATENATE(AY369,"  &lt;=&gt; ",AZ369," ",BA369))</f>
        <v>#N/A</v>
      </c>
      <c r="BD369" s="121" t="e">
        <f>IF('Cable Info'!T186="","",CONCATENATE('Cable Info'!T186," - ",'Cable Info'!U186))</f>
        <v>#N/A</v>
      </c>
      <c r="BG369" s="121" t="e">
        <f t="shared" ref="BG369:BG379" si="111">IF(BE369="",BD369,CONCATENATE(BD369,"  &lt;=&gt; ",BE369," ",BF369))</f>
        <v>#N/A</v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e">
        <f>IF('Cable Info'!R187="","",CONCATENATE('Cable Info'!R187," - ",'Cable Info'!S187))</f>
        <v>#N/A</v>
      </c>
      <c r="BB370" s="121" t="e">
        <f t="shared" si="110"/>
        <v>#N/A</v>
      </c>
      <c r="BD370" s="121" t="e">
        <f>IF('Cable Info'!T187="","",CONCATENATE('Cable Info'!T187," - ",'Cable Info'!U187))</f>
        <v>#N/A</v>
      </c>
      <c r="BG370" s="121" t="e">
        <f t="shared" si="111"/>
        <v>#N/A</v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e">
        <f>IF('Cable Info'!R188="","",CONCATENATE('Cable Info'!R188," - ",'Cable Info'!S188))</f>
        <v>#N/A</v>
      </c>
      <c r="BB371" s="121" t="e">
        <f t="shared" si="110"/>
        <v>#N/A</v>
      </c>
      <c r="BD371" s="121" t="e">
        <f>IF('Cable Info'!T188="","",CONCATENATE('Cable Info'!T188," - ",'Cable Info'!U188))</f>
        <v>#N/A</v>
      </c>
      <c r="BG371" s="121" t="e">
        <f t="shared" si="111"/>
        <v>#N/A</v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e">
        <f>IF('Cable Info'!R189="","",CONCATENATE('Cable Info'!R189," - ",'Cable Info'!S189))</f>
        <v>#N/A</v>
      </c>
      <c r="BB372" s="121" t="e">
        <f t="shared" si="110"/>
        <v>#N/A</v>
      </c>
      <c r="BD372" s="121" t="e">
        <f>IF('Cable Info'!T189="","",CONCATENATE('Cable Info'!T189," - ",'Cable Info'!U189))</f>
        <v>#N/A</v>
      </c>
      <c r="BG372" s="121" t="e">
        <f t="shared" si="111"/>
        <v>#N/A</v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e">
        <f>IF('Cable Info'!R190="","",CONCATENATE('Cable Info'!R190," - ",'Cable Info'!S190))</f>
        <v>#N/A</v>
      </c>
      <c r="BB373" s="121" t="e">
        <f t="shared" si="110"/>
        <v>#N/A</v>
      </c>
      <c r="BD373" s="121" t="e">
        <f>IF('Cable Info'!T190="","",CONCATENATE('Cable Info'!T190," - ",'Cable Info'!U190))</f>
        <v>#N/A</v>
      </c>
      <c r="BG373" s="121" t="e">
        <f t="shared" si="111"/>
        <v>#N/A</v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e">
        <f>IF('Cable Info'!R191="","",CONCATENATE('Cable Info'!R191," - ",'Cable Info'!S191))</f>
        <v>#N/A</v>
      </c>
      <c r="BB374" s="121" t="e">
        <f t="shared" si="110"/>
        <v>#N/A</v>
      </c>
      <c r="BD374" s="121" t="e">
        <f>IF('Cable Info'!T191="","",CONCATENATE('Cable Info'!T191," - ",'Cable Info'!U191))</f>
        <v>#N/A</v>
      </c>
      <c r="BG374" s="121" t="e">
        <f t="shared" si="111"/>
        <v>#N/A</v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e">
        <f>IF('Cable Info'!R192="","",CONCATENATE('Cable Info'!R192," - ",'Cable Info'!S192))</f>
        <v>#N/A</v>
      </c>
      <c r="BB375" s="121" t="e">
        <f t="shared" si="110"/>
        <v>#N/A</v>
      </c>
      <c r="BD375" s="121" t="e">
        <f>IF('Cable Info'!T192="","",CONCATENATE('Cable Info'!T192," - ",'Cable Info'!U192))</f>
        <v>#N/A</v>
      </c>
      <c r="BG375" s="121" t="e">
        <f t="shared" si="111"/>
        <v>#N/A</v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e">
        <f>IF('Cable Info'!R193="","",CONCATENATE('Cable Info'!R193," - ",'Cable Info'!S193))</f>
        <v>#N/A</v>
      </c>
      <c r="BB376" s="121" t="e">
        <f t="shared" si="110"/>
        <v>#N/A</v>
      </c>
      <c r="BD376" s="121" t="e">
        <f>IF('Cable Info'!T193="","",CONCATENATE('Cable Info'!T193," - ",'Cable Info'!U193))</f>
        <v>#N/A</v>
      </c>
      <c r="BG376" s="121" t="e">
        <f t="shared" si="111"/>
        <v>#N/A</v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e">
        <f>IF('Cable Info'!R194="","",CONCATENATE('Cable Info'!R194," - ",'Cable Info'!S194))</f>
        <v>#N/A</v>
      </c>
      <c r="BB377" s="121" t="e">
        <f t="shared" si="110"/>
        <v>#N/A</v>
      </c>
      <c r="BD377" s="121" t="e">
        <f>IF('Cable Info'!T194="","",CONCATENATE('Cable Info'!T194," - ",'Cable Info'!U194))</f>
        <v>#N/A</v>
      </c>
      <c r="BG377" s="121" t="e">
        <f t="shared" si="111"/>
        <v>#N/A</v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e">
        <f>IF('Cable Info'!R195="","",CONCATENATE('Cable Info'!R195," - ",'Cable Info'!S195))</f>
        <v>#N/A</v>
      </c>
      <c r="BB378" s="121" t="e">
        <f t="shared" si="110"/>
        <v>#N/A</v>
      </c>
      <c r="BD378" s="121" t="e">
        <f>IF('Cable Info'!T195="","",CONCATENATE('Cable Info'!T195," - ",'Cable Info'!U195))</f>
        <v>#N/A</v>
      </c>
      <c r="BG378" s="121" t="e">
        <f t="shared" si="111"/>
        <v>#N/A</v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e">
        <f>IF('Cable Info'!R196="","",CONCATENATE('Cable Info'!R196," - ",'Cable Info'!S196))</f>
        <v>#N/A</v>
      </c>
      <c r="BB379" s="121" t="e">
        <f t="shared" si="110"/>
        <v>#N/A</v>
      </c>
      <c r="BD379" s="121" t="e">
        <f>IF('Cable Info'!T196="","",CONCATENATE('Cable Info'!T196," - ",'Cable Info'!U196))</f>
        <v>#N/A</v>
      </c>
      <c r="BG379" s="121" t="e">
        <f t="shared" si="111"/>
        <v>#N/A</v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e">
        <f>IF('Cable Info'!R84="","",CONCATENATE('Cable Info'!R84," - ",'Cable Info'!S84))</f>
        <v>#N/A</v>
      </c>
      <c r="BB380" s="121" t="e">
        <f t="shared" ref="BB380:BB426" si="122">IF(AZ380="",AY380,CONCATENATE(AY380,"  &lt;=&gt; ",AZ380," ",BA380))</f>
        <v>#N/A</v>
      </c>
      <c r="BD380" s="121" t="e">
        <f>IF('Cable Info'!T84="","",CONCATENATE('Cable Info'!T84," - ",'Cable Info'!U84))</f>
        <v>#N/A</v>
      </c>
      <c r="BG380" s="121" t="e">
        <f t="shared" ref="BG380:BG426" si="123">IF(BE380="",BD380,CONCATENATE(BD380,"  &lt;=&gt; ",BE380," ",BF380))</f>
        <v>#N/A</v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e">
        <f>IF('Cable Info'!R85="","",CONCATENATE('Cable Info'!R85," - ",'Cable Info'!S85))</f>
        <v>#N/A</v>
      </c>
      <c r="BB381" s="121" t="e">
        <f t="shared" si="122"/>
        <v>#N/A</v>
      </c>
      <c r="BD381" s="121" t="e">
        <f>IF('Cable Info'!T85="","",CONCATENATE('Cable Info'!T85," - ",'Cable Info'!U85))</f>
        <v>#N/A</v>
      </c>
      <c r="BG381" s="121" t="e">
        <f t="shared" si="123"/>
        <v>#N/A</v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e">
        <f>IF('Cable Info'!R86="","",CONCATENATE('Cable Info'!R86," - ",'Cable Info'!S86))</f>
        <v>#N/A</v>
      </c>
      <c r="AZ382" s="164"/>
      <c r="BA382" s="164"/>
      <c r="BB382" s="164" t="e">
        <f t="shared" si="122"/>
        <v>#N/A</v>
      </c>
      <c r="BC382" s="164"/>
      <c r="BD382" s="164" t="e">
        <f>IF('Cable Info'!T86="","",CONCATENATE('Cable Info'!T86," - ",'Cable Info'!U86))</f>
        <v>#N/A</v>
      </c>
      <c r="BE382" s="164"/>
      <c r="BF382" s="164"/>
      <c r="BG382" s="164" t="e">
        <f t="shared" si="123"/>
        <v>#N/A</v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e">
        <f>IF('Cable Info'!R87="","",CONCATENATE('Cable Info'!R87," - ",'Cable Info'!S87))</f>
        <v>#N/A</v>
      </c>
      <c r="AZ383" s="160"/>
      <c r="BA383" s="160"/>
      <c r="BB383" s="160" t="e">
        <f t="shared" si="122"/>
        <v>#N/A</v>
      </c>
      <c r="BC383" s="160"/>
      <c r="BD383" s="160" t="e">
        <f>IF('Cable Info'!T87="","",CONCATENATE('Cable Info'!T87," - ",'Cable Info'!U87))</f>
        <v>#N/A</v>
      </c>
      <c r="BE383" s="160"/>
      <c r="BF383" s="160"/>
      <c r="BG383" s="160" t="e">
        <f t="shared" si="123"/>
        <v>#N/A</v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e">
        <f>IF('Cable Info'!R88="","",CONCATENATE('Cable Info'!R88," - ",'Cable Info'!S88))</f>
        <v>#N/A</v>
      </c>
      <c r="BB384" s="121" t="e">
        <f t="shared" si="122"/>
        <v>#N/A</v>
      </c>
      <c r="BD384" s="121" t="e">
        <f>IF('Cable Info'!T88="","",CONCATENATE('Cable Info'!T88," - ",'Cable Info'!U88))</f>
        <v>#N/A</v>
      </c>
      <c r="BG384" s="121" t="e">
        <f t="shared" si="123"/>
        <v>#N/A</v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e">
        <f>IF('Cable Info'!R89="","",CONCATENATE('Cable Info'!R89," - ",'Cable Info'!S89))</f>
        <v>#N/A</v>
      </c>
      <c r="BB385" s="121" t="e">
        <f t="shared" si="122"/>
        <v>#N/A</v>
      </c>
      <c r="BD385" s="121" t="e">
        <f>IF('Cable Info'!T89="","",CONCATENATE('Cable Info'!T89," - ",'Cable Info'!U89))</f>
        <v>#N/A</v>
      </c>
      <c r="BG385" s="121" t="e">
        <f t="shared" si="123"/>
        <v>#N/A</v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e">
        <f>IF('Cable Info'!R90="","",CONCATENATE('Cable Info'!R90," - ",'Cable Info'!S90))</f>
        <v>#N/A</v>
      </c>
      <c r="BB386" s="121" t="e">
        <f t="shared" si="122"/>
        <v>#N/A</v>
      </c>
      <c r="BD386" s="121" t="e">
        <f>IF('Cable Info'!T90="","",CONCATENATE('Cable Info'!T90," - ",'Cable Info'!U90))</f>
        <v>#N/A</v>
      </c>
      <c r="BG386" s="121" t="e">
        <f t="shared" si="123"/>
        <v>#N/A</v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e">
        <f>IF('Cable Info'!R91="","",CONCATENATE('Cable Info'!R91," - ",'Cable Info'!S91))</f>
        <v>#N/A</v>
      </c>
      <c r="BB387" s="121" t="e">
        <f t="shared" si="122"/>
        <v>#N/A</v>
      </c>
      <c r="BD387" s="121" t="e">
        <f>IF('Cable Info'!T91="","",CONCATENATE('Cable Info'!T91," - ",'Cable Info'!U91))</f>
        <v>#N/A</v>
      </c>
      <c r="BG387" s="121" t="e">
        <f t="shared" si="123"/>
        <v>#N/A</v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e">
        <f>IF('Cable Info'!R92="","",CONCATENATE('Cable Info'!R92," - ",'Cable Info'!S92))</f>
        <v>#N/A</v>
      </c>
      <c r="BB388" s="121" t="e">
        <f t="shared" si="122"/>
        <v>#N/A</v>
      </c>
      <c r="BD388" s="121" t="e">
        <f>IF('Cable Info'!T92="","",CONCATENATE('Cable Info'!T92," - ",'Cable Info'!U92))</f>
        <v>#N/A</v>
      </c>
      <c r="BG388" s="121" t="e">
        <f t="shared" si="123"/>
        <v>#N/A</v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e">
        <f>IF('Cable Info'!R93="","",CONCATENATE('Cable Info'!R93," - ",'Cable Info'!S93))</f>
        <v>#N/A</v>
      </c>
      <c r="BB389" s="121" t="e">
        <f t="shared" si="122"/>
        <v>#N/A</v>
      </c>
      <c r="BD389" s="121" t="e">
        <f>IF('Cable Info'!T93="","",CONCATENATE('Cable Info'!T93," - ",'Cable Info'!U93))</f>
        <v>#N/A</v>
      </c>
      <c r="BG389" s="121" t="e">
        <f t="shared" si="123"/>
        <v>#N/A</v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e">
        <f>IF('Cable Info'!R94="","",CONCATENATE('Cable Info'!R94," - ",'Cable Info'!S94))</f>
        <v>#N/A</v>
      </c>
      <c r="BB390" s="121" t="e">
        <f t="shared" si="122"/>
        <v>#N/A</v>
      </c>
      <c r="BD390" s="121" t="e">
        <f>IF('Cable Info'!T94="","",CONCATENATE('Cable Info'!T94," - ",'Cable Info'!U94))</f>
        <v>#N/A</v>
      </c>
      <c r="BG390" s="121" t="e">
        <f t="shared" si="123"/>
        <v>#N/A</v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e">
        <f>IF('Cable Info'!R95="","",CONCATENATE('Cable Info'!R95," - ",'Cable Info'!S95))</f>
        <v>#N/A</v>
      </c>
      <c r="BB391" s="121" t="e">
        <f t="shared" si="122"/>
        <v>#N/A</v>
      </c>
      <c r="BD391" s="121" t="e">
        <f>IF('Cable Info'!T95="","",CONCATENATE('Cable Info'!T95," - ",'Cable Info'!U95))</f>
        <v>#N/A</v>
      </c>
      <c r="BG391" s="121" t="e">
        <f t="shared" si="123"/>
        <v>#N/A</v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e">
        <f>IF('Cable Info'!R96="","",CONCATENATE('Cable Info'!R96," - ",'Cable Info'!S96))</f>
        <v>#N/A</v>
      </c>
      <c r="BB392" s="121" t="e">
        <f t="shared" si="122"/>
        <v>#N/A</v>
      </c>
      <c r="BD392" s="121" t="e">
        <f>IF('Cable Info'!T96="","",CONCATENATE('Cable Info'!T96," - ",'Cable Info'!U96))</f>
        <v>#N/A</v>
      </c>
      <c r="BG392" s="121" t="e">
        <f t="shared" si="123"/>
        <v>#N/A</v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e">
        <f>IF('Cable Info'!R97="","",CONCATENATE('Cable Info'!R97," - ",'Cable Info'!S97))</f>
        <v>#N/A</v>
      </c>
      <c r="BB393" s="121" t="e">
        <f t="shared" si="122"/>
        <v>#N/A</v>
      </c>
      <c r="BD393" s="121" t="e">
        <f>IF('Cable Info'!T97="","",CONCATENATE('Cable Info'!T97," - ",'Cable Info'!U97))</f>
        <v>#N/A</v>
      </c>
      <c r="BG393" s="121" t="e">
        <f t="shared" si="123"/>
        <v>#N/A</v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e">
        <f>IF('Cable Info'!R98="","",CONCATENATE('Cable Info'!R98," - ",'Cable Info'!S98))</f>
        <v>#N/A</v>
      </c>
      <c r="BB394" s="121" t="e">
        <f t="shared" si="122"/>
        <v>#N/A</v>
      </c>
      <c r="BD394" s="121" t="e">
        <f>IF('Cable Info'!T98="","",CONCATENATE('Cable Info'!T98," - ",'Cable Info'!U98))</f>
        <v>#N/A</v>
      </c>
      <c r="BG394" s="121" t="e">
        <f t="shared" si="123"/>
        <v>#N/A</v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e">
        <f>IF('Cable Info'!R99="","",CONCATENATE('Cable Info'!R99," - ",'Cable Info'!S99))</f>
        <v>#N/A</v>
      </c>
      <c r="BB395" s="121" t="e">
        <f t="shared" si="122"/>
        <v>#N/A</v>
      </c>
      <c r="BD395" s="121" t="e">
        <f>IF('Cable Info'!T99="","",CONCATENATE('Cable Info'!T99," - ",'Cable Info'!U99))</f>
        <v>#N/A</v>
      </c>
      <c r="BG395" s="121" t="e">
        <f t="shared" si="123"/>
        <v>#N/A</v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e">
        <f>IF('Cable Info'!R100="","",CONCATENATE('Cable Info'!R100," - ",'Cable Info'!S100))</f>
        <v>#N/A</v>
      </c>
      <c r="BB396" s="121" t="e">
        <f t="shared" si="122"/>
        <v>#N/A</v>
      </c>
      <c r="BD396" s="121" t="e">
        <f>IF('Cable Info'!T100="","",CONCATENATE('Cable Info'!T100," - ",'Cable Info'!U100))</f>
        <v>#N/A</v>
      </c>
      <c r="BG396" s="121" t="e">
        <f t="shared" si="123"/>
        <v>#N/A</v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e">
        <f>IF('Cable Info'!R101="","",CONCATENATE('Cable Info'!R101," - ",'Cable Info'!S101))</f>
        <v>#N/A</v>
      </c>
      <c r="BB397" s="121" t="e">
        <f t="shared" si="122"/>
        <v>#N/A</v>
      </c>
      <c r="BD397" s="121" t="e">
        <f>IF('Cable Info'!T101="","",CONCATENATE('Cable Info'!T101," - ",'Cable Info'!U101))</f>
        <v>#N/A</v>
      </c>
      <c r="BG397" s="121" t="e">
        <f t="shared" si="123"/>
        <v>#N/A</v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e">
        <f>IF('Cable Info'!R102="","",CONCATENATE('Cable Info'!R102," - ",'Cable Info'!S102))</f>
        <v>#N/A</v>
      </c>
      <c r="BB398" s="121" t="e">
        <f t="shared" si="122"/>
        <v>#N/A</v>
      </c>
      <c r="BD398" s="121" t="e">
        <f>IF('Cable Info'!T102="","",CONCATENATE('Cable Info'!T102," - ",'Cable Info'!U102))</f>
        <v>#N/A</v>
      </c>
      <c r="BG398" s="121" t="e">
        <f t="shared" si="123"/>
        <v>#N/A</v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e">
        <f>IF('Cable Info'!R103="","",CONCATENATE('Cable Info'!R103," - ",'Cable Info'!S103))</f>
        <v>#N/A</v>
      </c>
      <c r="BB399" s="121" t="e">
        <f t="shared" si="122"/>
        <v>#N/A</v>
      </c>
      <c r="BD399" s="121" t="e">
        <f>IF('Cable Info'!T103="","",CONCATENATE('Cable Info'!T103," - ",'Cable Info'!U103))</f>
        <v>#N/A</v>
      </c>
      <c r="BG399" s="121" t="e">
        <f t="shared" si="123"/>
        <v>#N/A</v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e">
        <f>IF('Cable Info'!R104="","",CONCATENATE('Cable Info'!R104," - ",'Cable Info'!S104))</f>
        <v>#N/A</v>
      </c>
      <c r="BB400" s="121" t="e">
        <f t="shared" si="122"/>
        <v>#N/A</v>
      </c>
      <c r="BD400" s="121" t="e">
        <f>IF('Cable Info'!T104="","",CONCATENATE('Cable Info'!T104," - ",'Cable Info'!U104))</f>
        <v>#N/A</v>
      </c>
      <c r="BG400" s="121" t="e">
        <f t="shared" si="123"/>
        <v>#N/A</v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e">
        <f>IF('Cable Info'!R105="","",CONCATENATE('Cable Info'!R105," - ",'Cable Info'!S105))</f>
        <v>#N/A</v>
      </c>
      <c r="BB401" s="121" t="e">
        <f t="shared" si="122"/>
        <v>#N/A</v>
      </c>
      <c r="BD401" s="121" t="e">
        <f>IF('Cable Info'!T105="","",CONCATENATE('Cable Info'!T105," - ",'Cable Info'!U105))</f>
        <v>#N/A</v>
      </c>
      <c r="BG401" s="121" t="e">
        <f t="shared" si="123"/>
        <v>#N/A</v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e">
        <f>IF('Cable Info'!R106="","",CONCATENATE('Cable Info'!R106," - ",'Cable Info'!S106))</f>
        <v>#N/A</v>
      </c>
      <c r="BB402" s="121" t="e">
        <f t="shared" si="122"/>
        <v>#N/A</v>
      </c>
      <c r="BD402" s="121" t="e">
        <f>IF('Cable Info'!T106="","",CONCATENATE('Cable Info'!T106," - ",'Cable Info'!U106))</f>
        <v>#N/A</v>
      </c>
      <c r="BG402" s="121" t="e">
        <f t="shared" si="123"/>
        <v>#N/A</v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e">
        <f>IF('Cable Info'!R107="","",CONCATENATE('Cable Info'!R107," - ",'Cable Info'!S107))</f>
        <v>#N/A</v>
      </c>
      <c r="BB403" s="121" t="e">
        <f t="shared" si="122"/>
        <v>#N/A</v>
      </c>
      <c r="BD403" s="121" t="e">
        <f>IF('Cable Info'!T107="","",CONCATENATE('Cable Info'!T107," - ",'Cable Info'!U107))</f>
        <v>#N/A</v>
      </c>
      <c r="BG403" s="121" t="e">
        <f t="shared" si="123"/>
        <v>#N/A</v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e">
        <f>IF('Cable Info'!R108="","",CONCATENATE('Cable Info'!R108," - ",'Cable Info'!S108))</f>
        <v>#N/A</v>
      </c>
      <c r="BB404" s="121" t="e">
        <f t="shared" si="122"/>
        <v>#N/A</v>
      </c>
      <c r="BD404" s="121" t="e">
        <f>IF('Cable Info'!T108="","",CONCATENATE('Cable Info'!T108," - ",'Cable Info'!U108))</f>
        <v>#N/A</v>
      </c>
      <c r="BG404" s="121" t="e">
        <f t="shared" si="123"/>
        <v>#N/A</v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e">
        <f>IF('Cable Info'!R109="","",CONCATENATE('Cable Info'!R109," - ",'Cable Info'!S109))</f>
        <v>#N/A</v>
      </c>
      <c r="BB405" s="121" t="e">
        <f t="shared" si="122"/>
        <v>#N/A</v>
      </c>
      <c r="BD405" s="121" t="e">
        <f>IF('Cable Info'!T109="","",CONCATENATE('Cable Info'!T109," - ",'Cable Info'!U109))</f>
        <v>#N/A</v>
      </c>
      <c r="BG405" s="121" t="e">
        <f t="shared" si="123"/>
        <v>#N/A</v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e">
        <f>IF('Cable Info'!R110="","",CONCATENATE('Cable Info'!R110," - ",'Cable Info'!S110))</f>
        <v>#N/A</v>
      </c>
      <c r="BB406" s="121" t="e">
        <f t="shared" si="122"/>
        <v>#N/A</v>
      </c>
      <c r="BD406" s="121" t="e">
        <f>IF('Cable Info'!T110="","",CONCATENATE('Cable Info'!T110," - ",'Cable Info'!U110))</f>
        <v>#N/A</v>
      </c>
      <c r="BG406" s="121" t="e">
        <f t="shared" si="123"/>
        <v>#N/A</v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e">
        <f>IF('Cable Info'!R111="","",CONCATENATE('Cable Info'!R111," - ",'Cable Info'!S111))</f>
        <v>#N/A</v>
      </c>
      <c r="BB407" s="121" t="e">
        <f t="shared" si="122"/>
        <v>#N/A</v>
      </c>
      <c r="BD407" s="121" t="e">
        <f>IF('Cable Info'!T111="","",CONCATENATE('Cable Info'!T111," - ",'Cable Info'!U111))</f>
        <v>#N/A</v>
      </c>
      <c r="BG407" s="121" t="e">
        <f t="shared" si="123"/>
        <v>#N/A</v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e">
        <f>IF('Cable Info'!R112="","",CONCATENATE('Cable Info'!R112," - ",'Cable Info'!S112))</f>
        <v>#N/A</v>
      </c>
      <c r="BB408" s="121" t="e">
        <f t="shared" si="122"/>
        <v>#N/A</v>
      </c>
      <c r="BD408" s="121" t="e">
        <f>IF('Cable Info'!T112="","",CONCATENATE('Cable Info'!T112," - ",'Cable Info'!U112))</f>
        <v>#N/A</v>
      </c>
      <c r="BG408" s="121" t="e">
        <f t="shared" si="123"/>
        <v>#N/A</v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e">
        <f>IF('Cable Info'!R113="","",CONCATENATE('Cable Info'!R113," - ",'Cable Info'!S113))</f>
        <v>#N/A</v>
      </c>
      <c r="BB409" s="121" t="e">
        <f t="shared" si="122"/>
        <v>#N/A</v>
      </c>
      <c r="BD409" s="121" t="e">
        <f>IF('Cable Info'!T113="","",CONCATENATE('Cable Info'!T113," - ",'Cable Info'!U113))</f>
        <v>#N/A</v>
      </c>
      <c r="BG409" s="121" t="e">
        <f t="shared" si="123"/>
        <v>#N/A</v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e">
        <f>IF('Cable Info'!R114="","",CONCATENATE('Cable Info'!R114," - ",'Cable Info'!S114))</f>
        <v>#N/A</v>
      </c>
      <c r="BB410" s="121" t="e">
        <f t="shared" si="122"/>
        <v>#N/A</v>
      </c>
      <c r="BD410" s="121" t="e">
        <f>IF('Cable Info'!T114="","",CONCATENATE('Cable Info'!T114," - ",'Cable Info'!U114))</f>
        <v>#N/A</v>
      </c>
      <c r="BG410" s="121" t="e">
        <f t="shared" si="123"/>
        <v>#N/A</v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e">
        <f>IF('Cable Info'!R115="","",CONCATENATE('Cable Info'!R115," - ",'Cable Info'!S115))</f>
        <v>#N/A</v>
      </c>
      <c r="BB411" s="121" t="e">
        <f t="shared" si="122"/>
        <v>#N/A</v>
      </c>
      <c r="BD411" s="121" t="e">
        <f>IF('Cable Info'!T115="","",CONCATENATE('Cable Info'!T115," - ",'Cable Info'!U115))</f>
        <v>#N/A</v>
      </c>
      <c r="BG411" s="121" t="e">
        <f t="shared" si="123"/>
        <v>#N/A</v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e">
        <f>IF('Cable Info'!R116="","",CONCATENATE('Cable Info'!R116," - ",'Cable Info'!S116))</f>
        <v>#N/A</v>
      </c>
      <c r="BB412" s="121" t="e">
        <f t="shared" si="122"/>
        <v>#N/A</v>
      </c>
      <c r="BD412" s="121" t="e">
        <f>IF('Cable Info'!T116="","",CONCATENATE('Cable Info'!T116," - ",'Cable Info'!U116))</f>
        <v>#N/A</v>
      </c>
      <c r="BG412" s="121" t="e">
        <f t="shared" si="123"/>
        <v>#N/A</v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e">
        <f>IF('Cable Info'!R117="","",CONCATENATE('Cable Info'!R117," - ",'Cable Info'!S117))</f>
        <v>#N/A</v>
      </c>
      <c r="BB413" s="121" t="e">
        <f t="shared" si="122"/>
        <v>#N/A</v>
      </c>
      <c r="BD413" s="121" t="e">
        <f>IF('Cable Info'!T117="","",CONCATENATE('Cable Info'!T117," - ",'Cable Info'!U117))</f>
        <v>#N/A</v>
      </c>
      <c r="BG413" s="121" t="e">
        <f t="shared" si="123"/>
        <v>#N/A</v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e">
        <f>IF('Cable Info'!R118="","",CONCATENATE('Cable Info'!R118," - ",'Cable Info'!S118))</f>
        <v>#N/A</v>
      </c>
      <c r="BB414" s="121" t="e">
        <f t="shared" si="122"/>
        <v>#N/A</v>
      </c>
      <c r="BD414" s="121" t="e">
        <f>IF('Cable Info'!T118="","",CONCATENATE('Cable Info'!T118," - ",'Cable Info'!U118))</f>
        <v>#N/A</v>
      </c>
      <c r="BG414" s="121" t="e">
        <f t="shared" si="123"/>
        <v>#N/A</v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e">
        <f>IF('Cable Info'!R119="","",CONCATENATE('Cable Info'!R119," - ",'Cable Info'!S119))</f>
        <v>#N/A</v>
      </c>
      <c r="BB415" s="121" t="e">
        <f t="shared" si="122"/>
        <v>#N/A</v>
      </c>
      <c r="BD415" s="121" t="e">
        <f>IF('Cable Info'!T119="","",CONCATENATE('Cable Info'!T119," - ",'Cable Info'!U119))</f>
        <v>#N/A</v>
      </c>
      <c r="BG415" s="121" t="e">
        <f t="shared" si="123"/>
        <v>#N/A</v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e">
        <f>IF('Cable Info'!R120="","",CONCATENATE('Cable Info'!R120," - ",'Cable Info'!S120))</f>
        <v>#N/A</v>
      </c>
      <c r="BB416" s="121" t="e">
        <f t="shared" si="122"/>
        <v>#N/A</v>
      </c>
      <c r="BD416" s="121" t="e">
        <f>IF('Cable Info'!T120="","",CONCATENATE('Cable Info'!T120," - ",'Cable Info'!U120))</f>
        <v>#N/A</v>
      </c>
      <c r="BG416" s="121" t="e">
        <f t="shared" si="123"/>
        <v>#N/A</v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e">
        <f>IF('Cable Info'!R121="","",CONCATENATE('Cable Info'!R121," - ",'Cable Info'!S121))</f>
        <v>#N/A</v>
      </c>
      <c r="BB417" s="121" t="e">
        <f t="shared" si="122"/>
        <v>#N/A</v>
      </c>
      <c r="BD417" s="121" t="e">
        <f>IF('Cable Info'!T121="","",CONCATENATE('Cable Info'!T121," - ",'Cable Info'!U121))</f>
        <v>#N/A</v>
      </c>
      <c r="BG417" s="121" t="e">
        <f t="shared" si="123"/>
        <v>#N/A</v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e">
        <f>IF('Cable Info'!R122="","",CONCATENATE('Cable Info'!R122," - ",'Cable Info'!S122))</f>
        <v>#N/A</v>
      </c>
      <c r="BB418" s="121" t="e">
        <f t="shared" si="122"/>
        <v>#N/A</v>
      </c>
      <c r="BD418" s="121" t="e">
        <f>IF('Cable Info'!T122="","",CONCATENATE('Cable Info'!T122," - ",'Cable Info'!U122))</f>
        <v>#N/A</v>
      </c>
      <c r="BG418" s="121" t="e">
        <f t="shared" si="123"/>
        <v>#N/A</v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e">
        <f>IF('Cable Info'!R123="","",CONCATENATE('Cable Info'!R123," - ",'Cable Info'!S123))</f>
        <v>#N/A</v>
      </c>
      <c r="BB419" s="121" t="e">
        <f t="shared" si="122"/>
        <v>#N/A</v>
      </c>
      <c r="BD419" s="121" t="e">
        <f>IF('Cable Info'!T123="","",CONCATENATE('Cable Info'!T123," - ",'Cable Info'!U123))</f>
        <v>#N/A</v>
      </c>
      <c r="BG419" s="121" t="e">
        <f t="shared" si="123"/>
        <v>#N/A</v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e">
        <f>IF('Cable Info'!R124="","",CONCATENATE('Cable Info'!R124," - ",'Cable Info'!S124))</f>
        <v>#N/A</v>
      </c>
      <c r="BB420" s="121" t="e">
        <f t="shared" si="122"/>
        <v>#N/A</v>
      </c>
      <c r="BD420" s="121" t="e">
        <f>IF('Cable Info'!T124="","",CONCATENATE('Cable Info'!T124," - ",'Cable Info'!U124))</f>
        <v>#N/A</v>
      </c>
      <c r="BG420" s="121" t="e">
        <f t="shared" si="123"/>
        <v>#N/A</v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e">
        <f>IF('Cable Info'!R125="","",CONCATENATE('Cable Info'!R125," - ",'Cable Info'!S125))</f>
        <v>#N/A</v>
      </c>
      <c r="BB421" s="121" t="e">
        <f t="shared" si="122"/>
        <v>#N/A</v>
      </c>
      <c r="BD421" s="121" t="e">
        <f>IF('Cable Info'!T125="","",CONCATENATE('Cable Info'!T125," - ",'Cable Info'!U125))</f>
        <v>#N/A</v>
      </c>
      <c r="BG421" s="121" t="e">
        <f t="shared" si="123"/>
        <v>#N/A</v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e">
        <f>IF('Cable Info'!R126="","",CONCATENATE('Cable Info'!R126," - ",'Cable Info'!S126))</f>
        <v>#N/A</v>
      </c>
      <c r="BB422" s="121" t="e">
        <f t="shared" si="122"/>
        <v>#N/A</v>
      </c>
      <c r="BD422" s="121" t="e">
        <f>IF('Cable Info'!T126="","",CONCATENATE('Cable Info'!T126," - ",'Cable Info'!U126))</f>
        <v>#N/A</v>
      </c>
      <c r="BG422" s="121" t="e">
        <f t="shared" si="123"/>
        <v>#N/A</v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e">
        <f>IF('Cable Info'!R127="","",CONCATENATE('Cable Info'!R127," - ",'Cable Info'!S127))</f>
        <v>#N/A</v>
      </c>
      <c r="BB423" s="121" t="e">
        <f t="shared" si="122"/>
        <v>#N/A</v>
      </c>
      <c r="BD423" s="121" t="e">
        <f>IF('Cable Info'!T127="","",CONCATENATE('Cable Info'!T127," - ",'Cable Info'!U127))</f>
        <v>#N/A</v>
      </c>
      <c r="BG423" s="121" t="e">
        <f t="shared" si="123"/>
        <v>#N/A</v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e">
        <f>IF('Cable Info'!R128="","",CONCATENATE('Cable Info'!R128," - ",'Cable Info'!S128))</f>
        <v>#N/A</v>
      </c>
      <c r="BB424" s="121" t="e">
        <f t="shared" si="122"/>
        <v>#N/A</v>
      </c>
      <c r="BD424" s="121" t="e">
        <f>IF('Cable Info'!T128="","",CONCATENATE('Cable Info'!T128," - ",'Cable Info'!U128))</f>
        <v>#N/A</v>
      </c>
      <c r="BG424" s="121" t="e">
        <f t="shared" si="123"/>
        <v>#N/A</v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e">
        <f>IF('Cable Info'!R129="","",CONCATENATE('Cable Info'!R129," - ",'Cable Info'!S129))</f>
        <v>#N/A</v>
      </c>
      <c r="BB425" s="121" t="e">
        <f t="shared" si="122"/>
        <v>#N/A</v>
      </c>
      <c r="BD425" s="121" t="e">
        <f>IF('Cable Info'!T129="","",CONCATENATE('Cable Info'!T129," - ",'Cable Info'!U129))</f>
        <v>#N/A</v>
      </c>
      <c r="BG425" s="121" t="e">
        <f t="shared" si="123"/>
        <v>#N/A</v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e">
        <f>IF('Cable Info'!R130="","",CONCATENATE('Cable Info'!R130," - ",'Cable Info'!S130))</f>
        <v>#N/A</v>
      </c>
      <c r="BB426" s="121" t="e">
        <f t="shared" si="122"/>
        <v>#N/A</v>
      </c>
      <c r="BD426" s="121" t="e">
        <f>IF('Cable Info'!T130="","",CONCATENATE('Cable Info'!T130," - ",'Cable Info'!U130))</f>
        <v>#N/A</v>
      </c>
      <c r="BG426" s="121" t="e">
        <f t="shared" si="123"/>
        <v>#N/A</v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e">
        <f>IF('Cable Info'!R131="","",CONCATENATE('Cable Info'!R131," - ",'Cable Info'!S131))</f>
        <v>#N/A</v>
      </c>
      <c r="BB427" s="121" t="e">
        <f t="shared" ref="BB427:BB490" si="128">IF(AZ427="",AY427,CONCATENATE(AY427,"  &lt;=&gt; ",AZ427," ",BA427))</f>
        <v>#N/A</v>
      </c>
      <c r="BD427" s="121" t="e">
        <f>IF('Cable Info'!T131="","",CONCATENATE('Cable Info'!T131," - ",'Cable Info'!U131))</f>
        <v>#N/A</v>
      </c>
      <c r="BG427" s="121" t="e">
        <f t="shared" ref="BG427:BG490" si="129">IF(BE427="",BD427,CONCATENATE(BD427,"  &lt;=&gt; ",BE427," ",BF427))</f>
        <v>#N/A</v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e">
        <f>IF('Cable Info'!R132="","",CONCATENATE('Cable Info'!R132," - ",'Cable Info'!S132))</f>
        <v>#N/A</v>
      </c>
      <c r="BB428" s="121" t="e">
        <f t="shared" si="128"/>
        <v>#N/A</v>
      </c>
      <c r="BD428" s="121" t="e">
        <f>IF('Cable Info'!T132="","",CONCATENATE('Cable Info'!T132," - ",'Cable Info'!U132))</f>
        <v>#N/A</v>
      </c>
      <c r="BG428" s="121" t="e">
        <f t="shared" si="129"/>
        <v>#N/A</v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e">
        <f>IF('Cable Info'!R133="","",CONCATENATE('Cable Info'!R133," - ",'Cable Info'!S133))</f>
        <v>#N/A</v>
      </c>
      <c r="BB429" s="121" t="e">
        <f t="shared" si="128"/>
        <v>#N/A</v>
      </c>
      <c r="BD429" s="121" t="e">
        <f>IF('Cable Info'!T133="","",CONCATENATE('Cable Info'!T133," - ",'Cable Info'!U133))</f>
        <v>#N/A</v>
      </c>
      <c r="BG429" s="121" t="e">
        <f t="shared" si="129"/>
        <v>#N/A</v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e">
        <f>IF('Cable Info'!R134="","",CONCATENATE('Cable Info'!R134," - ",'Cable Info'!S134))</f>
        <v>#N/A</v>
      </c>
      <c r="BB430" s="121" t="e">
        <f t="shared" si="128"/>
        <v>#N/A</v>
      </c>
      <c r="BD430" s="121" t="e">
        <f>IF('Cable Info'!T134="","",CONCATENATE('Cable Info'!T134," - ",'Cable Info'!U134))</f>
        <v>#N/A</v>
      </c>
      <c r="BG430" s="121" t="e">
        <f t="shared" si="129"/>
        <v>#N/A</v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e">
        <f>IF('Cable Info'!R135="","",CONCATENATE('Cable Info'!R135," - ",'Cable Info'!S135))</f>
        <v>#N/A</v>
      </c>
      <c r="BB431" s="121" t="e">
        <f t="shared" si="128"/>
        <v>#N/A</v>
      </c>
      <c r="BD431" s="121" t="e">
        <f>IF('Cable Info'!T135="","",CONCATENATE('Cable Info'!T135," - ",'Cable Info'!U135))</f>
        <v>#N/A</v>
      </c>
      <c r="BG431" s="121" t="e">
        <f t="shared" si="129"/>
        <v>#N/A</v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e">
        <f>IF('Cable Info'!R136="","",CONCATENATE('Cable Info'!R136," - ",'Cable Info'!S136))</f>
        <v>#N/A</v>
      </c>
      <c r="BB432" s="121" t="e">
        <f t="shared" si="128"/>
        <v>#N/A</v>
      </c>
      <c r="BD432" s="121" t="e">
        <f>IF('Cable Info'!T136="","",CONCATENATE('Cable Info'!T136," - ",'Cable Info'!U136))</f>
        <v>#N/A</v>
      </c>
      <c r="BG432" s="121" t="e">
        <f t="shared" si="129"/>
        <v>#N/A</v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e">
        <f>IF('Cable Info'!R137="","",CONCATENATE('Cable Info'!R137," - ",'Cable Info'!S137))</f>
        <v>#N/A</v>
      </c>
      <c r="BB433" s="121" t="e">
        <f t="shared" si="128"/>
        <v>#N/A</v>
      </c>
      <c r="BD433" s="121" t="e">
        <f>IF('Cable Info'!T137="","",CONCATENATE('Cable Info'!T137," - ",'Cable Info'!U137))</f>
        <v>#N/A</v>
      </c>
      <c r="BG433" s="121" t="e">
        <f t="shared" si="129"/>
        <v>#N/A</v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e">
        <f>IF('Cable Info'!R138="","",CONCATENATE('Cable Info'!R138," - ",'Cable Info'!S138))</f>
        <v>#N/A</v>
      </c>
      <c r="BB434" s="121" t="e">
        <f t="shared" si="128"/>
        <v>#N/A</v>
      </c>
      <c r="BD434" s="121" t="e">
        <f>IF('Cable Info'!T138="","",CONCATENATE('Cable Info'!T138," - ",'Cable Info'!U138))</f>
        <v>#N/A</v>
      </c>
      <c r="BG434" s="121" t="e">
        <f t="shared" si="129"/>
        <v>#N/A</v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e">
        <f>IF('Cable Info'!R139="","",CONCATENATE('Cable Info'!R139," - ",'Cable Info'!S139))</f>
        <v>#N/A</v>
      </c>
      <c r="BB435" s="121" t="e">
        <f t="shared" si="128"/>
        <v>#N/A</v>
      </c>
      <c r="BD435" s="121" t="e">
        <f>IF('Cable Info'!T139="","",CONCATENATE('Cable Info'!T139," - ",'Cable Info'!U139))</f>
        <v>#N/A</v>
      </c>
      <c r="BG435" s="121" t="e">
        <f t="shared" si="129"/>
        <v>#N/A</v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e">
        <f>IF('Cable Info'!R140="","",CONCATENATE('Cable Info'!R140," - ",'Cable Info'!S140))</f>
        <v>#N/A</v>
      </c>
      <c r="BB436" s="121" t="e">
        <f t="shared" si="128"/>
        <v>#N/A</v>
      </c>
      <c r="BD436" s="121" t="e">
        <f>IF('Cable Info'!T140="","",CONCATENATE('Cable Info'!T140," - ",'Cable Info'!U140))</f>
        <v>#N/A</v>
      </c>
      <c r="BG436" s="121" t="e">
        <f t="shared" si="129"/>
        <v>#N/A</v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e">
        <f>IF('Cable Info'!R141="","",CONCATENATE('Cable Info'!R141," - ",'Cable Info'!S141))</f>
        <v>#N/A</v>
      </c>
      <c r="BB437" s="121" t="e">
        <f t="shared" si="128"/>
        <v>#N/A</v>
      </c>
      <c r="BD437" s="121" t="e">
        <f>IF('Cable Info'!T141="","",CONCATENATE('Cable Info'!T141," - ",'Cable Info'!U141))</f>
        <v>#N/A</v>
      </c>
      <c r="BG437" s="121" t="e">
        <f t="shared" si="129"/>
        <v>#N/A</v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e">
        <f>IF('Cable Info'!R142="","",CONCATENATE('Cable Info'!R142," - ",'Cable Info'!S142))</f>
        <v>#N/A</v>
      </c>
      <c r="BB438" s="121" t="e">
        <f t="shared" si="128"/>
        <v>#N/A</v>
      </c>
      <c r="BD438" s="121" t="e">
        <f>IF('Cable Info'!T142="","",CONCATENATE('Cable Info'!T142," - ",'Cable Info'!U142))</f>
        <v>#N/A</v>
      </c>
      <c r="BG438" s="121" t="e">
        <f t="shared" si="129"/>
        <v>#N/A</v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e">
        <f>IF('Cable Info'!R143="","",CONCATENATE('Cable Info'!R143," - ",'Cable Info'!S143))</f>
        <v>#N/A</v>
      </c>
      <c r="BB439" s="121" t="e">
        <f t="shared" si="128"/>
        <v>#N/A</v>
      </c>
      <c r="BD439" s="121" t="e">
        <f>IF('Cable Info'!T143="","",CONCATENATE('Cable Info'!T143," - ",'Cable Info'!U143))</f>
        <v>#N/A</v>
      </c>
      <c r="BG439" s="121" t="e">
        <f t="shared" si="129"/>
        <v>#N/A</v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e">
        <f>IF('Cable Info'!R144="","",CONCATENATE('Cable Info'!R144," - ",'Cable Info'!S144))</f>
        <v>#N/A</v>
      </c>
      <c r="BB440" s="121" t="e">
        <f t="shared" si="128"/>
        <v>#N/A</v>
      </c>
      <c r="BD440" s="121" t="e">
        <f>IF('Cable Info'!T144="","",CONCATENATE('Cable Info'!T144," - ",'Cable Info'!U144))</f>
        <v>#N/A</v>
      </c>
      <c r="BG440" s="121" t="e">
        <f t="shared" si="129"/>
        <v>#N/A</v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e">
        <f>IF('Cable Info'!R145="","",CONCATENATE('Cable Info'!R145," - ",'Cable Info'!S145))</f>
        <v>#N/A</v>
      </c>
      <c r="BB441" s="121" t="e">
        <f t="shared" si="128"/>
        <v>#N/A</v>
      </c>
      <c r="BD441" s="121" t="e">
        <f>IF('Cable Info'!T145="","",CONCATENATE('Cable Info'!T145," - ",'Cable Info'!U145))</f>
        <v>#N/A</v>
      </c>
      <c r="BG441" s="121" t="e">
        <f t="shared" si="129"/>
        <v>#N/A</v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e">
        <f>IF('Cable Info'!R146="","",CONCATENATE('Cable Info'!R146," - ",'Cable Info'!S146))</f>
        <v>#N/A</v>
      </c>
      <c r="BB442" s="121" t="e">
        <f t="shared" si="128"/>
        <v>#N/A</v>
      </c>
      <c r="BD442" s="121" t="e">
        <f>IF('Cable Info'!T146="","",CONCATENATE('Cable Info'!T146," - ",'Cable Info'!U146))</f>
        <v>#N/A</v>
      </c>
      <c r="BG442" s="121" t="e">
        <f t="shared" si="129"/>
        <v>#N/A</v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e">
        <f>IF('Cable Info'!R147="","",CONCATENATE('Cable Info'!R147," - ",'Cable Info'!S147))</f>
        <v>#N/A</v>
      </c>
      <c r="BB443" s="121" t="e">
        <f t="shared" si="128"/>
        <v>#N/A</v>
      </c>
      <c r="BD443" s="121" t="e">
        <f>IF('Cable Info'!T147="","",CONCATENATE('Cable Info'!T147," - ",'Cable Info'!U147))</f>
        <v>#N/A</v>
      </c>
      <c r="BG443" s="121" t="e">
        <f t="shared" si="129"/>
        <v>#N/A</v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e">
        <f>IF('Cable Info'!R148="","",CONCATENATE('Cable Info'!R148," - ",'Cable Info'!S148))</f>
        <v>#N/A</v>
      </c>
      <c r="BB444" s="121" t="e">
        <f t="shared" si="128"/>
        <v>#N/A</v>
      </c>
      <c r="BD444" s="121" t="e">
        <f>IF('Cable Info'!T148="","",CONCATENATE('Cable Info'!T148," - ",'Cable Info'!U148))</f>
        <v>#N/A</v>
      </c>
      <c r="BG444" s="121" t="e">
        <f t="shared" si="129"/>
        <v>#N/A</v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e">
        <f>IF('Cable Info'!R149="","",CONCATENATE('Cable Info'!R149," - ",'Cable Info'!S149))</f>
        <v>#N/A</v>
      </c>
      <c r="BB445" s="121" t="e">
        <f t="shared" si="128"/>
        <v>#N/A</v>
      </c>
      <c r="BD445" s="121" t="e">
        <f>IF('Cable Info'!T149="","",CONCATENATE('Cable Info'!T149," - ",'Cable Info'!U149))</f>
        <v>#N/A</v>
      </c>
      <c r="BG445" s="121" t="e">
        <f t="shared" si="129"/>
        <v>#N/A</v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e">
        <f>IF('Cable Info'!R150="","",CONCATENATE('Cable Info'!R150," - ",'Cable Info'!S150))</f>
        <v>#N/A</v>
      </c>
      <c r="BB446" s="121" t="e">
        <f t="shared" si="128"/>
        <v>#N/A</v>
      </c>
      <c r="BD446" s="121" t="e">
        <f>IF('Cable Info'!T150="","",CONCATENATE('Cable Info'!T150," - ",'Cable Info'!U150))</f>
        <v>#N/A</v>
      </c>
      <c r="BG446" s="121" t="e">
        <f t="shared" si="129"/>
        <v>#N/A</v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e">
        <f>IF('Cable Info'!R151="","",CONCATENATE('Cable Info'!R151," - ",'Cable Info'!S151))</f>
        <v>#N/A</v>
      </c>
      <c r="BB447" s="121" t="e">
        <f t="shared" si="128"/>
        <v>#N/A</v>
      </c>
      <c r="BD447" s="121" t="e">
        <f>IF('Cable Info'!T151="","",CONCATENATE('Cable Info'!T151," - ",'Cable Info'!U151))</f>
        <v>#N/A</v>
      </c>
      <c r="BG447" s="121" t="e">
        <f t="shared" si="129"/>
        <v>#N/A</v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e">
        <f>IF('Cable Info'!R152="","",CONCATENATE('Cable Info'!R152," - ",'Cable Info'!S152))</f>
        <v>#N/A</v>
      </c>
      <c r="BB448" s="121" t="e">
        <f t="shared" si="128"/>
        <v>#N/A</v>
      </c>
      <c r="BD448" s="121" t="e">
        <f>IF('Cable Info'!T152="","",CONCATENATE('Cable Info'!T152," - ",'Cable Info'!U152))</f>
        <v>#N/A</v>
      </c>
      <c r="BG448" s="121" t="e">
        <f t="shared" si="129"/>
        <v>#N/A</v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e">
        <f>IF('Cable Info'!R153="","",CONCATENATE('Cable Info'!R153," - ",'Cable Info'!S153))</f>
        <v>#N/A</v>
      </c>
      <c r="BB449" s="121" t="e">
        <f t="shared" si="128"/>
        <v>#N/A</v>
      </c>
      <c r="BD449" s="121" t="e">
        <f>IF('Cable Info'!T153="","",CONCATENATE('Cable Info'!T153," - ",'Cable Info'!U153))</f>
        <v>#N/A</v>
      </c>
      <c r="BG449" s="121" t="e">
        <f t="shared" si="129"/>
        <v>#N/A</v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e">
        <f>IF('Cable Info'!R154="","",CONCATENATE('Cable Info'!R154," - ",'Cable Info'!S154))</f>
        <v>#N/A</v>
      </c>
      <c r="BB450" s="121" t="e">
        <f t="shared" si="128"/>
        <v>#N/A</v>
      </c>
      <c r="BD450" s="121" t="e">
        <f>IF('Cable Info'!T154="","",CONCATENATE('Cable Info'!T154," - ",'Cable Info'!U154))</f>
        <v>#N/A</v>
      </c>
      <c r="BG450" s="121" t="e">
        <f t="shared" si="129"/>
        <v>#N/A</v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e">
        <f>IF('Cable Info'!R155="","",CONCATENATE('Cable Info'!R155," - ",'Cable Info'!S155))</f>
        <v>#N/A</v>
      </c>
      <c r="BB451" s="121" t="e">
        <f t="shared" si="128"/>
        <v>#N/A</v>
      </c>
      <c r="BD451" s="121" t="e">
        <f>IF('Cable Info'!T155="","",CONCATENATE('Cable Info'!T155," - ",'Cable Info'!U155))</f>
        <v>#N/A</v>
      </c>
      <c r="BG451" s="121" t="e">
        <f t="shared" si="129"/>
        <v>#N/A</v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e">
        <f>IF('Cable Info'!R156="","",CONCATENATE('Cable Info'!R156," - ",'Cable Info'!S156))</f>
        <v>#N/A</v>
      </c>
      <c r="BB452" s="121" t="e">
        <f t="shared" si="128"/>
        <v>#N/A</v>
      </c>
      <c r="BD452" s="121" t="e">
        <f>IF('Cable Info'!T156="","",CONCATENATE('Cable Info'!T156," - ",'Cable Info'!U156))</f>
        <v>#N/A</v>
      </c>
      <c r="BG452" s="121" t="e">
        <f t="shared" si="129"/>
        <v>#N/A</v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e">
        <f>IF('Cable Info'!R157="","",CONCATENATE('Cable Info'!R157," - ",'Cable Info'!S157))</f>
        <v>#N/A</v>
      </c>
      <c r="BB453" s="121" t="e">
        <f t="shared" si="128"/>
        <v>#N/A</v>
      </c>
      <c r="BD453" s="121" t="e">
        <f>IF('Cable Info'!T157="","",CONCATENATE('Cable Info'!T157," - ",'Cable Info'!U157))</f>
        <v>#N/A</v>
      </c>
      <c r="BG453" s="121" t="e">
        <f t="shared" si="129"/>
        <v>#N/A</v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e">
        <f>IF('Cable Info'!R158="","",CONCATENATE('Cable Info'!R158," - ",'Cable Info'!S158))</f>
        <v>#N/A</v>
      </c>
      <c r="BB454" s="121" t="e">
        <f t="shared" si="128"/>
        <v>#N/A</v>
      </c>
      <c r="BD454" s="121" t="e">
        <f>IF('Cable Info'!T158="","",CONCATENATE('Cable Info'!T158," - ",'Cable Info'!U158))</f>
        <v>#N/A</v>
      </c>
      <c r="BG454" s="121" t="e">
        <f t="shared" si="129"/>
        <v>#N/A</v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e">
        <f>IF('Cable Info'!R159="","",CONCATENATE('Cable Info'!R159," - ",'Cable Info'!S159))</f>
        <v>#N/A</v>
      </c>
      <c r="BB455" s="121" t="e">
        <f t="shared" si="128"/>
        <v>#N/A</v>
      </c>
      <c r="BD455" s="121" t="e">
        <f>IF('Cable Info'!T159="","",CONCATENATE('Cable Info'!T159," - ",'Cable Info'!U159))</f>
        <v>#N/A</v>
      </c>
      <c r="BG455" s="121" t="e">
        <f t="shared" si="129"/>
        <v>#N/A</v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e">
        <f>IF('Cable Info'!R160="","",CONCATENATE('Cable Info'!R160," - ",'Cable Info'!S160))</f>
        <v>#N/A</v>
      </c>
      <c r="BB456" s="121" t="e">
        <f t="shared" si="128"/>
        <v>#N/A</v>
      </c>
      <c r="BD456" s="121" t="e">
        <f>IF('Cable Info'!T160="","",CONCATENATE('Cable Info'!T160," - ",'Cable Info'!U160))</f>
        <v>#N/A</v>
      </c>
      <c r="BG456" s="121" t="e">
        <f t="shared" si="129"/>
        <v>#N/A</v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e">
        <f>IF('Cable Info'!R161="","",CONCATENATE('Cable Info'!R161," - ",'Cable Info'!S161))</f>
        <v>#N/A</v>
      </c>
      <c r="BB457" s="121" t="e">
        <f t="shared" si="128"/>
        <v>#N/A</v>
      </c>
      <c r="BD457" s="121" t="e">
        <f>IF('Cable Info'!T161="","",CONCATENATE('Cable Info'!T161," - ",'Cable Info'!U161))</f>
        <v>#N/A</v>
      </c>
      <c r="BG457" s="121" t="e">
        <f t="shared" si="129"/>
        <v>#N/A</v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e">
        <f>IF('Cable Info'!R162="","",CONCATENATE('Cable Info'!R162," - ",'Cable Info'!S162))</f>
        <v>#N/A</v>
      </c>
      <c r="BB458" s="121" t="e">
        <f t="shared" si="128"/>
        <v>#N/A</v>
      </c>
      <c r="BD458" s="121" t="e">
        <f>IF('Cable Info'!T162="","",CONCATENATE('Cable Info'!T162," - ",'Cable Info'!U162))</f>
        <v>#N/A</v>
      </c>
      <c r="BG458" s="121" t="e">
        <f t="shared" si="129"/>
        <v>#N/A</v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e">
        <f>IF('Cable Info'!R163="","",CONCATENATE('Cable Info'!R163," - ",'Cable Info'!S163))</f>
        <v>#N/A</v>
      </c>
      <c r="BB459" s="121" t="e">
        <f t="shared" si="128"/>
        <v>#N/A</v>
      </c>
      <c r="BD459" s="121" t="e">
        <f>IF('Cable Info'!T163="","",CONCATENATE('Cable Info'!T163," - ",'Cable Info'!U163))</f>
        <v>#N/A</v>
      </c>
      <c r="BG459" s="121" t="e">
        <f t="shared" si="129"/>
        <v>#N/A</v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e">
        <f>IF('Cable Info'!R164="","",CONCATENATE('Cable Info'!R164," - ",'Cable Info'!S164))</f>
        <v>#N/A</v>
      </c>
      <c r="BB460" s="121" t="e">
        <f t="shared" si="128"/>
        <v>#N/A</v>
      </c>
      <c r="BD460" s="121" t="e">
        <f>IF('Cable Info'!T164="","",CONCATENATE('Cable Info'!T164," - ",'Cable Info'!U164))</f>
        <v>#N/A</v>
      </c>
      <c r="BG460" s="121" t="e">
        <f t="shared" si="129"/>
        <v>#N/A</v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e">
        <f>IF('Cable Info'!R165="","",CONCATENATE('Cable Info'!R165," - ",'Cable Info'!S165))</f>
        <v>#N/A</v>
      </c>
      <c r="BB461" s="121" t="e">
        <f t="shared" si="128"/>
        <v>#N/A</v>
      </c>
      <c r="BD461" s="121" t="e">
        <f>IF('Cable Info'!T165="","",CONCATENATE('Cable Info'!T165," - ",'Cable Info'!U165))</f>
        <v>#N/A</v>
      </c>
      <c r="BG461" s="121" t="e">
        <f t="shared" si="129"/>
        <v>#N/A</v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e">
        <f>IF('Cable Info'!R166="","",CONCATENATE('Cable Info'!R166," - ",'Cable Info'!S166))</f>
        <v>#N/A</v>
      </c>
      <c r="BB462" s="121" t="e">
        <f t="shared" si="128"/>
        <v>#N/A</v>
      </c>
      <c r="BD462" s="121" t="e">
        <f>IF('Cable Info'!T166="","",CONCATENATE('Cable Info'!T166," - ",'Cable Info'!U166))</f>
        <v>#N/A</v>
      </c>
      <c r="BG462" s="121" t="e">
        <f t="shared" si="129"/>
        <v>#N/A</v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e">
        <f>IF('Cable Info'!R167="","",CONCATENATE('Cable Info'!R167," - ",'Cable Info'!S167))</f>
        <v>#N/A</v>
      </c>
      <c r="BB463" s="121" t="e">
        <f t="shared" si="128"/>
        <v>#N/A</v>
      </c>
      <c r="BD463" s="121" t="e">
        <f>IF('Cable Info'!T167="","",CONCATENATE('Cable Info'!T167," - ",'Cable Info'!U167))</f>
        <v>#N/A</v>
      </c>
      <c r="BG463" s="121" t="e">
        <f t="shared" si="129"/>
        <v>#N/A</v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e">
        <f>IF('Cable Info'!R168="","",CONCATENATE('Cable Info'!R168," - ",'Cable Info'!S168))</f>
        <v>#N/A</v>
      </c>
      <c r="BB464" s="121" t="e">
        <f t="shared" si="128"/>
        <v>#N/A</v>
      </c>
      <c r="BD464" s="121" t="e">
        <f>IF('Cable Info'!T168="","",CONCATENATE('Cable Info'!T168," - ",'Cable Info'!U168))</f>
        <v>#N/A</v>
      </c>
      <c r="BG464" s="121" t="e">
        <f t="shared" si="129"/>
        <v>#N/A</v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e">
        <f>IF('Cable Info'!R169="","",CONCATENATE('Cable Info'!R169," - ",'Cable Info'!S169))</f>
        <v>#N/A</v>
      </c>
      <c r="BB465" s="121" t="e">
        <f t="shared" si="128"/>
        <v>#N/A</v>
      </c>
      <c r="BD465" s="121" t="e">
        <f>IF('Cable Info'!T169="","",CONCATENATE('Cable Info'!T169," - ",'Cable Info'!U169))</f>
        <v>#N/A</v>
      </c>
      <c r="BG465" s="121" t="e">
        <f t="shared" si="129"/>
        <v>#N/A</v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e">
        <f>IF('Cable Info'!R170="","",CONCATENATE('Cable Info'!R170," - ",'Cable Info'!S170))</f>
        <v>#N/A</v>
      </c>
      <c r="BB466" s="121" t="e">
        <f t="shared" si="128"/>
        <v>#N/A</v>
      </c>
      <c r="BD466" s="121" t="e">
        <f>IF('Cable Info'!T170="","",CONCATENATE('Cable Info'!T170," - ",'Cable Info'!U170))</f>
        <v>#N/A</v>
      </c>
      <c r="BG466" s="121" t="e">
        <f t="shared" si="129"/>
        <v>#N/A</v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e">
        <f>IF('Cable Info'!R171="","",CONCATENATE('Cable Info'!R171," - ",'Cable Info'!S171))</f>
        <v>#N/A</v>
      </c>
      <c r="BB467" s="121" t="e">
        <f t="shared" si="128"/>
        <v>#N/A</v>
      </c>
      <c r="BD467" s="121" t="e">
        <f>IF('Cable Info'!T171="","",CONCATENATE('Cable Info'!T171," - ",'Cable Info'!U171))</f>
        <v>#N/A</v>
      </c>
      <c r="BG467" s="121" t="e">
        <f t="shared" si="129"/>
        <v>#N/A</v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e">
        <f>IF('Cable Info'!R172="","",CONCATENATE('Cable Info'!R172," - ",'Cable Info'!S172))</f>
        <v>#N/A</v>
      </c>
      <c r="BB468" s="121" t="e">
        <f t="shared" si="128"/>
        <v>#N/A</v>
      </c>
      <c r="BD468" s="121" t="e">
        <f>IF('Cable Info'!T172="","",CONCATENATE('Cable Info'!T172," - ",'Cable Info'!U172))</f>
        <v>#N/A</v>
      </c>
      <c r="BG468" s="121" t="e">
        <f t="shared" si="129"/>
        <v>#N/A</v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e">
        <f>IF('Cable Info'!R173="","",CONCATENATE('Cable Info'!R173," - ",'Cable Info'!S173))</f>
        <v>#N/A</v>
      </c>
      <c r="BB469" s="121" t="e">
        <f t="shared" si="128"/>
        <v>#N/A</v>
      </c>
      <c r="BD469" s="121" t="e">
        <f>IF('Cable Info'!T173="","",CONCATENATE('Cable Info'!T173," - ",'Cable Info'!U173))</f>
        <v>#N/A</v>
      </c>
      <c r="BG469" s="121" t="e">
        <f t="shared" si="129"/>
        <v>#N/A</v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e">
        <f>IF('Cable Info'!R174="","",CONCATENATE('Cable Info'!R174," - ",'Cable Info'!S174))</f>
        <v>#N/A</v>
      </c>
      <c r="BB470" s="121" t="e">
        <f t="shared" si="128"/>
        <v>#N/A</v>
      </c>
      <c r="BD470" s="121" t="e">
        <f>IF('Cable Info'!T174="","",CONCATENATE('Cable Info'!T174," - ",'Cable Info'!U174))</f>
        <v>#N/A</v>
      </c>
      <c r="BG470" s="121" t="e">
        <f t="shared" si="129"/>
        <v>#N/A</v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e">
        <f>IF('Cable Info'!R175="","",CONCATENATE('Cable Info'!R175," - ",'Cable Info'!S175))</f>
        <v>#N/A</v>
      </c>
      <c r="BB471" s="121" t="e">
        <f t="shared" si="128"/>
        <v>#N/A</v>
      </c>
      <c r="BD471" s="121" t="e">
        <f>IF('Cable Info'!T175="","",CONCATENATE('Cable Info'!T175," - ",'Cable Info'!U175))</f>
        <v>#N/A</v>
      </c>
      <c r="BG471" s="121" t="e">
        <f t="shared" si="129"/>
        <v>#N/A</v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e">
        <f>IF('Cable Info'!R176="","",CONCATENATE('Cable Info'!R176," - ",'Cable Info'!S176))</f>
        <v>#N/A</v>
      </c>
      <c r="BB472" s="121" t="e">
        <f t="shared" si="128"/>
        <v>#N/A</v>
      </c>
      <c r="BD472" s="121" t="e">
        <f>IF('Cable Info'!T176="","",CONCATENATE('Cable Info'!T176," - ",'Cable Info'!U176))</f>
        <v>#N/A</v>
      </c>
      <c r="BG472" s="121" t="e">
        <f t="shared" si="129"/>
        <v>#N/A</v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e">
        <f>IF('Cable Info'!R177="","",CONCATENATE('Cable Info'!R177," - ",'Cable Info'!S177))</f>
        <v>#N/A</v>
      </c>
      <c r="BB473" s="121" t="e">
        <f t="shared" si="128"/>
        <v>#N/A</v>
      </c>
      <c r="BD473" s="121" t="e">
        <f>IF('Cable Info'!T177="","",CONCATENATE('Cable Info'!T177," - ",'Cable Info'!U177))</f>
        <v>#N/A</v>
      </c>
      <c r="BG473" s="121" t="e">
        <f t="shared" si="129"/>
        <v>#N/A</v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e">
        <f>IF('Cable Info'!R178="","",CONCATENATE('Cable Info'!R178," - ",'Cable Info'!S178))</f>
        <v>#N/A</v>
      </c>
      <c r="BB474" s="121" t="e">
        <f t="shared" si="128"/>
        <v>#N/A</v>
      </c>
      <c r="BD474" s="121" t="e">
        <f>IF('Cable Info'!T178="","",CONCATENATE('Cable Info'!T178," - ",'Cable Info'!U178))</f>
        <v>#N/A</v>
      </c>
      <c r="BG474" s="121" t="e">
        <f t="shared" si="129"/>
        <v>#N/A</v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e">
        <f>IF('Cable Info'!R179="","",CONCATENATE('Cable Info'!R179," - ",'Cable Info'!S179))</f>
        <v>#N/A</v>
      </c>
      <c r="BB475" s="121" t="e">
        <f t="shared" si="128"/>
        <v>#N/A</v>
      </c>
      <c r="BD475" s="121" t="e">
        <f>IF('Cable Info'!T179="","",CONCATENATE('Cable Info'!T179," - ",'Cable Info'!U179))</f>
        <v>#N/A</v>
      </c>
      <c r="BG475" s="121" t="e">
        <f t="shared" si="129"/>
        <v>#N/A</v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e">
        <f>IF('Cable Info'!R180="","",CONCATENATE('Cable Info'!R180," - ",'Cable Info'!S180))</f>
        <v>#N/A</v>
      </c>
      <c r="BB476" s="121" t="e">
        <f t="shared" si="128"/>
        <v>#N/A</v>
      </c>
      <c r="BD476" s="121" t="e">
        <f>IF('Cable Info'!T180="","",CONCATENATE('Cable Info'!T180," - ",'Cable Info'!U180))</f>
        <v>#N/A</v>
      </c>
      <c r="BG476" s="121" t="e">
        <f t="shared" si="129"/>
        <v>#N/A</v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e">
        <f>IF('Cable Info'!R181="","",CONCATENATE('Cable Info'!R181," - ",'Cable Info'!S181))</f>
        <v>#N/A</v>
      </c>
      <c r="BB477" s="121" t="e">
        <f t="shared" si="128"/>
        <v>#N/A</v>
      </c>
      <c r="BD477" s="121" t="e">
        <f>IF('Cable Info'!T181="","",CONCATENATE('Cable Info'!T181," - ",'Cable Info'!U181))</f>
        <v>#N/A</v>
      </c>
      <c r="BG477" s="121" t="e">
        <f t="shared" si="129"/>
        <v>#N/A</v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e">
        <f>IF('Cable Info'!R182="","",CONCATENATE('Cable Info'!R182," - ",'Cable Info'!S182))</f>
        <v>#N/A</v>
      </c>
      <c r="BB478" s="121" t="e">
        <f t="shared" si="128"/>
        <v>#N/A</v>
      </c>
      <c r="BD478" s="121" t="e">
        <f>IF('Cable Info'!T182="","",CONCATENATE('Cable Info'!T182," - ",'Cable Info'!U182))</f>
        <v>#N/A</v>
      </c>
      <c r="BG478" s="121" t="e">
        <f t="shared" si="129"/>
        <v>#N/A</v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e">
        <f>IF('Cable Info'!R183="","",CONCATENATE('Cable Info'!R183," - ",'Cable Info'!S183))</f>
        <v>#N/A</v>
      </c>
      <c r="BB479" s="121" t="e">
        <f t="shared" si="128"/>
        <v>#N/A</v>
      </c>
      <c r="BD479" s="121" t="e">
        <f>IF('Cable Info'!T183="","",CONCATENATE('Cable Info'!T183," - ",'Cable Info'!U183))</f>
        <v>#N/A</v>
      </c>
      <c r="BG479" s="121" t="e">
        <f t="shared" si="129"/>
        <v>#N/A</v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e">
        <f>IF('Cable Info'!R184="","",CONCATENATE('Cable Info'!R184," - ",'Cable Info'!S184))</f>
        <v>#N/A</v>
      </c>
      <c r="BB480" s="121" t="e">
        <f t="shared" si="128"/>
        <v>#N/A</v>
      </c>
      <c r="BD480" s="121" t="e">
        <f>IF('Cable Info'!T184="","",CONCATENATE('Cable Info'!T184," - ",'Cable Info'!U184))</f>
        <v>#N/A</v>
      </c>
      <c r="BG480" s="121" t="e">
        <f t="shared" si="129"/>
        <v>#N/A</v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e">
        <f>IF('Cable Info'!R185="","",CONCATENATE('Cable Info'!R185," - ",'Cable Info'!S185))</f>
        <v>#N/A</v>
      </c>
      <c r="BB481" s="121" t="e">
        <f t="shared" si="128"/>
        <v>#N/A</v>
      </c>
      <c r="BD481" s="121" t="e">
        <f>IF('Cable Info'!T185="","",CONCATENATE('Cable Info'!T185," - ",'Cable Info'!U185))</f>
        <v>#N/A</v>
      </c>
      <c r="BG481" s="121" t="e">
        <f t="shared" si="129"/>
        <v>#N/A</v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e">
        <f>IF('Cable Info'!R186="","",CONCATENATE('Cable Info'!R186," - ",'Cable Info'!S186))</f>
        <v>#N/A</v>
      </c>
      <c r="BB482" s="121" t="e">
        <f t="shared" si="128"/>
        <v>#N/A</v>
      </c>
      <c r="BD482" s="121" t="e">
        <f>IF('Cable Info'!T186="","",CONCATENATE('Cable Info'!T186," - ",'Cable Info'!U186))</f>
        <v>#N/A</v>
      </c>
      <c r="BG482" s="121" t="e">
        <f t="shared" si="129"/>
        <v>#N/A</v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e">
        <f>IF('Cable Info'!R187="","",CONCATENATE('Cable Info'!R187," - ",'Cable Info'!S187))</f>
        <v>#N/A</v>
      </c>
      <c r="BB483" s="121" t="e">
        <f t="shared" si="128"/>
        <v>#N/A</v>
      </c>
      <c r="BD483" s="121" t="e">
        <f>IF('Cable Info'!T187="","",CONCATENATE('Cable Info'!T187," - ",'Cable Info'!U187))</f>
        <v>#N/A</v>
      </c>
      <c r="BG483" s="121" t="e">
        <f t="shared" si="129"/>
        <v>#N/A</v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e">
        <f>IF('Cable Info'!R188="","",CONCATENATE('Cable Info'!R188," - ",'Cable Info'!S188))</f>
        <v>#N/A</v>
      </c>
      <c r="BB484" s="121" t="e">
        <f t="shared" si="128"/>
        <v>#N/A</v>
      </c>
      <c r="BD484" s="121" t="e">
        <f>IF('Cable Info'!T188="","",CONCATENATE('Cable Info'!T188," - ",'Cable Info'!U188))</f>
        <v>#N/A</v>
      </c>
      <c r="BG484" s="121" t="e">
        <f t="shared" si="129"/>
        <v>#N/A</v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e">
        <f>IF('Cable Info'!R189="","",CONCATENATE('Cable Info'!R189," - ",'Cable Info'!S189))</f>
        <v>#N/A</v>
      </c>
      <c r="BB485" s="121" t="e">
        <f t="shared" si="128"/>
        <v>#N/A</v>
      </c>
      <c r="BD485" s="121" t="e">
        <f>IF('Cable Info'!T189="","",CONCATENATE('Cable Info'!T189," - ",'Cable Info'!U189))</f>
        <v>#N/A</v>
      </c>
      <c r="BG485" s="121" t="e">
        <f t="shared" si="129"/>
        <v>#N/A</v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e">
        <f>IF('Cable Info'!R190="","",CONCATENATE('Cable Info'!R190," - ",'Cable Info'!S190))</f>
        <v>#N/A</v>
      </c>
      <c r="BB486" s="121" t="e">
        <f t="shared" si="128"/>
        <v>#N/A</v>
      </c>
      <c r="BD486" s="121" t="e">
        <f>IF('Cable Info'!T190="","",CONCATENATE('Cable Info'!T190," - ",'Cable Info'!U190))</f>
        <v>#N/A</v>
      </c>
      <c r="BG486" s="121" t="e">
        <f t="shared" si="129"/>
        <v>#N/A</v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e">
        <f>IF('Cable Info'!R191="","",CONCATENATE('Cable Info'!R191," - ",'Cable Info'!S191))</f>
        <v>#N/A</v>
      </c>
      <c r="BB487" s="121" t="e">
        <f t="shared" si="128"/>
        <v>#N/A</v>
      </c>
      <c r="BD487" s="121" t="e">
        <f>IF('Cable Info'!T191="","",CONCATENATE('Cable Info'!T191," - ",'Cable Info'!U191))</f>
        <v>#N/A</v>
      </c>
      <c r="BG487" s="121" t="e">
        <f t="shared" si="129"/>
        <v>#N/A</v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e">
        <f>IF('Cable Info'!R192="","",CONCATENATE('Cable Info'!R192," - ",'Cable Info'!S192))</f>
        <v>#N/A</v>
      </c>
      <c r="BB488" s="121" t="e">
        <f t="shared" si="128"/>
        <v>#N/A</v>
      </c>
      <c r="BD488" s="121" t="e">
        <f>IF('Cable Info'!T192="","",CONCATENATE('Cable Info'!T192," - ",'Cable Info'!U192))</f>
        <v>#N/A</v>
      </c>
      <c r="BG488" s="121" t="e">
        <f t="shared" si="129"/>
        <v>#N/A</v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e">
        <f>IF('Cable Info'!R193="","",CONCATENATE('Cable Info'!R193," - ",'Cable Info'!S193))</f>
        <v>#N/A</v>
      </c>
      <c r="BB489" s="121" t="e">
        <f t="shared" si="128"/>
        <v>#N/A</v>
      </c>
      <c r="BD489" s="121" t="e">
        <f>IF('Cable Info'!T193="","",CONCATENATE('Cable Info'!T193," - ",'Cable Info'!U193))</f>
        <v>#N/A</v>
      </c>
      <c r="BG489" s="121" t="e">
        <f t="shared" si="129"/>
        <v>#N/A</v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e">
        <f>IF('Cable Info'!R194="","",CONCATENATE('Cable Info'!R194," - ",'Cable Info'!S194))</f>
        <v>#N/A</v>
      </c>
      <c r="BB490" s="121" t="e">
        <f t="shared" si="128"/>
        <v>#N/A</v>
      </c>
      <c r="BD490" s="121" t="e">
        <f>IF('Cable Info'!T194="","",CONCATENATE('Cable Info'!T194," - ",'Cable Info'!U194))</f>
        <v>#N/A</v>
      </c>
      <c r="BG490" s="121" t="e">
        <f t="shared" si="129"/>
        <v>#N/A</v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e">
        <f>IF('Cable Info'!R195="","",CONCATENATE('Cable Info'!R195," - ",'Cable Info'!S195))</f>
        <v>#N/A</v>
      </c>
      <c r="BB491" s="121" t="e">
        <f t="shared" ref="BB491:BB554" si="134">IF(AZ491="",AY491,CONCATENATE(AY491,"  &lt;=&gt; ",AZ491," ",BA491))</f>
        <v>#N/A</v>
      </c>
      <c r="BD491" s="121" t="e">
        <f>IF('Cable Info'!T195="","",CONCATENATE('Cable Info'!T195," - ",'Cable Info'!U195))</f>
        <v>#N/A</v>
      </c>
      <c r="BG491" s="121" t="e">
        <f t="shared" ref="BG491:BG554" si="135">IF(BE491="",BD491,CONCATENATE(BD491,"  &lt;=&gt; ",BE491," ",BF491))</f>
        <v>#N/A</v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e">
        <f>IF('Cable Info'!R196="","",CONCATENATE('Cable Info'!R196," - ",'Cable Info'!S196))</f>
        <v>#N/A</v>
      </c>
      <c r="BB492" s="121" t="e">
        <f t="shared" si="134"/>
        <v>#N/A</v>
      </c>
      <c r="BD492" s="121" t="e">
        <f>IF('Cable Info'!T196="","",CONCATENATE('Cable Info'!T196," - ",'Cable Info'!U196))</f>
        <v>#N/A</v>
      </c>
      <c r="BG492" s="121" t="e">
        <f t="shared" si="135"/>
        <v>#N/A</v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e">
        <f>IF('Cable Info'!R197="","",CONCATENATE('Cable Info'!R197," - ",'Cable Info'!S197))</f>
        <v>#N/A</v>
      </c>
      <c r="BB493" s="121" t="e">
        <f t="shared" si="134"/>
        <v>#N/A</v>
      </c>
      <c r="BD493" s="121" t="e">
        <f>IF('Cable Info'!T197="","",CONCATENATE('Cable Info'!T197," - ",'Cable Info'!U197))</f>
        <v>#N/A</v>
      </c>
      <c r="BG493" s="121" t="e">
        <f t="shared" si="135"/>
        <v>#N/A</v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e">
        <f>IF('Cable Info'!R198="","",CONCATENATE('Cable Info'!R198," - ",'Cable Info'!S198))</f>
        <v>#N/A</v>
      </c>
      <c r="BB494" s="121" t="e">
        <f t="shared" si="134"/>
        <v>#N/A</v>
      </c>
      <c r="BD494" s="121" t="e">
        <f>IF('Cable Info'!T198="","",CONCATENATE('Cable Info'!T198," - ",'Cable Info'!U198))</f>
        <v>#N/A</v>
      </c>
      <c r="BG494" s="121" t="e">
        <f t="shared" si="135"/>
        <v>#N/A</v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e">
        <f>IF('Cable Info'!R199="","",CONCATENATE('Cable Info'!R199," - ",'Cable Info'!S199))</f>
        <v>#N/A</v>
      </c>
      <c r="BB495" s="121" t="e">
        <f t="shared" si="134"/>
        <v>#N/A</v>
      </c>
      <c r="BD495" s="121" t="e">
        <f>IF('Cable Info'!T199="","",CONCATENATE('Cable Info'!T199," - ",'Cable Info'!U199))</f>
        <v>#N/A</v>
      </c>
      <c r="BG495" s="121" t="e">
        <f t="shared" si="135"/>
        <v>#N/A</v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e">
        <f>IF('Cable Info'!R200="","",CONCATENATE('Cable Info'!R200," - ",'Cable Info'!S200))</f>
        <v>#N/A</v>
      </c>
      <c r="BB496" s="121" t="e">
        <f t="shared" si="134"/>
        <v>#N/A</v>
      </c>
      <c r="BD496" s="121" t="e">
        <f>IF('Cable Info'!T200="","",CONCATENATE('Cable Info'!T200," - ",'Cable Info'!U200))</f>
        <v>#N/A</v>
      </c>
      <c r="BG496" s="121" t="e">
        <f t="shared" si="135"/>
        <v>#N/A</v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e">
        <f>IF('Cable Info'!R201="","",CONCATENATE('Cable Info'!R201," - ",'Cable Info'!S201))</f>
        <v>#N/A</v>
      </c>
      <c r="BB497" s="121" t="e">
        <f t="shared" si="134"/>
        <v>#N/A</v>
      </c>
      <c r="BD497" s="121" t="e">
        <f>IF('Cable Info'!T201="","",CONCATENATE('Cable Info'!T201," - ",'Cable Info'!U201))</f>
        <v>#N/A</v>
      </c>
      <c r="BG497" s="121" t="e">
        <f t="shared" si="135"/>
        <v>#N/A</v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e">
        <f>IF('Cable Info'!R202="","",CONCATENATE('Cable Info'!R202," - ",'Cable Info'!S202))</f>
        <v>#N/A</v>
      </c>
      <c r="BB498" s="121" t="e">
        <f t="shared" si="134"/>
        <v>#N/A</v>
      </c>
      <c r="BD498" s="121" t="e">
        <f>IF('Cable Info'!T202="","",CONCATENATE('Cable Info'!T202," - ",'Cable Info'!U202))</f>
        <v>#N/A</v>
      </c>
      <c r="BG498" s="121" t="e">
        <f t="shared" si="135"/>
        <v>#N/A</v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e">
        <f>IF('Cable Info'!R203="","",CONCATENATE('Cable Info'!R203," - ",'Cable Info'!S203))</f>
        <v>#N/A</v>
      </c>
      <c r="BB499" s="121" t="e">
        <f t="shared" si="134"/>
        <v>#N/A</v>
      </c>
      <c r="BD499" s="121" t="e">
        <f>IF('Cable Info'!T203="","",CONCATENATE('Cable Info'!T203," - ",'Cable Info'!U203))</f>
        <v>#N/A</v>
      </c>
      <c r="BG499" s="121" t="e">
        <f t="shared" si="135"/>
        <v>#N/A</v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e">
        <f>IF('Cable Info'!R204="","",CONCATENATE('Cable Info'!R204," - ",'Cable Info'!S204))</f>
        <v>#N/A</v>
      </c>
      <c r="BB500" s="121" t="e">
        <f t="shared" si="134"/>
        <v>#N/A</v>
      </c>
      <c r="BD500" s="121" t="e">
        <f>IF('Cable Info'!T204="","",CONCATENATE('Cable Info'!T204," - ",'Cable Info'!U204))</f>
        <v>#N/A</v>
      </c>
      <c r="BG500" s="121" t="e">
        <f t="shared" si="135"/>
        <v>#N/A</v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e">
        <f>IF('Cable Info'!R205="","",CONCATENATE('Cable Info'!R205," - ",'Cable Info'!S205))</f>
        <v>#N/A</v>
      </c>
      <c r="BB501" s="121" t="e">
        <f t="shared" si="134"/>
        <v>#N/A</v>
      </c>
      <c r="BD501" s="121" t="e">
        <f>IF('Cable Info'!T205="","",CONCATENATE('Cable Info'!T205," - ",'Cable Info'!U205))</f>
        <v>#N/A</v>
      </c>
      <c r="BG501" s="121" t="e">
        <f t="shared" si="135"/>
        <v>#N/A</v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e">
        <f>IF('Cable Info'!R206="","",CONCATENATE('Cable Info'!R206," - ",'Cable Info'!S206))</f>
        <v>#N/A</v>
      </c>
      <c r="BB502" s="121" t="e">
        <f t="shared" si="134"/>
        <v>#N/A</v>
      </c>
      <c r="BD502" s="121" t="e">
        <f>IF('Cable Info'!T206="","",CONCATENATE('Cable Info'!T206," - ",'Cable Info'!U206))</f>
        <v>#N/A</v>
      </c>
      <c r="BG502" s="121" t="e">
        <f t="shared" si="135"/>
        <v>#N/A</v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e">
        <f>IF('Cable Info'!R207="","",CONCATENATE('Cable Info'!R207," - ",'Cable Info'!S207))</f>
        <v>#N/A</v>
      </c>
      <c r="BB503" s="121" t="e">
        <f t="shared" si="134"/>
        <v>#N/A</v>
      </c>
      <c r="BD503" s="121" t="e">
        <f>IF('Cable Info'!T207="","",CONCATENATE('Cable Info'!T207," - ",'Cable Info'!U207))</f>
        <v>#N/A</v>
      </c>
      <c r="BG503" s="121" t="e">
        <f t="shared" si="135"/>
        <v>#N/A</v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e">
        <f>IF('Cable Info'!R208="","",CONCATENATE('Cable Info'!R208," - ",'Cable Info'!S208))</f>
        <v>#N/A</v>
      </c>
      <c r="BB504" s="121" t="e">
        <f t="shared" si="134"/>
        <v>#N/A</v>
      </c>
      <c r="BD504" s="121" t="e">
        <f>IF('Cable Info'!T208="","",CONCATENATE('Cable Info'!T208," - ",'Cable Info'!U208))</f>
        <v>#N/A</v>
      </c>
      <c r="BG504" s="121" t="e">
        <f t="shared" si="135"/>
        <v>#N/A</v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e">
        <f>IF('Cable Info'!R209="","",CONCATENATE('Cable Info'!R209," - ",'Cable Info'!S209))</f>
        <v>#N/A</v>
      </c>
      <c r="BB505" s="121" t="e">
        <f t="shared" si="134"/>
        <v>#N/A</v>
      </c>
      <c r="BD505" s="121" t="e">
        <f>IF('Cable Info'!T209="","",CONCATENATE('Cable Info'!T209," - ",'Cable Info'!U209))</f>
        <v>#N/A</v>
      </c>
      <c r="BG505" s="121" t="e">
        <f t="shared" si="135"/>
        <v>#N/A</v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e">
        <f>IF('Cable Info'!R210="","",CONCATENATE('Cable Info'!R210," - ",'Cable Info'!S210))</f>
        <v>#N/A</v>
      </c>
      <c r="BB506" s="121" t="e">
        <f t="shared" si="134"/>
        <v>#N/A</v>
      </c>
      <c r="BD506" s="121" t="e">
        <f>IF('Cable Info'!T210="","",CONCATENATE('Cable Info'!T210," - ",'Cable Info'!U210))</f>
        <v>#N/A</v>
      </c>
      <c r="BG506" s="121" t="e">
        <f t="shared" si="135"/>
        <v>#N/A</v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e">
        <f>IF('Cable Info'!R211="","",CONCATENATE('Cable Info'!R211," - ",'Cable Info'!S211))</f>
        <v>#N/A</v>
      </c>
      <c r="BB507" s="121" t="e">
        <f t="shared" si="134"/>
        <v>#N/A</v>
      </c>
      <c r="BD507" s="121" t="e">
        <f>IF('Cable Info'!T211="","",CONCATENATE('Cable Info'!T211," - ",'Cable Info'!U211))</f>
        <v>#N/A</v>
      </c>
      <c r="BG507" s="121" t="e">
        <f t="shared" si="135"/>
        <v>#N/A</v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e">
        <f>IF('Cable Info'!R212="","",CONCATENATE('Cable Info'!R212," - ",'Cable Info'!S212))</f>
        <v>#N/A</v>
      </c>
      <c r="BB508" s="121" t="e">
        <f t="shared" si="134"/>
        <v>#N/A</v>
      </c>
      <c r="BD508" s="121" t="e">
        <f>IF('Cable Info'!T212="","",CONCATENATE('Cable Info'!T212," - ",'Cable Info'!U212))</f>
        <v>#N/A</v>
      </c>
      <c r="BG508" s="121" t="e">
        <f t="shared" si="135"/>
        <v>#N/A</v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e">
        <f>IF('Cable Info'!R213="","",CONCATENATE('Cable Info'!R213," - ",'Cable Info'!S213))</f>
        <v>#N/A</v>
      </c>
      <c r="BB509" s="121" t="e">
        <f t="shared" si="134"/>
        <v>#N/A</v>
      </c>
      <c r="BD509" s="121" t="e">
        <f>IF('Cable Info'!T213="","",CONCATENATE('Cable Info'!T213," - ",'Cable Info'!U213))</f>
        <v>#N/A</v>
      </c>
      <c r="BG509" s="121" t="e">
        <f t="shared" si="135"/>
        <v>#N/A</v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e">
        <f>IF('Cable Info'!R214="","",CONCATENATE('Cable Info'!R214," - ",'Cable Info'!S214))</f>
        <v>#N/A</v>
      </c>
      <c r="BB510" s="121" t="e">
        <f t="shared" si="134"/>
        <v>#N/A</v>
      </c>
      <c r="BD510" s="121" t="e">
        <f>IF('Cable Info'!T214="","",CONCATENATE('Cable Info'!T214," - ",'Cable Info'!U214))</f>
        <v>#N/A</v>
      </c>
      <c r="BG510" s="121" t="e">
        <f t="shared" si="135"/>
        <v>#N/A</v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e">
        <f>IF('Cable Info'!R215="","",CONCATENATE('Cable Info'!R215," - ",'Cable Info'!S215))</f>
        <v>#N/A</v>
      </c>
      <c r="BB511" s="121" t="e">
        <f t="shared" si="134"/>
        <v>#N/A</v>
      </c>
      <c r="BD511" s="121" t="e">
        <f>IF('Cable Info'!T215="","",CONCATENATE('Cable Info'!T215," - ",'Cable Info'!U215))</f>
        <v>#N/A</v>
      </c>
      <c r="BG511" s="121" t="e">
        <f t="shared" si="135"/>
        <v>#N/A</v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e">
        <f>IF('Cable Info'!R216="","",CONCATENATE('Cable Info'!R216," - ",'Cable Info'!S216))</f>
        <v>#N/A</v>
      </c>
      <c r="BB512" s="121" t="e">
        <f t="shared" si="134"/>
        <v>#N/A</v>
      </c>
      <c r="BD512" s="121" t="e">
        <f>IF('Cable Info'!T216="","",CONCATENATE('Cable Info'!T216," - ",'Cable Info'!U216))</f>
        <v>#N/A</v>
      </c>
      <c r="BG512" s="121" t="e">
        <f t="shared" si="135"/>
        <v>#N/A</v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e">
        <f>IF('Cable Info'!R217="","",CONCATENATE('Cable Info'!R217," - ",'Cable Info'!S217))</f>
        <v>#N/A</v>
      </c>
      <c r="BB513" s="121" t="e">
        <f t="shared" si="134"/>
        <v>#N/A</v>
      </c>
      <c r="BD513" s="121" t="e">
        <f>IF('Cable Info'!T217="","",CONCATENATE('Cable Info'!T217," - ",'Cable Info'!U217))</f>
        <v>#N/A</v>
      </c>
      <c r="BG513" s="121" t="e">
        <f t="shared" si="135"/>
        <v>#N/A</v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e">
        <f>IF('Cable Info'!R218="","",CONCATENATE('Cable Info'!R218," - ",'Cable Info'!S218))</f>
        <v>#N/A</v>
      </c>
      <c r="BB514" s="121" t="e">
        <f t="shared" si="134"/>
        <v>#N/A</v>
      </c>
      <c r="BD514" s="121" t="e">
        <f>IF('Cable Info'!T218="","",CONCATENATE('Cable Info'!T218," - ",'Cable Info'!U218))</f>
        <v>#N/A</v>
      </c>
      <c r="BG514" s="121" t="e">
        <f t="shared" si="135"/>
        <v>#N/A</v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e">
        <f>IF('Cable Info'!R219="","",CONCATENATE('Cable Info'!R219," - ",'Cable Info'!S219))</f>
        <v>#N/A</v>
      </c>
      <c r="BB515" s="121" t="e">
        <f t="shared" si="134"/>
        <v>#N/A</v>
      </c>
      <c r="BD515" s="121" t="e">
        <f>IF('Cable Info'!T219="","",CONCATENATE('Cable Info'!T219," - ",'Cable Info'!U219))</f>
        <v>#N/A</v>
      </c>
      <c r="BG515" s="121" t="e">
        <f t="shared" si="135"/>
        <v>#N/A</v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e">
        <f>IF('Cable Info'!R220="","",CONCATENATE('Cable Info'!R220," - ",'Cable Info'!S220))</f>
        <v>#N/A</v>
      </c>
      <c r="BB516" s="121" t="e">
        <f t="shared" si="134"/>
        <v>#N/A</v>
      </c>
      <c r="BD516" s="121" t="e">
        <f>IF('Cable Info'!T220="","",CONCATENATE('Cable Info'!T220," - ",'Cable Info'!U220))</f>
        <v>#N/A</v>
      </c>
      <c r="BG516" s="121" t="e">
        <f t="shared" si="135"/>
        <v>#N/A</v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e">
        <f>IF('Cable Info'!R221="","",CONCATENATE('Cable Info'!R221," - ",'Cable Info'!S221))</f>
        <v>#N/A</v>
      </c>
      <c r="BB517" s="121" t="e">
        <f t="shared" si="134"/>
        <v>#N/A</v>
      </c>
      <c r="BD517" s="121" t="e">
        <f>IF('Cable Info'!T221="","",CONCATENATE('Cable Info'!T221," - ",'Cable Info'!U221))</f>
        <v>#N/A</v>
      </c>
      <c r="BG517" s="121" t="e">
        <f t="shared" si="135"/>
        <v>#N/A</v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e">
        <f>IF('Cable Info'!R222="","",CONCATENATE('Cable Info'!R222," - ",'Cable Info'!S222))</f>
        <v>#N/A</v>
      </c>
      <c r="BB518" s="121" t="e">
        <f t="shared" si="134"/>
        <v>#N/A</v>
      </c>
      <c r="BD518" s="121" t="e">
        <f>IF('Cable Info'!T222="","",CONCATENATE('Cable Info'!T222," - ",'Cable Info'!U222))</f>
        <v>#N/A</v>
      </c>
      <c r="BG518" s="121" t="e">
        <f t="shared" si="135"/>
        <v>#N/A</v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e">
        <f>IF('Cable Info'!R223="","",CONCATENATE('Cable Info'!R223," - ",'Cable Info'!S223))</f>
        <v>#N/A</v>
      </c>
      <c r="BB519" s="121" t="e">
        <f t="shared" si="134"/>
        <v>#N/A</v>
      </c>
      <c r="BD519" s="121" t="e">
        <f>IF('Cable Info'!T223="","",CONCATENATE('Cable Info'!T223," - ",'Cable Info'!U223))</f>
        <v>#N/A</v>
      </c>
      <c r="BG519" s="121" t="e">
        <f t="shared" si="135"/>
        <v>#N/A</v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e">
        <f>IF('Cable Info'!R224="","",CONCATENATE('Cable Info'!R224," - ",'Cable Info'!S224))</f>
        <v>#N/A</v>
      </c>
      <c r="BB520" s="121" t="e">
        <f t="shared" si="134"/>
        <v>#N/A</v>
      </c>
      <c r="BD520" s="121" t="e">
        <f>IF('Cable Info'!T224="","",CONCATENATE('Cable Info'!T224," - ",'Cable Info'!U224))</f>
        <v>#N/A</v>
      </c>
      <c r="BG520" s="121" t="e">
        <f t="shared" si="135"/>
        <v>#N/A</v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e">
        <f>IF('Cable Info'!R225="","",CONCATENATE('Cable Info'!R225," - ",'Cable Info'!S225))</f>
        <v>#N/A</v>
      </c>
      <c r="BB521" s="121" t="e">
        <f t="shared" si="134"/>
        <v>#N/A</v>
      </c>
      <c r="BD521" s="121" t="e">
        <f>IF('Cable Info'!T225="","",CONCATENATE('Cable Info'!T225," - ",'Cable Info'!U225))</f>
        <v>#N/A</v>
      </c>
      <c r="BG521" s="121" t="e">
        <f t="shared" si="135"/>
        <v>#N/A</v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e">
        <f>IF('Cable Info'!R226="","",CONCATENATE('Cable Info'!R226," - ",'Cable Info'!S226))</f>
        <v>#N/A</v>
      </c>
      <c r="BB522" s="121" t="e">
        <f t="shared" si="134"/>
        <v>#N/A</v>
      </c>
      <c r="BD522" s="121" t="e">
        <f>IF('Cable Info'!T226="","",CONCATENATE('Cable Info'!T226," - ",'Cable Info'!U226))</f>
        <v>#N/A</v>
      </c>
      <c r="BG522" s="121" t="e">
        <f t="shared" si="135"/>
        <v>#N/A</v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e">
        <f>IF('Cable Info'!R227="","",CONCATENATE('Cable Info'!R227," - ",'Cable Info'!S227))</f>
        <v>#N/A</v>
      </c>
      <c r="BB523" s="121" t="e">
        <f t="shared" si="134"/>
        <v>#N/A</v>
      </c>
      <c r="BD523" s="121" t="e">
        <f>IF('Cable Info'!T227="","",CONCATENATE('Cable Info'!T227," - ",'Cable Info'!U227))</f>
        <v>#N/A</v>
      </c>
      <c r="BG523" s="121" t="e">
        <f t="shared" si="135"/>
        <v>#N/A</v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e">
        <f>IF('Cable Info'!R228="","",CONCATENATE('Cable Info'!R228," - ",'Cable Info'!S228))</f>
        <v>#N/A</v>
      </c>
      <c r="BB524" s="121" t="e">
        <f t="shared" si="134"/>
        <v>#N/A</v>
      </c>
      <c r="BD524" s="121" t="e">
        <f>IF('Cable Info'!T228="","",CONCATENATE('Cable Info'!T228," - ",'Cable Info'!U228))</f>
        <v>#N/A</v>
      </c>
      <c r="BG524" s="121" t="e">
        <f t="shared" si="135"/>
        <v>#N/A</v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e">
        <f>IF('Cable Info'!R229="","",CONCATENATE('Cable Info'!R229," - ",'Cable Info'!S229))</f>
        <v>#N/A</v>
      </c>
      <c r="BB525" s="121" t="e">
        <f t="shared" si="134"/>
        <v>#N/A</v>
      </c>
      <c r="BD525" s="121" t="e">
        <f>IF('Cable Info'!T229="","",CONCATENATE('Cable Info'!T229," - ",'Cable Info'!U229))</f>
        <v>#N/A</v>
      </c>
      <c r="BG525" s="121" t="e">
        <f t="shared" si="135"/>
        <v>#N/A</v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e">
        <f>IF('Cable Info'!R230="","",CONCATENATE('Cable Info'!R230," - ",'Cable Info'!S230))</f>
        <v>#N/A</v>
      </c>
      <c r="BB526" s="121" t="e">
        <f t="shared" si="134"/>
        <v>#N/A</v>
      </c>
      <c r="BD526" s="121" t="e">
        <f>IF('Cable Info'!T230="","",CONCATENATE('Cable Info'!T230," - ",'Cable Info'!U230))</f>
        <v>#N/A</v>
      </c>
      <c r="BG526" s="121" t="e">
        <f t="shared" si="135"/>
        <v>#N/A</v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e">
        <f>IF('Cable Info'!R231="","",CONCATENATE('Cable Info'!R231," - ",'Cable Info'!S231))</f>
        <v>#N/A</v>
      </c>
      <c r="BB527" s="121" t="e">
        <f t="shared" si="134"/>
        <v>#N/A</v>
      </c>
      <c r="BD527" s="121" t="e">
        <f>IF('Cable Info'!T231="","",CONCATENATE('Cable Info'!T231," - ",'Cable Info'!U231))</f>
        <v>#N/A</v>
      </c>
      <c r="BG527" s="121" t="e">
        <f t="shared" si="135"/>
        <v>#N/A</v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e">
        <f>IF('Cable Info'!R232="","",CONCATENATE('Cable Info'!R232," - ",'Cable Info'!S232))</f>
        <v>#N/A</v>
      </c>
      <c r="BB528" s="121" t="e">
        <f t="shared" si="134"/>
        <v>#N/A</v>
      </c>
      <c r="BD528" s="121" t="e">
        <f>IF('Cable Info'!T232="","",CONCATENATE('Cable Info'!T232," - ",'Cable Info'!U232))</f>
        <v>#N/A</v>
      </c>
      <c r="BG528" s="121" t="e">
        <f t="shared" si="135"/>
        <v>#N/A</v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e">
        <f>IF('Cable Info'!R233="","",CONCATENATE('Cable Info'!R233," - ",'Cable Info'!S233))</f>
        <v>#N/A</v>
      </c>
      <c r="BB529" s="121" t="e">
        <f t="shared" si="134"/>
        <v>#N/A</v>
      </c>
      <c r="BD529" s="121" t="e">
        <f>IF('Cable Info'!T233="","",CONCATENATE('Cable Info'!T233," - ",'Cable Info'!U233))</f>
        <v>#N/A</v>
      </c>
      <c r="BG529" s="121" t="e">
        <f t="shared" si="135"/>
        <v>#N/A</v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e">
        <f>IF('Cable Info'!R234="","",CONCATENATE('Cable Info'!R234," - ",'Cable Info'!S234))</f>
        <v>#N/A</v>
      </c>
      <c r="BB530" s="121" t="e">
        <f t="shared" si="134"/>
        <v>#N/A</v>
      </c>
      <c r="BD530" s="121" t="e">
        <f>IF('Cable Info'!T234="","",CONCATENATE('Cable Info'!T234," - ",'Cable Info'!U234))</f>
        <v>#N/A</v>
      </c>
      <c r="BG530" s="121" t="e">
        <f t="shared" si="135"/>
        <v>#N/A</v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e">
        <f>IF('Cable Info'!R235="","",CONCATENATE('Cable Info'!R235," - ",'Cable Info'!S235))</f>
        <v>#N/A</v>
      </c>
      <c r="BB531" s="121" t="e">
        <f t="shared" si="134"/>
        <v>#N/A</v>
      </c>
      <c r="BD531" s="121" t="e">
        <f>IF('Cable Info'!T235="","",CONCATENATE('Cable Info'!T235," - ",'Cable Info'!U235))</f>
        <v>#N/A</v>
      </c>
      <c r="BG531" s="121" t="e">
        <f t="shared" si="135"/>
        <v>#N/A</v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e">
        <f>IF('Cable Info'!R236="","",CONCATENATE('Cable Info'!R236," - ",'Cable Info'!S236))</f>
        <v>#N/A</v>
      </c>
      <c r="BB532" s="121" t="e">
        <f t="shared" si="134"/>
        <v>#N/A</v>
      </c>
      <c r="BD532" s="121" t="e">
        <f>IF('Cable Info'!T236="","",CONCATENATE('Cable Info'!T236," - ",'Cable Info'!U236))</f>
        <v>#N/A</v>
      </c>
      <c r="BG532" s="121" t="e">
        <f t="shared" si="135"/>
        <v>#N/A</v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e">
        <f>IF('Cable Info'!R237="","",CONCATENATE('Cable Info'!R237," - ",'Cable Info'!S237))</f>
        <v>#N/A</v>
      </c>
      <c r="BB533" s="121" t="e">
        <f t="shared" si="134"/>
        <v>#N/A</v>
      </c>
      <c r="BD533" s="121" t="e">
        <f>IF('Cable Info'!T237="","",CONCATENATE('Cable Info'!T237," - ",'Cable Info'!U237))</f>
        <v>#N/A</v>
      </c>
      <c r="BG533" s="121" t="e">
        <f t="shared" si="135"/>
        <v>#N/A</v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e">
        <f>IF('Cable Info'!R238="","",CONCATENATE('Cable Info'!R238," - ",'Cable Info'!S238))</f>
        <v>#N/A</v>
      </c>
      <c r="BB534" s="121" t="e">
        <f t="shared" si="134"/>
        <v>#N/A</v>
      </c>
      <c r="BD534" s="121" t="e">
        <f>IF('Cable Info'!T238="","",CONCATENATE('Cable Info'!T238," - ",'Cable Info'!U238))</f>
        <v>#N/A</v>
      </c>
      <c r="BG534" s="121" t="e">
        <f t="shared" si="135"/>
        <v>#N/A</v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e">
        <f>IF('Cable Info'!R239="","",CONCATENATE('Cable Info'!R239," - ",'Cable Info'!S239))</f>
        <v>#N/A</v>
      </c>
      <c r="BB535" s="121" t="e">
        <f t="shared" si="134"/>
        <v>#N/A</v>
      </c>
      <c r="BD535" s="121" t="e">
        <f>IF('Cable Info'!T239="","",CONCATENATE('Cable Info'!T239," - ",'Cable Info'!U239))</f>
        <v>#N/A</v>
      </c>
      <c r="BG535" s="121" t="e">
        <f t="shared" si="135"/>
        <v>#N/A</v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e">
        <f>IF('Cable Info'!R240="","",CONCATENATE('Cable Info'!R240," - ",'Cable Info'!S240))</f>
        <v>#N/A</v>
      </c>
      <c r="BB536" s="121" t="e">
        <f t="shared" si="134"/>
        <v>#N/A</v>
      </c>
      <c r="BD536" s="121" t="e">
        <f>IF('Cable Info'!T240="","",CONCATENATE('Cable Info'!T240," - ",'Cable Info'!U240))</f>
        <v>#N/A</v>
      </c>
      <c r="BG536" s="121" t="e">
        <f t="shared" si="135"/>
        <v>#N/A</v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e">
        <f>IF('Cable Info'!R241="","",CONCATENATE('Cable Info'!R241," - ",'Cable Info'!S241))</f>
        <v>#N/A</v>
      </c>
      <c r="BB537" s="121" t="e">
        <f t="shared" si="134"/>
        <v>#N/A</v>
      </c>
      <c r="BD537" s="121" t="e">
        <f>IF('Cable Info'!T241="","",CONCATENATE('Cable Info'!T241," - ",'Cable Info'!U241))</f>
        <v>#N/A</v>
      </c>
      <c r="BG537" s="121" t="e">
        <f t="shared" si="135"/>
        <v>#N/A</v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e">
        <f>IF('Cable Info'!R242="","",CONCATENATE('Cable Info'!R242," - ",'Cable Info'!S242))</f>
        <v>#N/A</v>
      </c>
      <c r="BB538" s="121" t="e">
        <f t="shared" si="134"/>
        <v>#N/A</v>
      </c>
      <c r="BD538" s="121" t="e">
        <f>IF('Cable Info'!T242="","",CONCATENATE('Cable Info'!T242," - ",'Cable Info'!U242))</f>
        <v>#N/A</v>
      </c>
      <c r="BG538" s="121" t="e">
        <f t="shared" si="135"/>
        <v>#N/A</v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e">
        <f>IF('Cable Info'!R243="","",CONCATENATE('Cable Info'!R243," - ",'Cable Info'!S243))</f>
        <v>#N/A</v>
      </c>
      <c r="BB539" s="121" t="e">
        <f t="shared" si="134"/>
        <v>#N/A</v>
      </c>
      <c r="BD539" s="121" t="e">
        <f>IF('Cable Info'!T243="","",CONCATENATE('Cable Info'!T243," - ",'Cable Info'!U243))</f>
        <v>#N/A</v>
      </c>
      <c r="BG539" s="121" t="e">
        <f t="shared" si="135"/>
        <v>#N/A</v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e">
        <f>IF('Cable Info'!R244="","",CONCATENATE('Cable Info'!R244," - ",'Cable Info'!S244))</f>
        <v>#N/A</v>
      </c>
      <c r="BB540" s="121" t="e">
        <f t="shared" si="134"/>
        <v>#N/A</v>
      </c>
      <c r="BD540" s="121" t="e">
        <f>IF('Cable Info'!T244="","",CONCATENATE('Cable Info'!T244," - ",'Cable Info'!U244))</f>
        <v>#N/A</v>
      </c>
      <c r="BG540" s="121" t="e">
        <f t="shared" si="135"/>
        <v>#N/A</v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e">
        <f>IF('Cable Info'!R245="","",CONCATENATE('Cable Info'!R245," - ",'Cable Info'!S245))</f>
        <v>#N/A</v>
      </c>
      <c r="BB541" s="121" t="e">
        <f t="shared" si="134"/>
        <v>#N/A</v>
      </c>
      <c r="BD541" s="121" t="e">
        <f>IF('Cable Info'!T245="","",CONCATENATE('Cable Info'!T245," - ",'Cable Info'!U245))</f>
        <v>#N/A</v>
      </c>
      <c r="BG541" s="121" t="e">
        <f t="shared" si="135"/>
        <v>#N/A</v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e">
        <f>IF('Cable Info'!R246="","",CONCATENATE('Cable Info'!R246," - ",'Cable Info'!S246))</f>
        <v>#N/A</v>
      </c>
      <c r="BB542" s="121" t="e">
        <f t="shared" si="134"/>
        <v>#N/A</v>
      </c>
      <c r="BD542" s="121" t="e">
        <f>IF('Cable Info'!T246="","",CONCATENATE('Cable Info'!T246," - ",'Cable Info'!U246))</f>
        <v>#N/A</v>
      </c>
      <c r="BG542" s="121" t="e">
        <f t="shared" si="135"/>
        <v>#N/A</v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e">
        <f>IF('Cable Info'!R247="","",CONCATENATE('Cable Info'!R247," - ",'Cable Info'!S247))</f>
        <v>#N/A</v>
      </c>
      <c r="BB543" s="121" t="e">
        <f t="shared" si="134"/>
        <v>#N/A</v>
      </c>
      <c r="BD543" s="121" t="e">
        <f>IF('Cable Info'!T247="","",CONCATENATE('Cable Info'!T247," - ",'Cable Info'!U247))</f>
        <v>#N/A</v>
      </c>
      <c r="BG543" s="121" t="e">
        <f t="shared" si="135"/>
        <v>#N/A</v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e">
        <f>IF('Cable Info'!R248="","",CONCATENATE('Cable Info'!R248," - ",'Cable Info'!S248))</f>
        <v>#N/A</v>
      </c>
      <c r="BB544" s="121" t="e">
        <f t="shared" si="134"/>
        <v>#N/A</v>
      </c>
      <c r="BD544" s="121" t="e">
        <f>IF('Cable Info'!T248="","",CONCATENATE('Cable Info'!T248," - ",'Cable Info'!U248))</f>
        <v>#N/A</v>
      </c>
      <c r="BG544" s="121" t="e">
        <f t="shared" si="135"/>
        <v>#N/A</v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e">
        <f>IF('Cable Info'!R249="","",CONCATENATE('Cable Info'!R249," - ",'Cable Info'!S249))</f>
        <v>#N/A</v>
      </c>
      <c r="BB545" s="121" t="e">
        <f t="shared" si="134"/>
        <v>#N/A</v>
      </c>
      <c r="BD545" s="121" t="e">
        <f>IF('Cable Info'!T249="","",CONCATENATE('Cable Info'!T249," - ",'Cable Info'!U249))</f>
        <v>#N/A</v>
      </c>
      <c r="BG545" s="121" t="e">
        <f t="shared" si="135"/>
        <v>#N/A</v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e">
        <f>IF('Cable Info'!R250="","",CONCATENATE('Cable Info'!R250," - ",'Cable Info'!S250))</f>
        <v>#N/A</v>
      </c>
      <c r="BB546" s="121" t="e">
        <f t="shared" si="134"/>
        <v>#N/A</v>
      </c>
      <c r="BD546" s="121" t="e">
        <f>IF('Cable Info'!T250="","",CONCATENATE('Cable Info'!T250," - ",'Cable Info'!U250))</f>
        <v>#N/A</v>
      </c>
      <c r="BG546" s="121" t="e">
        <f t="shared" si="135"/>
        <v>#N/A</v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e">
        <f>IF('Cable Info'!R251="","",CONCATENATE('Cable Info'!R251," - ",'Cable Info'!S251))</f>
        <v>#N/A</v>
      </c>
      <c r="BB547" s="121" t="e">
        <f t="shared" si="134"/>
        <v>#N/A</v>
      </c>
      <c r="BD547" s="121" t="e">
        <f>IF('Cable Info'!T251="","",CONCATENATE('Cable Info'!T251," - ",'Cable Info'!U251))</f>
        <v>#N/A</v>
      </c>
      <c r="BG547" s="121" t="e">
        <f t="shared" si="135"/>
        <v>#N/A</v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e">
        <f>IF('Cable Info'!R252="","",CONCATENATE('Cable Info'!R252," - ",'Cable Info'!S252))</f>
        <v>#N/A</v>
      </c>
      <c r="BB548" s="121" t="e">
        <f t="shared" si="134"/>
        <v>#N/A</v>
      </c>
      <c r="BD548" s="121" t="e">
        <f>IF('Cable Info'!T252="","",CONCATENATE('Cable Info'!T252," - ",'Cable Info'!U252))</f>
        <v>#N/A</v>
      </c>
      <c r="BG548" s="121" t="e">
        <f t="shared" si="135"/>
        <v>#N/A</v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e">
        <f>IF('Cable Info'!R253="","",CONCATENATE('Cable Info'!R253," - ",'Cable Info'!S253))</f>
        <v>#N/A</v>
      </c>
      <c r="BB549" s="121" t="e">
        <f t="shared" si="134"/>
        <v>#N/A</v>
      </c>
      <c r="BD549" s="121" t="e">
        <f>IF('Cable Info'!T253="","",CONCATENATE('Cable Info'!T253," - ",'Cable Info'!U253))</f>
        <v>#N/A</v>
      </c>
      <c r="BG549" s="121" t="e">
        <f t="shared" si="135"/>
        <v>#N/A</v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e">
        <f>IF('Cable Info'!R254="","",CONCATENATE('Cable Info'!R254," - ",'Cable Info'!S254))</f>
        <v>#N/A</v>
      </c>
      <c r="BB550" s="121" t="e">
        <f t="shared" si="134"/>
        <v>#N/A</v>
      </c>
      <c r="BD550" s="121" t="e">
        <f>IF('Cable Info'!T254="","",CONCATENATE('Cable Info'!T254," - ",'Cable Info'!U254))</f>
        <v>#N/A</v>
      </c>
      <c r="BG550" s="121" t="e">
        <f t="shared" si="135"/>
        <v>#N/A</v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e">
        <f>IF('Cable Info'!R255="","",CONCATENATE('Cable Info'!R255," - ",'Cable Info'!S255))</f>
        <v>#N/A</v>
      </c>
      <c r="BB551" s="121" t="e">
        <f t="shared" si="134"/>
        <v>#N/A</v>
      </c>
      <c r="BD551" s="121" t="e">
        <f>IF('Cable Info'!T255="","",CONCATENATE('Cable Info'!T255," - ",'Cable Info'!U255))</f>
        <v>#N/A</v>
      </c>
      <c r="BG551" s="121" t="e">
        <f t="shared" si="135"/>
        <v>#N/A</v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e">
        <f>IF('Cable Info'!R256="","",CONCATENATE('Cable Info'!R256," - ",'Cable Info'!S256))</f>
        <v>#N/A</v>
      </c>
      <c r="BB552" s="121" t="e">
        <f t="shared" si="134"/>
        <v>#N/A</v>
      </c>
      <c r="BD552" s="121" t="e">
        <f>IF('Cable Info'!T256="","",CONCATENATE('Cable Info'!T256," - ",'Cable Info'!U256))</f>
        <v>#N/A</v>
      </c>
      <c r="BG552" s="121" t="e">
        <f t="shared" si="135"/>
        <v>#N/A</v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e">
        <f>IF('Cable Info'!R257="","",CONCATENATE('Cable Info'!R257," - ",'Cable Info'!S257))</f>
        <v>#N/A</v>
      </c>
      <c r="BB553" s="121" t="e">
        <f t="shared" si="134"/>
        <v>#N/A</v>
      </c>
      <c r="BD553" s="121" t="e">
        <f>IF('Cable Info'!T257="","",CONCATENATE('Cable Info'!T257," - ",'Cable Info'!U257))</f>
        <v>#N/A</v>
      </c>
      <c r="BG553" s="121" t="e">
        <f t="shared" si="135"/>
        <v>#N/A</v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e">
        <f>IF('Cable Info'!R258="","",CONCATENATE('Cable Info'!R258," - ",'Cable Info'!S258))</f>
        <v>#N/A</v>
      </c>
      <c r="BB554" s="121" t="e">
        <f t="shared" si="134"/>
        <v>#N/A</v>
      </c>
      <c r="BD554" s="121" t="e">
        <f>IF('Cable Info'!T258="","",CONCATENATE('Cable Info'!T258," - ",'Cable Info'!U258))</f>
        <v>#N/A</v>
      </c>
      <c r="BG554" s="121" t="e">
        <f t="shared" si="135"/>
        <v>#N/A</v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e">
        <f>IF('Cable Info'!R259="","",CONCATENATE('Cable Info'!R259," - ",'Cable Info'!S259))</f>
        <v>#N/A</v>
      </c>
      <c r="BB555" s="121" t="e">
        <f t="shared" ref="BB555:BB618" si="140">IF(AZ555="",AY555,CONCATENATE(AY555,"  &lt;=&gt; ",AZ555," ",BA555))</f>
        <v>#N/A</v>
      </c>
      <c r="BD555" s="121" t="e">
        <f>IF('Cable Info'!T259="","",CONCATENATE('Cable Info'!T259," - ",'Cable Info'!U259))</f>
        <v>#N/A</v>
      </c>
      <c r="BG555" s="121" t="e">
        <f t="shared" ref="BG555:BG618" si="141">IF(BE555="",BD555,CONCATENATE(BD555,"  &lt;=&gt; ",BE555," ",BF555))</f>
        <v>#N/A</v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e">
        <f>IF('Cable Info'!R260="","",CONCATENATE('Cable Info'!R260," - ",'Cable Info'!S260))</f>
        <v>#N/A</v>
      </c>
      <c r="BB556" s="121" t="e">
        <f t="shared" si="140"/>
        <v>#N/A</v>
      </c>
      <c r="BD556" s="121" t="e">
        <f>IF('Cable Info'!T260="","",CONCATENATE('Cable Info'!T260," - ",'Cable Info'!U260))</f>
        <v>#N/A</v>
      </c>
      <c r="BG556" s="121" t="e">
        <f t="shared" si="141"/>
        <v>#N/A</v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e">
        <f>IF('Cable Info'!R261="","",CONCATENATE('Cable Info'!R261," - ",'Cable Info'!S261))</f>
        <v>#N/A</v>
      </c>
      <c r="BB557" s="121" t="e">
        <f t="shared" si="140"/>
        <v>#N/A</v>
      </c>
      <c r="BD557" s="121" t="e">
        <f>IF('Cable Info'!T261="","",CONCATENATE('Cable Info'!T261," - ",'Cable Info'!U261))</f>
        <v>#N/A</v>
      </c>
      <c r="BG557" s="121" t="e">
        <f t="shared" si="141"/>
        <v>#N/A</v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e">
        <f>IF('Cable Info'!R262="","",CONCATENATE('Cable Info'!R262," - ",'Cable Info'!S262))</f>
        <v>#N/A</v>
      </c>
      <c r="BB558" s="121" t="e">
        <f t="shared" si="140"/>
        <v>#N/A</v>
      </c>
      <c r="BD558" s="121" t="e">
        <f>IF('Cable Info'!T262="","",CONCATENATE('Cable Info'!T262," - ",'Cable Info'!U262))</f>
        <v>#N/A</v>
      </c>
      <c r="BG558" s="121" t="e">
        <f t="shared" si="141"/>
        <v>#N/A</v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e">
        <f>IF('Cable Info'!R263="","",CONCATENATE('Cable Info'!R263," - ",'Cable Info'!S263))</f>
        <v>#N/A</v>
      </c>
      <c r="BB559" s="121" t="e">
        <f t="shared" si="140"/>
        <v>#N/A</v>
      </c>
      <c r="BD559" s="121" t="e">
        <f>IF('Cable Info'!T263="","",CONCATENATE('Cable Info'!T263," - ",'Cable Info'!U263))</f>
        <v>#N/A</v>
      </c>
      <c r="BG559" s="121" t="e">
        <f t="shared" si="141"/>
        <v>#N/A</v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e">
        <f>IF('Cable Info'!R264="","",CONCATENATE('Cable Info'!R264," - ",'Cable Info'!S264))</f>
        <v>#N/A</v>
      </c>
      <c r="BB560" s="121" t="e">
        <f t="shared" si="140"/>
        <v>#N/A</v>
      </c>
      <c r="BD560" s="121" t="e">
        <f>IF('Cable Info'!T264="","",CONCATENATE('Cable Info'!T264," - ",'Cable Info'!U264))</f>
        <v>#N/A</v>
      </c>
      <c r="BG560" s="121" t="e">
        <f t="shared" si="141"/>
        <v>#N/A</v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e">
        <f>IF('Cable Info'!R265="","",CONCATENATE('Cable Info'!R265," - ",'Cable Info'!S265))</f>
        <v>#N/A</v>
      </c>
      <c r="BB561" s="121" t="e">
        <f t="shared" si="140"/>
        <v>#N/A</v>
      </c>
      <c r="BD561" s="121" t="e">
        <f>IF('Cable Info'!T265="","",CONCATENATE('Cable Info'!T265," - ",'Cable Info'!U265))</f>
        <v>#N/A</v>
      </c>
      <c r="BG561" s="121" t="e">
        <f t="shared" si="141"/>
        <v>#N/A</v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e">
        <f>IF('Cable Info'!R266="","",CONCATENATE('Cable Info'!R266," - ",'Cable Info'!S266))</f>
        <v>#N/A</v>
      </c>
      <c r="BB562" s="121" t="e">
        <f t="shared" si="140"/>
        <v>#N/A</v>
      </c>
      <c r="BD562" s="121" t="e">
        <f>IF('Cable Info'!T266="","",CONCATENATE('Cable Info'!T266," - ",'Cable Info'!U266))</f>
        <v>#N/A</v>
      </c>
      <c r="BG562" s="121" t="e">
        <f t="shared" si="141"/>
        <v>#N/A</v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e">
        <f>IF('Cable Info'!R267="","",CONCATENATE('Cable Info'!R267," - ",'Cable Info'!S267))</f>
        <v>#N/A</v>
      </c>
      <c r="BB563" s="121" t="e">
        <f t="shared" si="140"/>
        <v>#N/A</v>
      </c>
      <c r="BD563" s="121" t="e">
        <f>IF('Cable Info'!T267="","",CONCATENATE('Cable Info'!T267," - ",'Cable Info'!U267))</f>
        <v>#N/A</v>
      </c>
      <c r="BG563" s="121" t="e">
        <f t="shared" si="141"/>
        <v>#N/A</v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e">
        <f>IF('Cable Info'!R268="","",CONCATENATE('Cable Info'!R268," - ",'Cable Info'!S268))</f>
        <v>#N/A</v>
      </c>
      <c r="BB564" s="121" t="e">
        <f t="shared" si="140"/>
        <v>#N/A</v>
      </c>
      <c r="BD564" s="121" t="e">
        <f>IF('Cable Info'!T268="","",CONCATENATE('Cable Info'!T268," - ",'Cable Info'!U268))</f>
        <v>#N/A</v>
      </c>
      <c r="BG564" s="121" t="e">
        <f t="shared" si="141"/>
        <v>#N/A</v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e">
        <f>IF('Cable Info'!R269="","",CONCATENATE('Cable Info'!R269," - ",'Cable Info'!S269))</f>
        <v>#N/A</v>
      </c>
      <c r="BB565" s="121" t="e">
        <f t="shared" si="140"/>
        <v>#N/A</v>
      </c>
      <c r="BD565" s="121" t="e">
        <f>IF('Cable Info'!T269="","",CONCATENATE('Cable Info'!T269," - ",'Cable Info'!U269))</f>
        <v>#N/A</v>
      </c>
      <c r="BG565" s="121" t="e">
        <f t="shared" si="141"/>
        <v>#N/A</v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e">
        <f>IF('Cable Info'!R270="","",CONCATENATE('Cable Info'!R270," - ",'Cable Info'!S270))</f>
        <v>#N/A</v>
      </c>
      <c r="BB566" s="121" t="e">
        <f t="shared" si="140"/>
        <v>#N/A</v>
      </c>
      <c r="BD566" s="121" t="e">
        <f>IF('Cable Info'!T270="","",CONCATENATE('Cable Info'!T270," - ",'Cable Info'!U270))</f>
        <v>#N/A</v>
      </c>
      <c r="BG566" s="121" t="e">
        <f t="shared" si="141"/>
        <v>#N/A</v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e">
        <f>IF('Cable Info'!R271="","",CONCATENATE('Cable Info'!R271," - ",'Cable Info'!S271))</f>
        <v>#N/A</v>
      </c>
      <c r="BB567" s="121" t="e">
        <f t="shared" si="140"/>
        <v>#N/A</v>
      </c>
      <c r="BD567" s="121" t="e">
        <f>IF('Cable Info'!T271="","",CONCATENATE('Cable Info'!T271," - ",'Cable Info'!U271))</f>
        <v>#N/A</v>
      </c>
      <c r="BG567" s="121" t="e">
        <f t="shared" si="141"/>
        <v>#N/A</v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e">
        <f>IF('Cable Info'!R272="","",CONCATENATE('Cable Info'!R272," - ",'Cable Info'!S272))</f>
        <v>#N/A</v>
      </c>
      <c r="BB568" s="121" t="e">
        <f t="shared" si="140"/>
        <v>#N/A</v>
      </c>
      <c r="BD568" s="121" t="e">
        <f>IF('Cable Info'!T272="","",CONCATENATE('Cable Info'!T272," - ",'Cable Info'!U272))</f>
        <v>#N/A</v>
      </c>
      <c r="BG568" s="121" t="e">
        <f t="shared" si="141"/>
        <v>#N/A</v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e">
        <f>IF('Cable Info'!R273="","",CONCATENATE('Cable Info'!R273," - ",'Cable Info'!S273))</f>
        <v>#N/A</v>
      </c>
      <c r="BB569" s="121" t="e">
        <f t="shared" si="140"/>
        <v>#N/A</v>
      </c>
      <c r="BD569" s="121" t="e">
        <f>IF('Cable Info'!T273="","",CONCATENATE('Cable Info'!T273," - ",'Cable Info'!U273))</f>
        <v>#N/A</v>
      </c>
      <c r="BG569" s="121" t="e">
        <f t="shared" si="141"/>
        <v>#N/A</v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e">
        <f>IF('Cable Info'!R274="","",CONCATENATE('Cable Info'!R274," - ",'Cable Info'!S274))</f>
        <v>#N/A</v>
      </c>
      <c r="BB570" s="121" t="e">
        <f t="shared" si="140"/>
        <v>#N/A</v>
      </c>
      <c r="BD570" s="121" t="e">
        <f>IF('Cable Info'!T274="","",CONCATENATE('Cable Info'!T274," - ",'Cable Info'!U274))</f>
        <v>#N/A</v>
      </c>
      <c r="BG570" s="121" t="e">
        <f t="shared" si="141"/>
        <v>#N/A</v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e">
        <f>IF('Cable Info'!R275="","",CONCATENATE('Cable Info'!R275," - ",'Cable Info'!S275))</f>
        <v>#N/A</v>
      </c>
      <c r="BB571" s="121" t="e">
        <f t="shared" si="140"/>
        <v>#N/A</v>
      </c>
      <c r="BD571" s="121" t="e">
        <f>IF('Cable Info'!T275="","",CONCATENATE('Cable Info'!T275," - ",'Cable Info'!U275))</f>
        <v>#N/A</v>
      </c>
      <c r="BG571" s="121" t="e">
        <f t="shared" si="141"/>
        <v>#N/A</v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e">
        <f>IF('Cable Info'!R276="","",CONCATENATE('Cable Info'!R276," - ",'Cable Info'!S276))</f>
        <v>#N/A</v>
      </c>
      <c r="BB572" s="121" t="e">
        <f t="shared" si="140"/>
        <v>#N/A</v>
      </c>
      <c r="BD572" s="121" t="e">
        <f>IF('Cable Info'!T276="","",CONCATENATE('Cable Info'!T276," - ",'Cable Info'!U276))</f>
        <v>#N/A</v>
      </c>
      <c r="BG572" s="121" t="e">
        <f t="shared" si="141"/>
        <v>#N/A</v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e">
        <f>IF('Cable Info'!R277="","",CONCATENATE('Cable Info'!R277," - ",'Cable Info'!S277))</f>
        <v>#N/A</v>
      </c>
      <c r="BB573" s="121" t="e">
        <f t="shared" si="140"/>
        <v>#N/A</v>
      </c>
      <c r="BD573" s="121" t="e">
        <f>IF('Cable Info'!T277="","",CONCATENATE('Cable Info'!T277," - ",'Cable Info'!U277))</f>
        <v>#N/A</v>
      </c>
      <c r="BG573" s="121" t="e">
        <f t="shared" si="141"/>
        <v>#N/A</v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e">
        <f>IF('Cable Info'!R278="","",CONCATENATE('Cable Info'!R278," - ",'Cable Info'!S278))</f>
        <v>#N/A</v>
      </c>
      <c r="BB574" s="121" t="e">
        <f t="shared" si="140"/>
        <v>#N/A</v>
      </c>
      <c r="BD574" s="121" t="e">
        <f>IF('Cable Info'!T278="","",CONCATENATE('Cable Info'!T278," - ",'Cable Info'!U278))</f>
        <v>#N/A</v>
      </c>
      <c r="BG574" s="121" t="e">
        <f t="shared" si="141"/>
        <v>#N/A</v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e">
        <f>IF('Cable Info'!R279="","",CONCATENATE('Cable Info'!R279," - ",'Cable Info'!S279))</f>
        <v>#N/A</v>
      </c>
      <c r="BB575" s="121" t="e">
        <f t="shared" si="140"/>
        <v>#N/A</v>
      </c>
      <c r="BD575" s="121" t="e">
        <f>IF('Cable Info'!T279="","",CONCATENATE('Cable Info'!T279," - ",'Cable Info'!U279))</f>
        <v>#N/A</v>
      </c>
      <c r="BG575" s="121" t="e">
        <f t="shared" si="141"/>
        <v>#N/A</v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e">
        <f>IF('Cable Info'!R280="","",CONCATENATE('Cable Info'!R280," - ",'Cable Info'!S280))</f>
        <v>#N/A</v>
      </c>
      <c r="BB576" s="121" t="e">
        <f t="shared" si="140"/>
        <v>#N/A</v>
      </c>
      <c r="BD576" s="121" t="e">
        <f>IF('Cable Info'!T280="","",CONCATENATE('Cable Info'!T280," - ",'Cable Info'!U280))</f>
        <v>#N/A</v>
      </c>
      <c r="BG576" s="121" t="e">
        <f t="shared" si="141"/>
        <v>#N/A</v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e">
        <f>IF('Cable Info'!R281="","",CONCATENATE('Cable Info'!R281," - ",'Cable Info'!S281))</f>
        <v>#N/A</v>
      </c>
      <c r="BB577" s="121" t="e">
        <f t="shared" si="140"/>
        <v>#N/A</v>
      </c>
      <c r="BD577" s="121" t="e">
        <f>IF('Cable Info'!T281="","",CONCATENATE('Cable Info'!T281," - ",'Cable Info'!U281))</f>
        <v>#N/A</v>
      </c>
      <c r="BG577" s="121" t="e">
        <f t="shared" si="141"/>
        <v>#N/A</v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e">
        <f>IF('Cable Info'!R282="","",CONCATENATE('Cable Info'!R282," - ",'Cable Info'!S282))</f>
        <v>#N/A</v>
      </c>
      <c r="BB578" s="121" t="e">
        <f t="shared" si="140"/>
        <v>#N/A</v>
      </c>
      <c r="BD578" s="121" t="e">
        <f>IF('Cable Info'!T282="","",CONCATENATE('Cable Info'!T282," - ",'Cable Info'!U282))</f>
        <v>#N/A</v>
      </c>
      <c r="BG578" s="121" t="e">
        <f t="shared" si="141"/>
        <v>#N/A</v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e">
        <f>IF('Cable Info'!R283="","",CONCATENATE('Cable Info'!R283," - ",'Cable Info'!S283))</f>
        <v>#N/A</v>
      </c>
      <c r="BB579" s="121" t="e">
        <f t="shared" si="140"/>
        <v>#N/A</v>
      </c>
      <c r="BD579" s="121" t="e">
        <f>IF('Cable Info'!T283="","",CONCATENATE('Cable Info'!T283," - ",'Cable Info'!U283))</f>
        <v>#N/A</v>
      </c>
      <c r="BG579" s="121" t="e">
        <f t="shared" si="141"/>
        <v>#N/A</v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e">
        <f>IF('Cable Info'!R284="","",CONCATENATE('Cable Info'!R284," - ",'Cable Info'!S284))</f>
        <v>#N/A</v>
      </c>
      <c r="BB580" s="121" t="e">
        <f t="shared" si="140"/>
        <v>#N/A</v>
      </c>
      <c r="BD580" s="121" t="e">
        <f>IF('Cable Info'!T284="","",CONCATENATE('Cable Info'!T284," - ",'Cable Info'!U284))</f>
        <v>#N/A</v>
      </c>
      <c r="BG580" s="121" t="e">
        <f t="shared" si="141"/>
        <v>#N/A</v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e">
        <f>IF('Cable Info'!R285="","",CONCATENATE('Cable Info'!R285," - ",'Cable Info'!S285))</f>
        <v>#N/A</v>
      </c>
      <c r="BB581" s="121" t="e">
        <f t="shared" si="140"/>
        <v>#N/A</v>
      </c>
      <c r="BD581" s="121" t="e">
        <f>IF('Cable Info'!T285="","",CONCATENATE('Cable Info'!T285," - ",'Cable Info'!U285))</f>
        <v>#N/A</v>
      </c>
      <c r="BG581" s="121" t="e">
        <f t="shared" si="141"/>
        <v>#N/A</v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e">
        <f>IF('Cable Info'!R286="","",CONCATENATE('Cable Info'!R286," - ",'Cable Info'!S286))</f>
        <v>#N/A</v>
      </c>
      <c r="BB582" s="121" t="e">
        <f t="shared" si="140"/>
        <v>#N/A</v>
      </c>
      <c r="BD582" s="121" t="e">
        <f>IF('Cable Info'!T286="","",CONCATENATE('Cable Info'!T286," - ",'Cable Info'!U286))</f>
        <v>#N/A</v>
      </c>
      <c r="BG582" s="121" t="e">
        <f t="shared" si="141"/>
        <v>#N/A</v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e">
        <f>IF('Cable Info'!R287="","",CONCATENATE('Cable Info'!R287," - ",'Cable Info'!S287))</f>
        <v>#N/A</v>
      </c>
      <c r="BB583" s="121" t="e">
        <f t="shared" si="140"/>
        <v>#N/A</v>
      </c>
      <c r="BD583" s="121" t="e">
        <f>IF('Cable Info'!T287="","",CONCATENATE('Cable Info'!T287," - ",'Cable Info'!U287))</f>
        <v>#N/A</v>
      </c>
      <c r="BG583" s="121" t="e">
        <f t="shared" si="141"/>
        <v>#N/A</v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e">
        <f>IF('Cable Info'!R288="","",CONCATENATE('Cable Info'!R288," - ",'Cable Info'!S288))</f>
        <v>#N/A</v>
      </c>
      <c r="BB584" s="121" t="e">
        <f t="shared" si="140"/>
        <v>#N/A</v>
      </c>
      <c r="BD584" s="121" t="e">
        <f>IF('Cable Info'!T288="","",CONCATENATE('Cable Info'!T288," - ",'Cable Info'!U288))</f>
        <v>#N/A</v>
      </c>
      <c r="BG584" s="121" t="e">
        <f t="shared" si="141"/>
        <v>#N/A</v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e">
        <f>IF('Cable Info'!R289="","",CONCATENATE('Cable Info'!R289," - ",'Cable Info'!S289))</f>
        <v>#N/A</v>
      </c>
      <c r="BB585" s="121" t="e">
        <f t="shared" si="140"/>
        <v>#N/A</v>
      </c>
      <c r="BD585" s="121" t="e">
        <f>IF('Cable Info'!T289="","",CONCATENATE('Cable Info'!T289," - ",'Cable Info'!U289))</f>
        <v>#N/A</v>
      </c>
      <c r="BG585" s="121" t="e">
        <f t="shared" si="141"/>
        <v>#N/A</v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e">
        <f>IF('Cable Info'!R290="","",CONCATENATE('Cable Info'!R290," - ",'Cable Info'!S290))</f>
        <v>#N/A</v>
      </c>
      <c r="BB586" s="121" t="e">
        <f t="shared" si="140"/>
        <v>#N/A</v>
      </c>
      <c r="BD586" s="121" t="e">
        <f>IF('Cable Info'!T290="","",CONCATENATE('Cable Info'!T290," - ",'Cable Info'!U290))</f>
        <v>#N/A</v>
      </c>
      <c r="BG586" s="121" t="e">
        <f t="shared" si="141"/>
        <v>#N/A</v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e">
        <f>IF('Cable Info'!R291="","",CONCATENATE('Cable Info'!R291," - ",'Cable Info'!S291))</f>
        <v>#N/A</v>
      </c>
      <c r="BB587" s="121" t="e">
        <f t="shared" si="140"/>
        <v>#N/A</v>
      </c>
      <c r="BD587" s="121" t="e">
        <f>IF('Cable Info'!T291="","",CONCATENATE('Cable Info'!T291," - ",'Cable Info'!U291))</f>
        <v>#N/A</v>
      </c>
      <c r="BG587" s="121" t="e">
        <f t="shared" si="141"/>
        <v>#N/A</v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e">
        <f>IF('Cable Info'!R292="","",CONCATENATE('Cable Info'!R292," - ",'Cable Info'!S292))</f>
        <v>#N/A</v>
      </c>
      <c r="BB588" s="121" t="e">
        <f t="shared" si="140"/>
        <v>#N/A</v>
      </c>
      <c r="BD588" s="121" t="e">
        <f>IF('Cable Info'!T292="","",CONCATENATE('Cable Info'!T292," - ",'Cable Info'!U292))</f>
        <v>#N/A</v>
      </c>
      <c r="BG588" s="121" t="e">
        <f t="shared" si="141"/>
        <v>#N/A</v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e">
        <f>IF('Cable Info'!R293="","",CONCATENATE('Cable Info'!R293," - ",'Cable Info'!S293))</f>
        <v>#N/A</v>
      </c>
      <c r="BB589" s="121" t="e">
        <f t="shared" si="140"/>
        <v>#N/A</v>
      </c>
      <c r="BD589" s="121" t="e">
        <f>IF('Cable Info'!T293="","",CONCATENATE('Cable Info'!T293," - ",'Cable Info'!U293))</f>
        <v>#N/A</v>
      </c>
      <c r="BG589" s="121" t="e">
        <f t="shared" si="141"/>
        <v>#N/A</v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e">
        <f>IF('Cable Info'!R294="","",CONCATENATE('Cable Info'!R294," - ",'Cable Info'!S294))</f>
        <v>#N/A</v>
      </c>
      <c r="BB590" s="121" t="e">
        <f t="shared" si="140"/>
        <v>#N/A</v>
      </c>
      <c r="BD590" s="121" t="e">
        <f>IF('Cable Info'!T294="","",CONCATENATE('Cable Info'!T294," - ",'Cable Info'!U294))</f>
        <v>#N/A</v>
      </c>
      <c r="BG590" s="121" t="e">
        <f t="shared" si="141"/>
        <v>#N/A</v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e">
        <f>IF('Cable Info'!R295="","",CONCATENATE('Cable Info'!R295," - ",'Cable Info'!S295))</f>
        <v>#N/A</v>
      </c>
      <c r="BB591" s="121" t="e">
        <f t="shared" si="140"/>
        <v>#N/A</v>
      </c>
      <c r="BD591" s="121" t="e">
        <f>IF('Cable Info'!T295="","",CONCATENATE('Cable Info'!T295," - ",'Cable Info'!U295))</f>
        <v>#N/A</v>
      </c>
      <c r="BG591" s="121" t="e">
        <f t="shared" si="141"/>
        <v>#N/A</v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e">
        <f>IF('Cable Info'!R296="","",CONCATENATE('Cable Info'!R296," - ",'Cable Info'!S296))</f>
        <v>#N/A</v>
      </c>
      <c r="BB592" s="121" t="e">
        <f t="shared" si="140"/>
        <v>#N/A</v>
      </c>
      <c r="BD592" s="121" t="e">
        <f>IF('Cable Info'!T296="","",CONCATENATE('Cable Info'!T296," - ",'Cable Info'!U296))</f>
        <v>#N/A</v>
      </c>
      <c r="BG592" s="121" t="e">
        <f t="shared" si="141"/>
        <v>#N/A</v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e">
        <f>IF('Cable Info'!R297="","",CONCATENATE('Cable Info'!R297," - ",'Cable Info'!S297))</f>
        <v>#N/A</v>
      </c>
      <c r="BB593" s="121" t="e">
        <f t="shared" si="140"/>
        <v>#N/A</v>
      </c>
      <c r="BD593" s="121" t="e">
        <f>IF('Cable Info'!T297="","",CONCATENATE('Cable Info'!T297," - ",'Cable Info'!U297))</f>
        <v>#N/A</v>
      </c>
      <c r="BG593" s="121" t="e">
        <f t="shared" si="141"/>
        <v>#N/A</v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e">
        <f>IF('Cable Info'!R298="","",CONCATENATE('Cable Info'!R298," - ",'Cable Info'!S298))</f>
        <v>#N/A</v>
      </c>
      <c r="BB594" s="121" t="e">
        <f t="shared" si="140"/>
        <v>#N/A</v>
      </c>
      <c r="BD594" s="121" t="e">
        <f>IF('Cable Info'!T298="","",CONCATENATE('Cable Info'!T298," - ",'Cable Info'!U298))</f>
        <v>#N/A</v>
      </c>
      <c r="BG594" s="121" t="e">
        <f t="shared" si="141"/>
        <v>#N/A</v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e">
        <f>IF('Cable Info'!R299="","",CONCATENATE('Cable Info'!R299," - ",'Cable Info'!S299))</f>
        <v>#N/A</v>
      </c>
      <c r="BB595" s="121" t="e">
        <f t="shared" si="140"/>
        <v>#N/A</v>
      </c>
      <c r="BD595" s="121" t="e">
        <f>IF('Cable Info'!T299="","",CONCATENATE('Cable Info'!T299," - ",'Cable Info'!U299))</f>
        <v>#N/A</v>
      </c>
      <c r="BG595" s="121" t="e">
        <f t="shared" si="141"/>
        <v>#N/A</v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e">
        <f>IF('Cable Info'!R300="","",CONCATENATE('Cable Info'!R300," - ",'Cable Info'!S300))</f>
        <v>#N/A</v>
      </c>
      <c r="BB596" s="121" t="e">
        <f t="shared" si="140"/>
        <v>#N/A</v>
      </c>
      <c r="BD596" s="121" t="e">
        <f>IF('Cable Info'!T300="","",CONCATENATE('Cable Info'!T300," - ",'Cable Info'!U300))</f>
        <v>#N/A</v>
      </c>
      <c r="BG596" s="121" t="e">
        <f t="shared" si="141"/>
        <v>#N/A</v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e">
        <f>IF('Cable Info'!R301="","",CONCATENATE('Cable Info'!R301," - ",'Cable Info'!S301))</f>
        <v>#N/A</v>
      </c>
      <c r="BB597" s="121" t="e">
        <f t="shared" si="140"/>
        <v>#N/A</v>
      </c>
      <c r="BD597" s="121" t="e">
        <f>IF('Cable Info'!T301="","",CONCATENATE('Cable Info'!T301," - ",'Cable Info'!U301))</f>
        <v>#N/A</v>
      </c>
      <c r="BG597" s="121" t="e">
        <f t="shared" si="141"/>
        <v>#N/A</v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e">
        <f>IF('Cable Info'!R302="","",CONCATENATE('Cable Info'!R302," - ",'Cable Info'!S302))</f>
        <v>#N/A</v>
      </c>
      <c r="BB598" s="121" t="e">
        <f t="shared" si="140"/>
        <v>#N/A</v>
      </c>
      <c r="BD598" s="121" t="e">
        <f>IF('Cable Info'!T302="","",CONCATENATE('Cable Info'!T302," - ",'Cable Info'!U302))</f>
        <v>#N/A</v>
      </c>
      <c r="BG598" s="121" t="e">
        <f t="shared" si="141"/>
        <v>#N/A</v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e">
        <f>IF('Cable Info'!R303="","",CONCATENATE('Cable Info'!R303," - ",'Cable Info'!S303))</f>
        <v>#N/A</v>
      </c>
      <c r="BB599" s="121" t="e">
        <f t="shared" si="140"/>
        <v>#N/A</v>
      </c>
      <c r="BD599" s="121" t="e">
        <f>IF('Cable Info'!T303="","",CONCATENATE('Cable Info'!T303," - ",'Cable Info'!U303))</f>
        <v>#N/A</v>
      </c>
      <c r="BG599" s="121" t="e">
        <f t="shared" si="141"/>
        <v>#N/A</v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e">
        <f>IF('Cable Info'!R304="","",CONCATENATE('Cable Info'!R304," - ",'Cable Info'!S304))</f>
        <v>#N/A</v>
      </c>
      <c r="BB600" s="121" t="e">
        <f t="shared" si="140"/>
        <v>#N/A</v>
      </c>
      <c r="BD600" s="121" t="e">
        <f>IF('Cable Info'!T304="","",CONCATENATE('Cable Info'!T304," - ",'Cable Info'!U304))</f>
        <v>#N/A</v>
      </c>
      <c r="BG600" s="121" t="e">
        <f t="shared" si="141"/>
        <v>#N/A</v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e">
        <f>IF('Cable Info'!R305="","",CONCATENATE('Cable Info'!R305," - ",'Cable Info'!S305))</f>
        <v>#N/A</v>
      </c>
      <c r="BB601" s="121" t="e">
        <f t="shared" si="140"/>
        <v>#N/A</v>
      </c>
      <c r="BD601" s="121" t="e">
        <f>IF('Cable Info'!T305="","",CONCATENATE('Cable Info'!T305," - ",'Cable Info'!U305))</f>
        <v>#N/A</v>
      </c>
      <c r="BG601" s="121" t="e">
        <f t="shared" si="141"/>
        <v>#N/A</v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e">
        <f>IF('Cable Info'!R306="","",CONCATENATE('Cable Info'!R306," - ",'Cable Info'!S306))</f>
        <v>#N/A</v>
      </c>
      <c r="BB602" s="121" t="e">
        <f t="shared" si="140"/>
        <v>#N/A</v>
      </c>
      <c r="BD602" s="121" t="e">
        <f>IF('Cable Info'!T306="","",CONCATENATE('Cable Info'!T306," - ",'Cable Info'!U306))</f>
        <v>#N/A</v>
      </c>
      <c r="BG602" s="121" t="e">
        <f t="shared" si="141"/>
        <v>#N/A</v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e">
        <f>IF('Cable Info'!R307="","",CONCATENATE('Cable Info'!R307," - ",'Cable Info'!S307))</f>
        <v>#N/A</v>
      </c>
      <c r="BB603" s="121" t="e">
        <f t="shared" si="140"/>
        <v>#N/A</v>
      </c>
      <c r="BD603" s="121" t="e">
        <f>IF('Cable Info'!T307="","",CONCATENATE('Cable Info'!T307," - ",'Cable Info'!U307))</f>
        <v>#N/A</v>
      </c>
      <c r="BG603" s="121" t="e">
        <f t="shared" si="141"/>
        <v>#N/A</v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e">
        <f>IF('Cable Info'!R308="","",CONCATENATE('Cable Info'!R308," - ",'Cable Info'!S308))</f>
        <v>#N/A</v>
      </c>
      <c r="BB604" s="121" t="e">
        <f t="shared" si="140"/>
        <v>#N/A</v>
      </c>
      <c r="BD604" s="121" t="e">
        <f>IF('Cable Info'!T308="","",CONCATENATE('Cable Info'!T308," - ",'Cable Info'!U308))</f>
        <v>#N/A</v>
      </c>
      <c r="BG604" s="121" t="e">
        <f t="shared" si="141"/>
        <v>#N/A</v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e">
        <f>IF('Cable Info'!R309="","",CONCATENATE('Cable Info'!R309," - ",'Cable Info'!S309))</f>
        <v>#N/A</v>
      </c>
      <c r="BB605" s="121" t="e">
        <f t="shared" si="140"/>
        <v>#N/A</v>
      </c>
      <c r="BD605" s="121" t="e">
        <f>IF('Cable Info'!T309="","",CONCATENATE('Cable Info'!T309," - ",'Cable Info'!U309))</f>
        <v>#N/A</v>
      </c>
      <c r="BG605" s="121" t="e">
        <f t="shared" si="141"/>
        <v>#N/A</v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e">
        <f>IF('Cable Info'!R310="","",CONCATENATE('Cable Info'!R310," - ",'Cable Info'!S310))</f>
        <v>#N/A</v>
      </c>
      <c r="BB606" s="121" t="e">
        <f t="shared" si="140"/>
        <v>#N/A</v>
      </c>
      <c r="BD606" s="121" t="e">
        <f>IF('Cable Info'!T310="","",CONCATENATE('Cable Info'!T310," - ",'Cable Info'!U310))</f>
        <v>#N/A</v>
      </c>
      <c r="BG606" s="121" t="e">
        <f t="shared" si="141"/>
        <v>#N/A</v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e">
        <f>IF('Cable Info'!R311="","",CONCATENATE('Cable Info'!R311," - ",'Cable Info'!S311))</f>
        <v>#N/A</v>
      </c>
      <c r="BB607" s="121" t="e">
        <f t="shared" si="140"/>
        <v>#N/A</v>
      </c>
      <c r="BD607" s="121" t="e">
        <f>IF('Cable Info'!T311="","",CONCATENATE('Cable Info'!T311," - ",'Cable Info'!U311))</f>
        <v>#N/A</v>
      </c>
      <c r="BG607" s="121" t="e">
        <f t="shared" si="141"/>
        <v>#N/A</v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e">
        <f>IF('Cable Info'!R312="","",CONCATENATE('Cable Info'!R312," - ",'Cable Info'!S312))</f>
        <v>#N/A</v>
      </c>
      <c r="BB608" s="121" t="e">
        <f t="shared" si="140"/>
        <v>#N/A</v>
      </c>
      <c r="BD608" s="121" t="e">
        <f>IF('Cable Info'!T312="","",CONCATENATE('Cable Info'!T312," - ",'Cable Info'!U312))</f>
        <v>#N/A</v>
      </c>
      <c r="BG608" s="121" t="e">
        <f t="shared" si="141"/>
        <v>#N/A</v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e">
        <f>IF('Cable Info'!R313="","",CONCATENATE('Cable Info'!R313," - ",'Cable Info'!S313))</f>
        <v>#N/A</v>
      </c>
      <c r="BB609" s="121" t="e">
        <f t="shared" si="140"/>
        <v>#N/A</v>
      </c>
      <c r="BD609" s="121" t="e">
        <f>IF('Cable Info'!T313="","",CONCATENATE('Cable Info'!T313," - ",'Cable Info'!U313))</f>
        <v>#N/A</v>
      </c>
      <c r="BG609" s="121" t="e">
        <f t="shared" si="141"/>
        <v>#N/A</v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e">
        <f>IF('Cable Info'!R314="","",CONCATENATE('Cable Info'!R314," - ",'Cable Info'!S314))</f>
        <v>#N/A</v>
      </c>
      <c r="BB610" s="121" t="e">
        <f t="shared" si="140"/>
        <v>#N/A</v>
      </c>
      <c r="BD610" s="121" t="e">
        <f>IF('Cable Info'!T314="","",CONCATENATE('Cable Info'!T314," - ",'Cable Info'!U314))</f>
        <v>#N/A</v>
      </c>
      <c r="BG610" s="121" t="e">
        <f t="shared" si="141"/>
        <v>#N/A</v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e">
        <f>IF('Cable Info'!R315="","",CONCATENATE('Cable Info'!R315," - ",'Cable Info'!S315))</f>
        <v>#N/A</v>
      </c>
      <c r="BB611" s="121" t="e">
        <f t="shared" si="140"/>
        <v>#N/A</v>
      </c>
      <c r="BD611" s="121" t="e">
        <f>IF('Cable Info'!T315="","",CONCATENATE('Cable Info'!T315," - ",'Cable Info'!U315))</f>
        <v>#N/A</v>
      </c>
      <c r="BG611" s="121" t="e">
        <f t="shared" si="141"/>
        <v>#N/A</v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e">
        <f>IF('Cable Info'!R316="","",CONCATENATE('Cable Info'!R316," - ",'Cable Info'!S316))</f>
        <v>#N/A</v>
      </c>
      <c r="BB612" s="121" t="e">
        <f t="shared" si="140"/>
        <v>#N/A</v>
      </c>
      <c r="BD612" s="121" t="e">
        <f>IF('Cable Info'!T316="","",CONCATENATE('Cable Info'!T316," - ",'Cable Info'!U316))</f>
        <v>#N/A</v>
      </c>
      <c r="BG612" s="121" t="e">
        <f t="shared" si="141"/>
        <v>#N/A</v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e">
        <f>IF('Cable Info'!R317="","",CONCATENATE('Cable Info'!R317," - ",'Cable Info'!S317))</f>
        <v>#N/A</v>
      </c>
      <c r="BB613" s="121" t="e">
        <f t="shared" si="140"/>
        <v>#N/A</v>
      </c>
      <c r="BD613" s="121" t="e">
        <f>IF('Cable Info'!T317="","",CONCATENATE('Cable Info'!T317," - ",'Cable Info'!U317))</f>
        <v>#N/A</v>
      </c>
      <c r="BG613" s="121" t="e">
        <f t="shared" si="141"/>
        <v>#N/A</v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e">
        <f>IF('Cable Info'!R318="","",CONCATENATE('Cable Info'!R318," - ",'Cable Info'!S318))</f>
        <v>#N/A</v>
      </c>
      <c r="BB614" s="121" t="e">
        <f t="shared" si="140"/>
        <v>#N/A</v>
      </c>
      <c r="BD614" s="121" t="e">
        <f>IF('Cable Info'!T318="","",CONCATENATE('Cable Info'!T318," - ",'Cable Info'!U318))</f>
        <v>#N/A</v>
      </c>
      <c r="BG614" s="121" t="e">
        <f t="shared" si="141"/>
        <v>#N/A</v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e">
        <f>IF('Cable Info'!R319="","",CONCATENATE('Cable Info'!R319," - ",'Cable Info'!S319))</f>
        <v>#N/A</v>
      </c>
      <c r="BB615" s="121" t="e">
        <f t="shared" si="140"/>
        <v>#N/A</v>
      </c>
      <c r="BD615" s="121" t="e">
        <f>IF('Cable Info'!T319="","",CONCATENATE('Cable Info'!T319," - ",'Cable Info'!U319))</f>
        <v>#N/A</v>
      </c>
      <c r="BG615" s="121" t="e">
        <f t="shared" si="141"/>
        <v>#N/A</v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e">
        <f>IF('Cable Info'!R320="","",CONCATENATE('Cable Info'!R320," - ",'Cable Info'!S320))</f>
        <v>#N/A</v>
      </c>
      <c r="BB616" s="121" t="e">
        <f t="shared" si="140"/>
        <v>#N/A</v>
      </c>
      <c r="BD616" s="121" t="e">
        <f>IF('Cable Info'!T320="","",CONCATENATE('Cable Info'!T320," - ",'Cable Info'!U320))</f>
        <v>#N/A</v>
      </c>
      <c r="BG616" s="121" t="e">
        <f t="shared" si="141"/>
        <v>#N/A</v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e">
        <f>IF('Cable Info'!R321="","",CONCATENATE('Cable Info'!R321," - ",'Cable Info'!S321))</f>
        <v>#N/A</v>
      </c>
      <c r="BB617" s="121" t="e">
        <f t="shared" si="140"/>
        <v>#N/A</v>
      </c>
      <c r="BD617" s="121" t="e">
        <f>IF('Cable Info'!T321="","",CONCATENATE('Cable Info'!T321," - ",'Cable Info'!U321))</f>
        <v>#N/A</v>
      </c>
      <c r="BG617" s="121" t="e">
        <f t="shared" si="141"/>
        <v>#N/A</v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e">
        <f>IF('Cable Info'!R322="","",CONCATENATE('Cable Info'!R322," - ",'Cable Info'!S322))</f>
        <v>#N/A</v>
      </c>
      <c r="BB618" s="121" t="e">
        <f t="shared" si="140"/>
        <v>#N/A</v>
      </c>
      <c r="BD618" s="121" t="e">
        <f>IF('Cable Info'!T322="","",CONCATENATE('Cable Info'!T322," - ",'Cable Info'!U322))</f>
        <v>#N/A</v>
      </c>
      <c r="BG618" s="121" t="e">
        <f t="shared" si="141"/>
        <v>#N/A</v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e">
        <f>IF('Cable Info'!R323="","",CONCATENATE('Cable Info'!R323," - ",'Cable Info'!S323))</f>
        <v>#N/A</v>
      </c>
      <c r="BB619" s="121" t="e">
        <f t="shared" ref="BB619:BB682" si="146">IF(AZ619="",AY619,CONCATENATE(AY619,"  &lt;=&gt; ",AZ619," ",BA619))</f>
        <v>#N/A</v>
      </c>
      <c r="BD619" s="121" t="e">
        <f>IF('Cable Info'!T323="","",CONCATENATE('Cable Info'!T323," - ",'Cable Info'!U323))</f>
        <v>#N/A</v>
      </c>
      <c r="BG619" s="121" t="e">
        <f t="shared" ref="BG619:BG682" si="147">IF(BE619="",BD619,CONCATENATE(BD619,"  &lt;=&gt; ",BE619," ",BF619))</f>
        <v>#N/A</v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e">
        <f>IF('Cable Info'!R324="","",CONCATENATE('Cable Info'!R324," - ",'Cable Info'!S324))</f>
        <v>#N/A</v>
      </c>
      <c r="BB620" s="121" t="e">
        <f t="shared" si="146"/>
        <v>#N/A</v>
      </c>
      <c r="BD620" s="121" t="e">
        <f>IF('Cable Info'!T324="","",CONCATENATE('Cable Info'!T324," - ",'Cable Info'!U324))</f>
        <v>#N/A</v>
      </c>
      <c r="BG620" s="121" t="e">
        <f t="shared" si="147"/>
        <v>#N/A</v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e">
        <f>IF('Cable Info'!R325="","",CONCATENATE('Cable Info'!R325," - ",'Cable Info'!S325))</f>
        <v>#N/A</v>
      </c>
      <c r="BB621" s="121" t="e">
        <f t="shared" si="146"/>
        <v>#N/A</v>
      </c>
      <c r="BD621" s="121" t="e">
        <f>IF('Cable Info'!T325="","",CONCATENATE('Cable Info'!T325," - ",'Cable Info'!U325))</f>
        <v>#N/A</v>
      </c>
      <c r="BG621" s="121" t="e">
        <f t="shared" si="147"/>
        <v>#N/A</v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e">
        <f>IF('Cable Info'!R326="","",CONCATENATE('Cable Info'!R326," - ",'Cable Info'!S326))</f>
        <v>#N/A</v>
      </c>
      <c r="BB622" s="121" t="e">
        <f t="shared" si="146"/>
        <v>#N/A</v>
      </c>
      <c r="BD622" s="121" t="e">
        <f>IF('Cable Info'!T326="","",CONCATENATE('Cable Info'!T326," - ",'Cable Info'!U326))</f>
        <v>#N/A</v>
      </c>
      <c r="BG622" s="121" t="e">
        <f t="shared" si="147"/>
        <v>#N/A</v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e">
        <f>IF('Cable Info'!R327="","",CONCATENATE('Cable Info'!R327," - ",'Cable Info'!S327))</f>
        <v>#N/A</v>
      </c>
      <c r="BB623" s="121" t="e">
        <f t="shared" si="146"/>
        <v>#N/A</v>
      </c>
      <c r="BD623" s="121" t="e">
        <f>IF('Cable Info'!T327="","",CONCATENATE('Cable Info'!T327," - ",'Cable Info'!U327))</f>
        <v>#N/A</v>
      </c>
      <c r="BG623" s="121" t="e">
        <f t="shared" si="147"/>
        <v>#N/A</v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e">
        <f>IF('Cable Info'!R328="","",CONCATENATE('Cable Info'!R328," - ",'Cable Info'!S328))</f>
        <v>#N/A</v>
      </c>
      <c r="BB624" s="121" t="e">
        <f t="shared" si="146"/>
        <v>#N/A</v>
      </c>
      <c r="BD624" s="121" t="e">
        <f>IF('Cable Info'!T328="","",CONCATENATE('Cable Info'!T328," - ",'Cable Info'!U328))</f>
        <v>#N/A</v>
      </c>
      <c r="BG624" s="121" t="e">
        <f t="shared" si="147"/>
        <v>#N/A</v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e">
        <f>IF('Cable Info'!R329="","",CONCATENATE('Cable Info'!R329," - ",'Cable Info'!S329))</f>
        <v>#N/A</v>
      </c>
      <c r="BB625" s="121" t="e">
        <f t="shared" si="146"/>
        <v>#N/A</v>
      </c>
      <c r="BD625" s="121" t="e">
        <f>IF('Cable Info'!T329="","",CONCATENATE('Cable Info'!T329," - ",'Cable Info'!U329))</f>
        <v>#N/A</v>
      </c>
      <c r="BG625" s="121" t="e">
        <f t="shared" si="147"/>
        <v>#N/A</v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e">
        <f>IF('Cable Info'!R330="","",CONCATENATE('Cable Info'!R330," - ",'Cable Info'!S330))</f>
        <v>#N/A</v>
      </c>
      <c r="BB626" s="121" t="e">
        <f t="shared" si="146"/>
        <v>#N/A</v>
      </c>
      <c r="BD626" s="121" t="e">
        <f>IF('Cable Info'!T330="","",CONCATENATE('Cable Info'!T330," - ",'Cable Info'!U330))</f>
        <v>#N/A</v>
      </c>
      <c r="BG626" s="121" t="e">
        <f t="shared" si="147"/>
        <v>#N/A</v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e">
        <f>IF('Cable Info'!R331="","",CONCATENATE('Cable Info'!R331," - ",'Cable Info'!S331))</f>
        <v>#N/A</v>
      </c>
      <c r="BB627" s="121" t="e">
        <f t="shared" si="146"/>
        <v>#N/A</v>
      </c>
      <c r="BD627" s="121" t="e">
        <f>IF('Cable Info'!T331="","",CONCATENATE('Cable Info'!T331," - ",'Cable Info'!U331))</f>
        <v>#N/A</v>
      </c>
      <c r="BG627" s="121" t="e">
        <f t="shared" si="147"/>
        <v>#N/A</v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e">
        <f>IF('Cable Info'!R332="","",CONCATENATE('Cable Info'!R332," - ",'Cable Info'!S332))</f>
        <v>#N/A</v>
      </c>
      <c r="BB628" s="121" t="e">
        <f t="shared" si="146"/>
        <v>#N/A</v>
      </c>
      <c r="BD628" s="121" t="e">
        <f>IF('Cable Info'!T332="","",CONCATENATE('Cable Info'!T332," - ",'Cable Info'!U332))</f>
        <v>#N/A</v>
      </c>
      <c r="BG628" s="121" t="e">
        <f t="shared" si="147"/>
        <v>#N/A</v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e">
        <f>IF('Cable Info'!R333="","",CONCATENATE('Cable Info'!R333," - ",'Cable Info'!S333))</f>
        <v>#N/A</v>
      </c>
      <c r="BB629" s="121" t="e">
        <f t="shared" si="146"/>
        <v>#N/A</v>
      </c>
      <c r="BD629" s="121" t="e">
        <f>IF('Cable Info'!T333="","",CONCATENATE('Cable Info'!T333," - ",'Cable Info'!U333))</f>
        <v>#N/A</v>
      </c>
      <c r="BG629" s="121" t="e">
        <f t="shared" si="147"/>
        <v>#N/A</v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e">
        <f>IF('Cable Info'!R334="","",CONCATENATE('Cable Info'!R334," - ",'Cable Info'!S334))</f>
        <v>#N/A</v>
      </c>
      <c r="BB630" s="121" t="e">
        <f t="shared" si="146"/>
        <v>#N/A</v>
      </c>
      <c r="BD630" s="121" t="e">
        <f>IF('Cable Info'!T334="","",CONCATENATE('Cable Info'!T334," - ",'Cable Info'!U334))</f>
        <v>#N/A</v>
      </c>
      <c r="BG630" s="121" t="e">
        <f t="shared" si="147"/>
        <v>#N/A</v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e">
        <f>IF('Cable Info'!R335="","",CONCATENATE('Cable Info'!R335," - ",'Cable Info'!S335))</f>
        <v>#N/A</v>
      </c>
      <c r="BB631" s="121" t="e">
        <f t="shared" si="146"/>
        <v>#N/A</v>
      </c>
      <c r="BD631" s="121" t="e">
        <f>IF('Cable Info'!T335="","",CONCATENATE('Cable Info'!T335," - ",'Cable Info'!U335))</f>
        <v>#N/A</v>
      </c>
      <c r="BG631" s="121" t="e">
        <f t="shared" si="147"/>
        <v>#N/A</v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e">
        <f>IF('Cable Info'!R336="","",CONCATENATE('Cable Info'!R336," - ",'Cable Info'!S336))</f>
        <v>#N/A</v>
      </c>
      <c r="BB632" s="121" t="e">
        <f t="shared" si="146"/>
        <v>#N/A</v>
      </c>
      <c r="BD632" s="121" t="e">
        <f>IF('Cable Info'!T336="","",CONCATENATE('Cable Info'!T336," - ",'Cable Info'!U336))</f>
        <v>#N/A</v>
      </c>
      <c r="BG632" s="121" t="e">
        <f t="shared" si="147"/>
        <v>#N/A</v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e">
        <f>IF('Cable Info'!R337="","",CONCATENATE('Cable Info'!R337," - ",'Cable Info'!S337))</f>
        <v>#N/A</v>
      </c>
      <c r="BB633" s="121" t="e">
        <f t="shared" si="146"/>
        <v>#N/A</v>
      </c>
      <c r="BD633" s="121" t="e">
        <f>IF('Cable Info'!T337="","",CONCATENATE('Cable Info'!T337," - ",'Cable Info'!U337))</f>
        <v>#N/A</v>
      </c>
      <c r="BG633" s="121" t="e">
        <f t="shared" si="147"/>
        <v>#N/A</v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e">
        <f>IF('Cable Info'!R338="","",CONCATENATE('Cable Info'!R338," - ",'Cable Info'!S338))</f>
        <v>#N/A</v>
      </c>
      <c r="BB634" s="121" t="e">
        <f t="shared" si="146"/>
        <v>#N/A</v>
      </c>
      <c r="BD634" s="121" t="e">
        <f>IF('Cable Info'!T338="","",CONCATENATE('Cable Info'!T338," - ",'Cable Info'!U338))</f>
        <v>#N/A</v>
      </c>
      <c r="BG634" s="121" t="e">
        <f t="shared" si="147"/>
        <v>#N/A</v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e">
        <f>IF('Cable Info'!R339="","",CONCATENATE('Cable Info'!R339," - ",'Cable Info'!S339))</f>
        <v>#N/A</v>
      </c>
      <c r="BB635" s="121" t="e">
        <f t="shared" si="146"/>
        <v>#N/A</v>
      </c>
      <c r="BD635" s="121" t="e">
        <f>IF('Cable Info'!T339="","",CONCATENATE('Cable Info'!T339," - ",'Cable Info'!U339))</f>
        <v>#N/A</v>
      </c>
      <c r="BG635" s="121" t="e">
        <f t="shared" si="147"/>
        <v>#N/A</v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e">
        <f>IF('Cable Info'!R340="","",CONCATENATE('Cable Info'!R340," - ",'Cable Info'!S340))</f>
        <v>#N/A</v>
      </c>
      <c r="BB636" s="121" t="e">
        <f t="shared" si="146"/>
        <v>#N/A</v>
      </c>
      <c r="BD636" s="121" t="e">
        <f>IF('Cable Info'!T340="","",CONCATENATE('Cable Info'!T340," - ",'Cable Info'!U340))</f>
        <v>#N/A</v>
      </c>
      <c r="BG636" s="121" t="e">
        <f t="shared" si="147"/>
        <v>#N/A</v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e">
        <f>IF('Cable Info'!R341="","",CONCATENATE('Cable Info'!R341," - ",'Cable Info'!S341))</f>
        <v>#N/A</v>
      </c>
      <c r="BB637" s="121" t="e">
        <f t="shared" si="146"/>
        <v>#N/A</v>
      </c>
      <c r="BD637" s="121" t="e">
        <f>IF('Cable Info'!T341="","",CONCATENATE('Cable Info'!T341," - ",'Cable Info'!U341))</f>
        <v>#N/A</v>
      </c>
      <c r="BG637" s="121" t="e">
        <f t="shared" si="147"/>
        <v>#N/A</v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e">
        <f>IF('Cable Info'!R342="","",CONCATENATE('Cable Info'!R342," - ",'Cable Info'!S342))</f>
        <v>#N/A</v>
      </c>
      <c r="BB638" s="121" t="e">
        <f t="shared" si="146"/>
        <v>#N/A</v>
      </c>
      <c r="BD638" s="121" t="e">
        <f>IF('Cable Info'!T342="","",CONCATENATE('Cable Info'!T342," - ",'Cable Info'!U342))</f>
        <v>#N/A</v>
      </c>
      <c r="BG638" s="121" t="e">
        <f t="shared" si="147"/>
        <v>#N/A</v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e">
        <f>IF('Cable Info'!R343="","",CONCATENATE('Cable Info'!R343," - ",'Cable Info'!S343))</f>
        <v>#N/A</v>
      </c>
      <c r="BB639" s="121" t="e">
        <f t="shared" si="146"/>
        <v>#N/A</v>
      </c>
      <c r="BD639" s="121" t="e">
        <f>IF('Cable Info'!T343="","",CONCATENATE('Cable Info'!T343," - ",'Cable Info'!U343))</f>
        <v>#N/A</v>
      </c>
      <c r="BG639" s="121" t="e">
        <f t="shared" si="147"/>
        <v>#N/A</v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e">
        <f>IF('Cable Info'!R344="","",CONCATENATE('Cable Info'!R344," - ",'Cable Info'!S344))</f>
        <v>#N/A</v>
      </c>
      <c r="BB640" s="121" t="e">
        <f t="shared" si="146"/>
        <v>#N/A</v>
      </c>
      <c r="BD640" s="121" t="e">
        <f>IF('Cable Info'!T344="","",CONCATENATE('Cable Info'!T344," - ",'Cable Info'!U344))</f>
        <v>#N/A</v>
      </c>
      <c r="BG640" s="121" t="e">
        <f t="shared" si="147"/>
        <v>#N/A</v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e">
        <f>IF('Cable Info'!R345="","",CONCATENATE('Cable Info'!R345," - ",'Cable Info'!S345))</f>
        <v>#N/A</v>
      </c>
      <c r="BB641" s="121" t="e">
        <f t="shared" si="146"/>
        <v>#N/A</v>
      </c>
      <c r="BD641" s="121" t="e">
        <f>IF('Cable Info'!T345="","",CONCATENATE('Cable Info'!T345," - ",'Cable Info'!U345))</f>
        <v>#N/A</v>
      </c>
      <c r="BG641" s="121" t="e">
        <f t="shared" si="147"/>
        <v>#N/A</v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e">
        <f>IF('Cable Info'!R346="","",CONCATENATE('Cable Info'!R346," - ",'Cable Info'!S346))</f>
        <v>#N/A</v>
      </c>
      <c r="BB642" s="121" t="e">
        <f t="shared" si="146"/>
        <v>#N/A</v>
      </c>
      <c r="BD642" s="121" t="e">
        <f>IF('Cable Info'!T346="","",CONCATENATE('Cable Info'!T346," - ",'Cable Info'!U346))</f>
        <v>#N/A</v>
      </c>
      <c r="BG642" s="121" t="e">
        <f t="shared" si="147"/>
        <v>#N/A</v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e">
        <f>IF('Cable Info'!R347="","",CONCATENATE('Cable Info'!R347," - ",'Cable Info'!S347))</f>
        <v>#N/A</v>
      </c>
      <c r="BB643" s="121" t="e">
        <f t="shared" si="146"/>
        <v>#N/A</v>
      </c>
      <c r="BD643" s="121" t="e">
        <f>IF('Cable Info'!T347="","",CONCATENATE('Cable Info'!T347," - ",'Cable Info'!U347))</f>
        <v>#N/A</v>
      </c>
      <c r="BG643" s="121" t="e">
        <f t="shared" si="147"/>
        <v>#N/A</v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e">
        <f>IF('Cable Info'!R348="","",CONCATENATE('Cable Info'!R348," - ",'Cable Info'!S348))</f>
        <v>#N/A</v>
      </c>
      <c r="BB644" s="121" t="e">
        <f t="shared" si="146"/>
        <v>#N/A</v>
      </c>
      <c r="BD644" s="121" t="e">
        <f>IF('Cable Info'!T348="","",CONCATENATE('Cable Info'!T348," - ",'Cable Info'!U348))</f>
        <v>#N/A</v>
      </c>
      <c r="BG644" s="121" t="e">
        <f t="shared" si="147"/>
        <v>#N/A</v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e">
        <f>IF('Cable Info'!R349="","",CONCATENATE('Cable Info'!R349," - ",'Cable Info'!S349))</f>
        <v>#N/A</v>
      </c>
      <c r="BB645" s="121" t="e">
        <f t="shared" si="146"/>
        <v>#N/A</v>
      </c>
      <c r="BD645" s="121" t="e">
        <f>IF('Cable Info'!T349="","",CONCATENATE('Cable Info'!T349," - ",'Cable Info'!U349))</f>
        <v>#N/A</v>
      </c>
      <c r="BG645" s="121" t="e">
        <f t="shared" si="147"/>
        <v>#N/A</v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e">
        <f>IF('Cable Info'!R350="","",CONCATENATE('Cable Info'!R350," - ",'Cable Info'!S350))</f>
        <v>#N/A</v>
      </c>
      <c r="BB646" s="121" t="e">
        <f t="shared" si="146"/>
        <v>#N/A</v>
      </c>
      <c r="BD646" s="121" t="e">
        <f>IF('Cable Info'!T350="","",CONCATENATE('Cable Info'!T350," - ",'Cable Info'!U350))</f>
        <v>#N/A</v>
      </c>
      <c r="BG646" s="121" t="e">
        <f t="shared" si="147"/>
        <v>#N/A</v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e">
        <f>IF('Cable Info'!R351="","",CONCATENATE('Cable Info'!R351," - ",'Cable Info'!S351))</f>
        <v>#N/A</v>
      </c>
      <c r="BB647" s="121" t="e">
        <f t="shared" si="146"/>
        <v>#N/A</v>
      </c>
      <c r="BD647" s="121" t="e">
        <f>IF('Cable Info'!T351="","",CONCATENATE('Cable Info'!T351," - ",'Cable Info'!U351))</f>
        <v>#N/A</v>
      </c>
      <c r="BG647" s="121" t="e">
        <f t="shared" si="147"/>
        <v>#N/A</v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e">
        <f>IF('Cable Info'!R352="","",CONCATENATE('Cable Info'!R352," - ",'Cable Info'!S352))</f>
        <v>#N/A</v>
      </c>
      <c r="BB648" s="121" t="e">
        <f t="shared" si="146"/>
        <v>#N/A</v>
      </c>
      <c r="BD648" s="121" t="e">
        <f>IF('Cable Info'!T352="","",CONCATENATE('Cable Info'!T352," - ",'Cable Info'!U352))</f>
        <v>#N/A</v>
      </c>
      <c r="BG648" s="121" t="e">
        <f t="shared" si="147"/>
        <v>#N/A</v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e">
        <f>IF('Cable Info'!R353="","",CONCATENATE('Cable Info'!R353," - ",'Cable Info'!S353))</f>
        <v>#N/A</v>
      </c>
      <c r="BB649" s="121" t="e">
        <f t="shared" si="146"/>
        <v>#N/A</v>
      </c>
      <c r="BD649" s="121" t="e">
        <f>IF('Cable Info'!T353="","",CONCATENATE('Cable Info'!T353," - ",'Cable Info'!U353))</f>
        <v>#N/A</v>
      </c>
      <c r="BG649" s="121" t="e">
        <f t="shared" si="147"/>
        <v>#N/A</v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e">
        <f>IF('Cable Info'!R354="","",CONCATENATE('Cable Info'!R354," - ",'Cable Info'!S354))</f>
        <v>#N/A</v>
      </c>
      <c r="BB650" s="121" t="e">
        <f t="shared" si="146"/>
        <v>#N/A</v>
      </c>
      <c r="BD650" s="121" t="e">
        <f>IF('Cable Info'!T354="","",CONCATENATE('Cable Info'!T354," - ",'Cable Info'!U354))</f>
        <v>#N/A</v>
      </c>
      <c r="BG650" s="121" t="e">
        <f t="shared" si="147"/>
        <v>#N/A</v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e">
        <f>IF('Cable Info'!R355="","",CONCATENATE('Cable Info'!R355," - ",'Cable Info'!S355))</f>
        <v>#N/A</v>
      </c>
      <c r="BB651" s="121" t="e">
        <f t="shared" si="146"/>
        <v>#N/A</v>
      </c>
      <c r="BD651" s="121" t="e">
        <f>IF('Cable Info'!T355="","",CONCATENATE('Cable Info'!T355," - ",'Cable Info'!U355))</f>
        <v>#N/A</v>
      </c>
      <c r="BG651" s="121" t="e">
        <f t="shared" si="147"/>
        <v>#N/A</v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e">
        <f>IF('Cable Info'!R356="","",CONCATENATE('Cable Info'!R356," - ",'Cable Info'!S356))</f>
        <v>#N/A</v>
      </c>
      <c r="BB652" s="121" t="e">
        <f t="shared" si="146"/>
        <v>#N/A</v>
      </c>
      <c r="BD652" s="121" t="e">
        <f>IF('Cable Info'!T356="","",CONCATENATE('Cable Info'!T356," - ",'Cable Info'!U356))</f>
        <v>#N/A</v>
      </c>
      <c r="BG652" s="121" t="e">
        <f t="shared" si="147"/>
        <v>#N/A</v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e">
        <f>IF('Cable Info'!R357="","",CONCATENATE('Cable Info'!R357," - ",'Cable Info'!S357))</f>
        <v>#N/A</v>
      </c>
      <c r="BB653" s="121" t="e">
        <f t="shared" si="146"/>
        <v>#N/A</v>
      </c>
      <c r="BD653" s="121" t="e">
        <f>IF('Cable Info'!T357="","",CONCATENATE('Cable Info'!T357," - ",'Cable Info'!U357))</f>
        <v>#N/A</v>
      </c>
      <c r="BG653" s="121" t="e">
        <f t="shared" si="147"/>
        <v>#N/A</v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e">
        <f>IF('Cable Info'!R358="","",CONCATENATE('Cable Info'!R358," - ",'Cable Info'!S358))</f>
        <v>#N/A</v>
      </c>
      <c r="BB654" s="121" t="e">
        <f t="shared" si="146"/>
        <v>#N/A</v>
      </c>
      <c r="BD654" s="121" t="e">
        <f>IF('Cable Info'!T358="","",CONCATENATE('Cable Info'!T358," - ",'Cable Info'!U358))</f>
        <v>#N/A</v>
      </c>
      <c r="BG654" s="121" t="e">
        <f t="shared" si="147"/>
        <v>#N/A</v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e">
        <f>IF('Cable Info'!R359="","",CONCATENATE('Cable Info'!R359," - ",'Cable Info'!S359))</f>
        <v>#N/A</v>
      </c>
      <c r="BB655" s="121" t="e">
        <f t="shared" si="146"/>
        <v>#N/A</v>
      </c>
      <c r="BD655" s="121" t="e">
        <f>IF('Cable Info'!T359="","",CONCATENATE('Cable Info'!T359," - ",'Cable Info'!U359))</f>
        <v>#N/A</v>
      </c>
      <c r="BG655" s="121" t="e">
        <f t="shared" si="147"/>
        <v>#N/A</v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e">
        <f>IF('Cable Info'!R360="","",CONCATENATE('Cable Info'!R360," - ",'Cable Info'!S360))</f>
        <v>#N/A</v>
      </c>
      <c r="BB656" s="121" t="e">
        <f t="shared" si="146"/>
        <v>#N/A</v>
      </c>
      <c r="BD656" s="121" t="e">
        <f>IF('Cable Info'!T360="","",CONCATENATE('Cable Info'!T360," - ",'Cable Info'!U360))</f>
        <v>#N/A</v>
      </c>
      <c r="BG656" s="121" t="e">
        <f t="shared" si="147"/>
        <v>#N/A</v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e">
        <f>IF('Cable Info'!R361="","",CONCATENATE('Cable Info'!R361," - ",'Cable Info'!S361))</f>
        <v>#N/A</v>
      </c>
      <c r="BB657" s="121" t="e">
        <f t="shared" si="146"/>
        <v>#N/A</v>
      </c>
      <c r="BD657" s="121" t="e">
        <f>IF('Cable Info'!T361="","",CONCATENATE('Cable Info'!T361," - ",'Cable Info'!U361))</f>
        <v>#N/A</v>
      </c>
      <c r="BG657" s="121" t="e">
        <f t="shared" si="147"/>
        <v>#N/A</v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e">
        <f>IF('Cable Info'!R362="","",CONCATENATE('Cable Info'!R362," - ",'Cable Info'!S362))</f>
        <v>#N/A</v>
      </c>
      <c r="BB658" s="121" t="e">
        <f t="shared" si="146"/>
        <v>#N/A</v>
      </c>
      <c r="BD658" s="121" t="e">
        <f>IF('Cable Info'!T362="","",CONCATENATE('Cable Info'!T362," - ",'Cable Info'!U362))</f>
        <v>#N/A</v>
      </c>
      <c r="BG658" s="121" t="e">
        <f t="shared" si="147"/>
        <v>#N/A</v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e">
        <f>IF('Cable Info'!R363="","",CONCATENATE('Cable Info'!R363," - ",'Cable Info'!S363))</f>
        <v>#N/A</v>
      </c>
      <c r="BB659" s="121" t="e">
        <f t="shared" si="146"/>
        <v>#N/A</v>
      </c>
      <c r="BD659" s="121" t="e">
        <f>IF('Cable Info'!T363="","",CONCATENATE('Cable Info'!T363," - ",'Cable Info'!U363))</f>
        <v>#N/A</v>
      </c>
      <c r="BG659" s="121" t="e">
        <f t="shared" si="147"/>
        <v>#N/A</v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e">
        <f>IF('Cable Info'!R364="","",CONCATENATE('Cable Info'!R364," - ",'Cable Info'!S364))</f>
        <v>#N/A</v>
      </c>
      <c r="BB660" s="121" t="e">
        <f t="shared" si="146"/>
        <v>#N/A</v>
      </c>
      <c r="BD660" s="121" t="e">
        <f>IF('Cable Info'!T364="","",CONCATENATE('Cable Info'!T364," - ",'Cable Info'!U364))</f>
        <v>#N/A</v>
      </c>
      <c r="BG660" s="121" t="e">
        <f t="shared" si="147"/>
        <v>#N/A</v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e">
        <f>IF('Cable Info'!R365="","",CONCATENATE('Cable Info'!R365," - ",'Cable Info'!S365))</f>
        <v>#N/A</v>
      </c>
      <c r="BB661" s="121" t="e">
        <f t="shared" si="146"/>
        <v>#N/A</v>
      </c>
      <c r="BD661" s="121" t="e">
        <f>IF('Cable Info'!T365="","",CONCATENATE('Cable Info'!T365," - ",'Cable Info'!U365))</f>
        <v>#N/A</v>
      </c>
      <c r="BG661" s="121" t="e">
        <f t="shared" si="147"/>
        <v>#N/A</v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e">
        <f>IF('Cable Info'!R366="","",CONCATENATE('Cable Info'!R366," - ",'Cable Info'!S366))</f>
        <v>#N/A</v>
      </c>
      <c r="BB662" s="121" t="e">
        <f t="shared" si="146"/>
        <v>#N/A</v>
      </c>
      <c r="BD662" s="121" t="e">
        <f>IF('Cable Info'!T366="","",CONCATENATE('Cable Info'!T366," - ",'Cable Info'!U366))</f>
        <v>#N/A</v>
      </c>
      <c r="BG662" s="121" t="e">
        <f t="shared" si="147"/>
        <v>#N/A</v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e">
        <f>IF('Cable Info'!R367="","",CONCATENATE('Cable Info'!R367," - ",'Cable Info'!S367))</f>
        <v>#N/A</v>
      </c>
      <c r="BB663" s="121" t="e">
        <f t="shared" si="146"/>
        <v>#N/A</v>
      </c>
      <c r="BD663" s="121" t="e">
        <f>IF('Cable Info'!T367="","",CONCATENATE('Cable Info'!T367," - ",'Cable Info'!U367))</f>
        <v>#N/A</v>
      </c>
      <c r="BG663" s="121" t="e">
        <f t="shared" si="147"/>
        <v>#N/A</v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e">
        <f>IF('Cable Info'!R368="","",CONCATENATE('Cable Info'!R368," - ",'Cable Info'!S368))</f>
        <v>#N/A</v>
      </c>
      <c r="BB664" s="121" t="e">
        <f t="shared" si="146"/>
        <v>#N/A</v>
      </c>
      <c r="BD664" s="121" t="e">
        <f>IF('Cable Info'!T368="","",CONCATENATE('Cable Info'!T368," - ",'Cable Info'!U368))</f>
        <v>#N/A</v>
      </c>
      <c r="BG664" s="121" t="e">
        <f t="shared" si="147"/>
        <v>#N/A</v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e">
        <f>IF('Cable Info'!R369="","",CONCATENATE('Cable Info'!R369," - ",'Cable Info'!S369))</f>
        <v>#N/A</v>
      </c>
      <c r="BB665" s="121" t="e">
        <f t="shared" si="146"/>
        <v>#N/A</v>
      </c>
      <c r="BD665" s="121" t="e">
        <f>IF('Cable Info'!T369="","",CONCATENATE('Cable Info'!T369," - ",'Cable Info'!U369))</f>
        <v>#N/A</v>
      </c>
      <c r="BG665" s="121" t="e">
        <f t="shared" si="147"/>
        <v>#N/A</v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e">
        <f>IF('Cable Info'!R370="","",CONCATENATE('Cable Info'!R370," - ",'Cable Info'!S370))</f>
        <v>#N/A</v>
      </c>
      <c r="BB666" s="121" t="e">
        <f t="shared" si="146"/>
        <v>#N/A</v>
      </c>
      <c r="BD666" s="121" t="e">
        <f>IF('Cable Info'!T370="","",CONCATENATE('Cable Info'!T370," - ",'Cable Info'!U370))</f>
        <v>#N/A</v>
      </c>
      <c r="BG666" s="121" t="e">
        <f t="shared" si="147"/>
        <v>#N/A</v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e">
        <f>IF('Cable Info'!R371="","",CONCATENATE('Cable Info'!R371," - ",'Cable Info'!S371))</f>
        <v>#N/A</v>
      </c>
      <c r="BB667" s="121" t="e">
        <f t="shared" si="146"/>
        <v>#N/A</v>
      </c>
      <c r="BD667" s="121" t="e">
        <f>IF('Cable Info'!T371="","",CONCATENATE('Cable Info'!T371," - ",'Cable Info'!U371))</f>
        <v>#N/A</v>
      </c>
      <c r="BG667" s="121" t="e">
        <f t="shared" si="147"/>
        <v>#N/A</v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e">
        <f>IF('Cable Info'!R372="","",CONCATENATE('Cable Info'!R372," - ",'Cable Info'!S372))</f>
        <v>#N/A</v>
      </c>
      <c r="BB668" s="121" t="e">
        <f t="shared" si="146"/>
        <v>#N/A</v>
      </c>
      <c r="BD668" s="121" t="e">
        <f>IF('Cable Info'!T372="","",CONCATENATE('Cable Info'!T372," - ",'Cable Info'!U372))</f>
        <v>#N/A</v>
      </c>
      <c r="BG668" s="121" t="e">
        <f t="shared" si="147"/>
        <v>#N/A</v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e">
        <f>IF('Cable Info'!R373="","",CONCATENATE('Cable Info'!R373," - ",'Cable Info'!S373))</f>
        <v>#N/A</v>
      </c>
      <c r="BB669" s="121" t="e">
        <f t="shared" si="146"/>
        <v>#N/A</v>
      </c>
      <c r="BD669" s="121" t="e">
        <f>IF('Cable Info'!T373="","",CONCATENATE('Cable Info'!T373," - ",'Cable Info'!U373))</f>
        <v>#N/A</v>
      </c>
      <c r="BG669" s="121" t="e">
        <f t="shared" si="147"/>
        <v>#N/A</v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e">
        <f>IF('Cable Info'!R374="","",CONCATENATE('Cable Info'!R374," - ",'Cable Info'!S374))</f>
        <v>#N/A</v>
      </c>
      <c r="BB670" s="121" t="e">
        <f t="shared" si="146"/>
        <v>#N/A</v>
      </c>
      <c r="BD670" s="121" t="e">
        <f>IF('Cable Info'!T374="","",CONCATENATE('Cable Info'!T374," - ",'Cable Info'!U374))</f>
        <v>#N/A</v>
      </c>
      <c r="BG670" s="121" t="e">
        <f t="shared" si="147"/>
        <v>#N/A</v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e">
        <f>IF('Cable Info'!R375="","",CONCATENATE('Cable Info'!R375," - ",'Cable Info'!S375))</f>
        <v>#N/A</v>
      </c>
      <c r="BB671" s="121" t="e">
        <f t="shared" si="146"/>
        <v>#N/A</v>
      </c>
      <c r="BD671" s="121" t="e">
        <f>IF('Cable Info'!T375="","",CONCATENATE('Cable Info'!T375," - ",'Cable Info'!U375))</f>
        <v>#N/A</v>
      </c>
      <c r="BG671" s="121" t="e">
        <f t="shared" si="147"/>
        <v>#N/A</v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e">
        <f>IF('Cable Info'!R376="","",CONCATENATE('Cable Info'!R376," - ",'Cable Info'!S376))</f>
        <v>#N/A</v>
      </c>
      <c r="BB672" s="121" t="e">
        <f t="shared" si="146"/>
        <v>#N/A</v>
      </c>
      <c r="BD672" s="121" t="e">
        <f>IF('Cable Info'!T376="","",CONCATENATE('Cable Info'!T376," - ",'Cable Info'!U376))</f>
        <v>#N/A</v>
      </c>
      <c r="BG672" s="121" t="e">
        <f t="shared" si="147"/>
        <v>#N/A</v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e">
        <f>IF('Cable Info'!R377="","",CONCATENATE('Cable Info'!R377," - ",'Cable Info'!S377))</f>
        <v>#N/A</v>
      </c>
      <c r="BB673" s="121" t="e">
        <f t="shared" si="146"/>
        <v>#N/A</v>
      </c>
      <c r="BD673" s="121" t="e">
        <f>IF('Cable Info'!T377="","",CONCATENATE('Cable Info'!T377," - ",'Cable Info'!U377))</f>
        <v>#N/A</v>
      </c>
      <c r="BG673" s="121" t="e">
        <f t="shared" si="147"/>
        <v>#N/A</v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e">
        <f>IF('Cable Info'!R378="","",CONCATENATE('Cable Info'!R378," - ",'Cable Info'!S378))</f>
        <v>#N/A</v>
      </c>
      <c r="BB674" s="121" t="e">
        <f t="shared" si="146"/>
        <v>#N/A</v>
      </c>
      <c r="BD674" s="121" t="e">
        <f>IF('Cable Info'!T378="","",CONCATENATE('Cable Info'!T378," - ",'Cable Info'!U378))</f>
        <v>#N/A</v>
      </c>
      <c r="BG674" s="121" t="e">
        <f t="shared" si="147"/>
        <v>#N/A</v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e">
        <f>IF('Cable Info'!R379="","",CONCATENATE('Cable Info'!R379," - ",'Cable Info'!S379))</f>
        <v>#N/A</v>
      </c>
      <c r="BB675" s="121" t="e">
        <f t="shared" si="146"/>
        <v>#N/A</v>
      </c>
      <c r="BD675" s="121" t="e">
        <f>IF('Cable Info'!T379="","",CONCATENATE('Cable Info'!T379," - ",'Cable Info'!U379))</f>
        <v>#N/A</v>
      </c>
      <c r="BG675" s="121" t="e">
        <f t="shared" si="147"/>
        <v>#N/A</v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e">
        <f>IF('Cable Info'!R380="","",CONCATENATE('Cable Info'!R380," - ",'Cable Info'!S380))</f>
        <v>#N/A</v>
      </c>
      <c r="BB676" s="121" t="e">
        <f t="shared" si="146"/>
        <v>#N/A</v>
      </c>
      <c r="BD676" s="121" t="e">
        <f>IF('Cable Info'!T380="","",CONCATENATE('Cable Info'!T380," - ",'Cable Info'!U380))</f>
        <v>#N/A</v>
      </c>
      <c r="BG676" s="121" t="e">
        <f t="shared" si="147"/>
        <v>#N/A</v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e">
        <f>IF('Cable Info'!R381="","",CONCATENATE('Cable Info'!R381," - ",'Cable Info'!S381))</f>
        <v>#N/A</v>
      </c>
      <c r="BB677" s="121" t="e">
        <f t="shared" si="146"/>
        <v>#N/A</v>
      </c>
      <c r="BD677" s="121" t="e">
        <f>IF('Cable Info'!T381="","",CONCATENATE('Cable Info'!T381," - ",'Cable Info'!U381))</f>
        <v>#N/A</v>
      </c>
      <c r="BG677" s="121" t="e">
        <f t="shared" si="147"/>
        <v>#N/A</v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e">
        <f>IF('Cable Info'!R382="","",CONCATENATE('Cable Info'!R382," - ",'Cable Info'!S382))</f>
        <v>#N/A</v>
      </c>
      <c r="BB678" s="121" t="e">
        <f t="shared" si="146"/>
        <v>#N/A</v>
      </c>
      <c r="BD678" s="121" t="e">
        <f>IF('Cable Info'!T382="","",CONCATENATE('Cable Info'!T382," - ",'Cable Info'!U382))</f>
        <v>#N/A</v>
      </c>
      <c r="BG678" s="121" t="e">
        <f t="shared" si="147"/>
        <v>#N/A</v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e">
        <f>IF('Cable Info'!R383="","",CONCATENATE('Cable Info'!R383," - ",'Cable Info'!S383))</f>
        <v>#N/A</v>
      </c>
      <c r="BB679" s="121" t="e">
        <f t="shared" si="146"/>
        <v>#N/A</v>
      </c>
      <c r="BD679" s="121" t="e">
        <f>IF('Cable Info'!T383="","",CONCATENATE('Cable Info'!T383," - ",'Cable Info'!U383))</f>
        <v>#N/A</v>
      </c>
      <c r="BG679" s="121" t="e">
        <f t="shared" si="147"/>
        <v>#N/A</v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e">
        <f>IF('Cable Info'!R384="","",CONCATENATE('Cable Info'!R384," - ",'Cable Info'!S384))</f>
        <v>#N/A</v>
      </c>
      <c r="BB680" s="121" t="e">
        <f t="shared" si="146"/>
        <v>#N/A</v>
      </c>
      <c r="BD680" s="121" t="e">
        <f>IF('Cable Info'!T384="","",CONCATENATE('Cable Info'!T384," - ",'Cable Info'!U384))</f>
        <v>#N/A</v>
      </c>
      <c r="BG680" s="121" t="e">
        <f t="shared" si="147"/>
        <v>#N/A</v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e">
        <f>IF('Cable Info'!R385="","",CONCATENATE('Cable Info'!R385," - ",'Cable Info'!S385))</f>
        <v>#N/A</v>
      </c>
      <c r="BB681" s="121" t="e">
        <f t="shared" si="146"/>
        <v>#N/A</v>
      </c>
      <c r="BD681" s="121" t="e">
        <f>IF('Cable Info'!T385="","",CONCATENATE('Cable Info'!T385," - ",'Cable Info'!U385))</f>
        <v>#N/A</v>
      </c>
      <c r="BG681" s="121" t="e">
        <f t="shared" si="147"/>
        <v>#N/A</v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e">
        <f>IF('Cable Info'!R386="","",CONCATENATE('Cable Info'!R386," - ",'Cable Info'!S386))</f>
        <v>#N/A</v>
      </c>
      <c r="BB682" s="121" t="e">
        <f t="shared" si="146"/>
        <v>#N/A</v>
      </c>
      <c r="BD682" s="121" t="e">
        <f>IF('Cable Info'!T386="","",CONCATENATE('Cable Info'!T386," - ",'Cable Info'!U386))</f>
        <v>#N/A</v>
      </c>
      <c r="BG682" s="121" t="e">
        <f t="shared" si="147"/>
        <v>#N/A</v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e">
        <f>IF('Cable Info'!R387="","",CONCATENATE('Cable Info'!R387," - ",'Cable Info'!S387))</f>
        <v>#N/A</v>
      </c>
      <c r="BB683" s="121" t="e">
        <f t="shared" ref="BB683:BB746" si="152">IF(AZ683="",AY683,CONCATENATE(AY683,"  &lt;=&gt; ",AZ683," ",BA683))</f>
        <v>#N/A</v>
      </c>
      <c r="BD683" s="121" t="e">
        <f>IF('Cable Info'!T387="","",CONCATENATE('Cable Info'!T387," - ",'Cable Info'!U387))</f>
        <v>#N/A</v>
      </c>
      <c r="BG683" s="121" t="e">
        <f t="shared" ref="BG683:BG746" si="153">IF(BE683="",BD683,CONCATENATE(BD683,"  &lt;=&gt; ",BE683," ",BF683))</f>
        <v>#N/A</v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e">
        <f>IF('Cable Info'!R388="","",CONCATENATE('Cable Info'!R388," - ",'Cable Info'!S388))</f>
        <v>#N/A</v>
      </c>
      <c r="BB684" s="121" t="e">
        <f t="shared" si="152"/>
        <v>#N/A</v>
      </c>
      <c r="BD684" s="121" t="e">
        <f>IF('Cable Info'!T388="","",CONCATENATE('Cable Info'!T388," - ",'Cable Info'!U388))</f>
        <v>#N/A</v>
      </c>
      <c r="BG684" s="121" t="e">
        <f t="shared" si="153"/>
        <v>#N/A</v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e">
        <f>IF('Cable Info'!R389="","",CONCATENATE('Cable Info'!R389," - ",'Cable Info'!S389))</f>
        <v>#N/A</v>
      </c>
      <c r="BB685" s="121" t="e">
        <f t="shared" si="152"/>
        <v>#N/A</v>
      </c>
      <c r="BD685" s="121" t="e">
        <f>IF('Cable Info'!T389="","",CONCATENATE('Cable Info'!T389," - ",'Cable Info'!U389))</f>
        <v>#N/A</v>
      </c>
      <c r="BG685" s="121" t="e">
        <f t="shared" si="153"/>
        <v>#N/A</v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e">
        <f>IF('Cable Info'!R390="","",CONCATENATE('Cable Info'!R390," - ",'Cable Info'!S390))</f>
        <v>#N/A</v>
      </c>
      <c r="BB686" s="121" t="e">
        <f t="shared" si="152"/>
        <v>#N/A</v>
      </c>
      <c r="BD686" s="121" t="e">
        <f>IF('Cable Info'!T390="","",CONCATENATE('Cable Info'!T390," - ",'Cable Info'!U390))</f>
        <v>#N/A</v>
      </c>
      <c r="BG686" s="121" t="e">
        <f t="shared" si="153"/>
        <v>#N/A</v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e">
        <f>IF('Cable Info'!R391="","",CONCATENATE('Cable Info'!R391," - ",'Cable Info'!S391))</f>
        <v>#N/A</v>
      </c>
      <c r="BB687" s="121" t="e">
        <f t="shared" si="152"/>
        <v>#N/A</v>
      </c>
      <c r="BD687" s="121" t="e">
        <f>IF('Cable Info'!T391="","",CONCATENATE('Cable Info'!T391," - ",'Cable Info'!U391))</f>
        <v>#N/A</v>
      </c>
      <c r="BG687" s="121" t="e">
        <f t="shared" si="153"/>
        <v>#N/A</v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e">
        <f>IF('Cable Info'!R392="","",CONCATENATE('Cable Info'!R392," - ",'Cable Info'!S392))</f>
        <v>#N/A</v>
      </c>
      <c r="BB688" s="121" t="e">
        <f t="shared" si="152"/>
        <v>#N/A</v>
      </c>
      <c r="BD688" s="121" t="e">
        <f>IF('Cable Info'!T392="","",CONCATENATE('Cable Info'!T392," - ",'Cable Info'!U392))</f>
        <v>#N/A</v>
      </c>
      <c r="BG688" s="121" t="e">
        <f t="shared" si="153"/>
        <v>#N/A</v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e">
        <f>IF('Cable Info'!R393="","",CONCATENATE('Cable Info'!R393," - ",'Cable Info'!S393))</f>
        <v>#N/A</v>
      </c>
      <c r="BB689" s="121" t="e">
        <f t="shared" si="152"/>
        <v>#N/A</v>
      </c>
      <c r="BD689" s="121" t="e">
        <f>IF('Cable Info'!T393="","",CONCATENATE('Cable Info'!T393," - ",'Cable Info'!U393))</f>
        <v>#N/A</v>
      </c>
      <c r="BG689" s="121" t="e">
        <f t="shared" si="153"/>
        <v>#N/A</v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e">
        <f>IF('Cable Info'!R394="","",CONCATENATE('Cable Info'!R394," - ",'Cable Info'!S394))</f>
        <v>#N/A</v>
      </c>
      <c r="BB690" s="121" t="e">
        <f t="shared" si="152"/>
        <v>#N/A</v>
      </c>
      <c r="BD690" s="121" t="e">
        <f>IF('Cable Info'!T394="","",CONCATENATE('Cable Info'!T394," - ",'Cable Info'!U394))</f>
        <v>#N/A</v>
      </c>
      <c r="BG690" s="121" t="e">
        <f t="shared" si="153"/>
        <v>#N/A</v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e">
        <f>IF('Cable Info'!R395="","",CONCATENATE('Cable Info'!R395," - ",'Cable Info'!S395))</f>
        <v>#N/A</v>
      </c>
      <c r="BB691" s="121" t="e">
        <f t="shared" si="152"/>
        <v>#N/A</v>
      </c>
      <c r="BD691" s="121" t="e">
        <f>IF('Cable Info'!T395="","",CONCATENATE('Cable Info'!T395," - ",'Cable Info'!U395))</f>
        <v>#N/A</v>
      </c>
      <c r="BG691" s="121" t="e">
        <f t="shared" si="153"/>
        <v>#N/A</v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e">
        <f>IF('Cable Info'!R396="","",CONCATENATE('Cable Info'!R396," - ",'Cable Info'!S396))</f>
        <v>#N/A</v>
      </c>
      <c r="BB692" s="121" t="e">
        <f t="shared" si="152"/>
        <v>#N/A</v>
      </c>
      <c r="BD692" s="121" t="e">
        <f>IF('Cable Info'!T396="","",CONCATENATE('Cable Info'!T396," - ",'Cable Info'!U396))</f>
        <v>#N/A</v>
      </c>
      <c r="BG692" s="121" t="e">
        <f t="shared" si="153"/>
        <v>#N/A</v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e">
        <f>IF('Cable Info'!R397="","",CONCATENATE('Cable Info'!R397," - ",'Cable Info'!S397))</f>
        <v>#N/A</v>
      </c>
      <c r="BB693" s="121" t="e">
        <f t="shared" si="152"/>
        <v>#N/A</v>
      </c>
      <c r="BD693" s="121" t="e">
        <f>IF('Cable Info'!T397="","",CONCATENATE('Cable Info'!T397," - ",'Cable Info'!U397))</f>
        <v>#N/A</v>
      </c>
      <c r="BG693" s="121" t="e">
        <f t="shared" si="153"/>
        <v>#N/A</v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e">
        <f>IF('Cable Info'!R398="","",CONCATENATE('Cable Info'!R398," - ",'Cable Info'!S398))</f>
        <v>#N/A</v>
      </c>
      <c r="BB694" s="121" t="e">
        <f t="shared" si="152"/>
        <v>#N/A</v>
      </c>
      <c r="BD694" s="121" t="e">
        <f>IF('Cable Info'!T398="","",CONCATENATE('Cable Info'!T398," - ",'Cable Info'!U398))</f>
        <v>#N/A</v>
      </c>
      <c r="BG694" s="121" t="e">
        <f t="shared" si="153"/>
        <v>#N/A</v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e">
        <f>IF('Cable Info'!R399="","",CONCATENATE('Cable Info'!R399," - ",'Cable Info'!S399))</f>
        <v>#N/A</v>
      </c>
      <c r="BB695" s="121" t="e">
        <f t="shared" si="152"/>
        <v>#N/A</v>
      </c>
      <c r="BD695" s="121" t="e">
        <f>IF('Cable Info'!T399="","",CONCATENATE('Cable Info'!T399," - ",'Cable Info'!U399))</f>
        <v>#N/A</v>
      </c>
      <c r="BG695" s="121" t="e">
        <f t="shared" si="153"/>
        <v>#N/A</v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e">
        <f>IF('Cable Info'!R400="","",CONCATENATE('Cable Info'!R400," - ",'Cable Info'!S400))</f>
        <v>#N/A</v>
      </c>
      <c r="BB696" s="121" t="e">
        <f t="shared" si="152"/>
        <v>#N/A</v>
      </c>
      <c r="BD696" s="121" t="e">
        <f>IF('Cable Info'!T400="","",CONCATENATE('Cable Info'!T400," - ",'Cable Info'!U400))</f>
        <v>#N/A</v>
      </c>
      <c r="BG696" s="121" t="e">
        <f t="shared" si="153"/>
        <v>#N/A</v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e">
        <f>IF('Cable Info'!R401="","",CONCATENATE('Cable Info'!R401," - ",'Cable Info'!S401))</f>
        <v>#N/A</v>
      </c>
      <c r="BB697" s="121" t="e">
        <f t="shared" si="152"/>
        <v>#N/A</v>
      </c>
      <c r="BD697" s="121" t="e">
        <f>IF('Cable Info'!T401="","",CONCATENATE('Cable Info'!T401," - ",'Cable Info'!U401))</f>
        <v>#N/A</v>
      </c>
      <c r="BG697" s="121" t="e">
        <f t="shared" si="153"/>
        <v>#N/A</v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e">
        <f>IF('Cable Info'!R402="","",CONCATENATE('Cable Info'!R402," - ",'Cable Info'!S402))</f>
        <v>#N/A</v>
      </c>
      <c r="BB698" s="121" t="e">
        <f t="shared" si="152"/>
        <v>#N/A</v>
      </c>
      <c r="BD698" s="121" t="e">
        <f>IF('Cable Info'!T402="","",CONCATENATE('Cable Info'!T402," - ",'Cable Info'!U402))</f>
        <v>#N/A</v>
      </c>
      <c r="BG698" s="121" t="e">
        <f t="shared" si="153"/>
        <v>#N/A</v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e">
        <f>IF('Cable Info'!R403="","",CONCATENATE('Cable Info'!R403," - ",'Cable Info'!S403))</f>
        <v>#N/A</v>
      </c>
      <c r="BB699" s="121" t="e">
        <f t="shared" si="152"/>
        <v>#N/A</v>
      </c>
      <c r="BD699" s="121" t="e">
        <f>IF('Cable Info'!T403="","",CONCATENATE('Cable Info'!T403," - ",'Cable Info'!U403))</f>
        <v>#N/A</v>
      </c>
      <c r="BG699" s="121" t="e">
        <f t="shared" si="153"/>
        <v>#N/A</v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e">
        <f>IF('Cable Info'!R404="","",CONCATENATE('Cable Info'!R404," - ",'Cable Info'!S404))</f>
        <v>#N/A</v>
      </c>
      <c r="BB700" s="121" t="e">
        <f t="shared" si="152"/>
        <v>#N/A</v>
      </c>
      <c r="BD700" s="121" t="e">
        <f>IF('Cable Info'!T404="","",CONCATENATE('Cable Info'!T404," - ",'Cable Info'!U404))</f>
        <v>#N/A</v>
      </c>
      <c r="BG700" s="121" t="e">
        <f t="shared" si="153"/>
        <v>#N/A</v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e">
        <f>IF('Cable Info'!R405="","",CONCATENATE('Cable Info'!R405," - ",'Cable Info'!S405))</f>
        <v>#N/A</v>
      </c>
      <c r="BB701" s="121" t="e">
        <f t="shared" si="152"/>
        <v>#N/A</v>
      </c>
      <c r="BD701" s="121" t="e">
        <f>IF('Cable Info'!T405="","",CONCATENATE('Cable Info'!T405," - ",'Cable Info'!U405))</f>
        <v>#N/A</v>
      </c>
      <c r="BG701" s="121" t="e">
        <f t="shared" si="153"/>
        <v>#N/A</v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e">
        <f>IF('Cable Info'!R406="","",CONCATENATE('Cable Info'!R406," - ",'Cable Info'!S406))</f>
        <v>#N/A</v>
      </c>
      <c r="BB702" s="121" t="e">
        <f t="shared" si="152"/>
        <v>#N/A</v>
      </c>
      <c r="BD702" s="121" t="e">
        <f>IF('Cable Info'!T406="","",CONCATENATE('Cable Info'!T406," - ",'Cable Info'!U406))</f>
        <v>#N/A</v>
      </c>
      <c r="BG702" s="121" t="e">
        <f t="shared" si="153"/>
        <v>#N/A</v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e">
        <f>IF('Cable Info'!R407="","",CONCATENATE('Cable Info'!R407," - ",'Cable Info'!S407))</f>
        <v>#N/A</v>
      </c>
      <c r="BB703" s="121" t="e">
        <f t="shared" si="152"/>
        <v>#N/A</v>
      </c>
      <c r="BD703" s="121" t="e">
        <f>IF('Cable Info'!T407="","",CONCATENATE('Cable Info'!T407," - ",'Cable Info'!U407))</f>
        <v>#N/A</v>
      </c>
      <c r="BG703" s="121" t="e">
        <f t="shared" si="153"/>
        <v>#N/A</v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e">
        <f>IF('Cable Info'!R408="","",CONCATENATE('Cable Info'!R408," - ",'Cable Info'!S408))</f>
        <v>#N/A</v>
      </c>
      <c r="BB704" s="121" t="e">
        <f t="shared" si="152"/>
        <v>#N/A</v>
      </c>
      <c r="BD704" s="121" t="e">
        <f>IF('Cable Info'!T408="","",CONCATENATE('Cable Info'!T408," - ",'Cable Info'!U408))</f>
        <v>#N/A</v>
      </c>
      <c r="BG704" s="121" t="e">
        <f t="shared" si="153"/>
        <v>#N/A</v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e">
        <f>IF('Cable Info'!R409="","",CONCATENATE('Cable Info'!R409," - ",'Cable Info'!S409))</f>
        <v>#N/A</v>
      </c>
      <c r="BB705" s="121" t="e">
        <f t="shared" si="152"/>
        <v>#N/A</v>
      </c>
      <c r="BD705" s="121" t="e">
        <f>IF('Cable Info'!T409="","",CONCATENATE('Cable Info'!T409," - ",'Cable Info'!U409))</f>
        <v>#N/A</v>
      </c>
      <c r="BG705" s="121" t="e">
        <f t="shared" si="153"/>
        <v>#N/A</v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e">
        <f>IF('Cable Info'!R410="","",CONCATENATE('Cable Info'!R410," - ",'Cable Info'!S410))</f>
        <v>#N/A</v>
      </c>
      <c r="BB706" s="121" t="e">
        <f t="shared" si="152"/>
        <v>#N/A</v>
      </c>
      <c r="BD706" s="121" t="e">
        <f>IF('Cable Info'!T410="","",CONCATENATE('Cable Info'!T410," - ",'Cable Info'!U410))</f>
        <v>#N/A</v>
      </c>
      <c r="BG706" s="121" t="e">
        <f t="shared" si="153"/>
        <v>#N/A</v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e">
        <f>IF('Cable Info'!R411="","",CONCATENATE('Cable Info'!R411," - ",'Cable Info'!S411))</f>
        <v>#N/A</v>
      </c>
      <c r="BB707" s="121" t="e">
        <f t="shared" si="152"/>
        <v>#N/A</v>
      </c>
      <c r="BD707" s="121" t="e">
        <f>IF('Cable Info'!T411="","",CONCATENATE('Cable Info'!T411," - ",'Cable Info'!U411))</f>
        <v>#N/A</v>
      </c>
      <c r="BG707" s="121" t="e">
        <f t="shared" si="153"/>
        <v>#N/A</v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e">
        <f>IF('Cable Info'!R412="","",CONCATENATE('Cable Info'!R412," - ",'Cable Info'!S412))</f>
        <v>#N/A</v>
      </c>
      <c r="BB708" s="121" t="e">
        <f t="shared" si="152"/>
        <v>#N/A</v>
      </c>
      <c r="BD708" s="121" t="e">
        <f>IF('Cable Info'!T412="","",CONCATENATE('Cable Info'!T412," - ",'Cable Info'!U412))</f>
        <v>#N/A</v>
      </c>
      <c r="BG708" s="121" t="e">
        <f t="shared" si="153"/>
        <v>#N/A</v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e">
        <f>IF('Cable Info'!R413="","",CONCATENATE('Cable Info'!R413," - ",'Cable Info'!S413))</f>
        <v>#N/A</v>
      </c>
      <c r="BB709" s="121" t="e">
        <f t="shared" si="152"/>
        <v>#N/A</v>
      </c>
      <c r="BD709" s="121" t="e">
        <f>IF('Cable Info'!T413="","",CONCATENATE('Cable Info'!T413," - ",'Cable Info'!U413))</f>
        <v>#N/A</v>
      </c>
      <c r="BG709" s="121" t="e">
        <f t="shared" si="153"/>
        <v>#N/A</v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e">
        <f>IF('Cable Info'!R414="","",CONCATENATE('Cable Info'!R414," - ",'Cable Info'!S414))</f>
        <v>#N/A</v>
      </c>
      <c r="BB710" s="121" t="e">
        <f t="shared" si="152"/>
        <v>#N/A</v>
      </c>
      <c r="BD710" s="121" t="e">
        <f>IF('Cable Info'!T414="","",CONCATENATE('Cable Info'!T414," - ",'Cable Info'!U414))</f>
        <v>#N/A</v>
      </c>
      <c r="BG710" s="121" t="e">
        <f t="shared" si="153"/>
        <v>#N/A</v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e">
        <f>IF('Cable Info'!R415="","",CONCATENATE('Cable Info'!R415," - ",'Cable Info'!S415))</f>
        <v>#N/A</v>
      </c>
      <c r="BB711" s="121" t="e">
        <f t="shared" si="152"/>
        <v>#N/A</v>
      </c>
      <c r="BD711" s="121" t="e">
        <f>IF('Cable Info'!T415="","",CONCATENATE('Cable Info'!T415," - ",'Cable Info'!U415))</f>
        <v>#N/A</v>
      </c>
      <c r="BG711" s="121" t="e">
        <f t="shared" si="153"/>
        <v>#N/A</v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e">
        <f>IF('Cable Info'!R416="","",CONCATENATE('Cable Info'!R416," - ",'Cable Info'!S416))</f>
        <v>#N/A</v>
      </c>
      <c r="BB712" s="121" t="e">
        <f t="shared" si="152"/>
        <v>#N/A</v>
      </c>
      <c r="BD712" s="121" t="e">
        <f>IF('Cable Info'!T416="","",CONCATENATE('Cable Info'!T416," - ",'Cable Info'!U416))</f>
        <v>#N/A</v>
      </c>
      <c r="BG712" s="121" t="e">
        <f t="shared" si="153"/>
        <v>#N/A</v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e">
        <f>IF('Cable Info'!R417="","",CONCATENATE('Cable Info'!R417," - ",'Cable Info'!S417))</f>
        <v>#N/A</v>
      </c>
      <c r="BB713" s="121" t="e">
        <f t="shared" si="152"/>
        <v>#N/A</v>
      </c>
      <c r="BD713" s="121" t="e">
        <f>IF('Cable Info'!T417="","",CONCATENATE('Cable Info'!T417," - ",'Cable Info'!U417))</f>
        <v>#N/A</v>
      </c>
      <c r="BG713" s="121" t="e">
        <f t="shared" si="153"/>
        <v>#N/A</v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e">
        <f>IF('Cable Info'!R418="","",CONCATENATE('Cable Info'!R418," - ",'Cable Info'!S418))</f>
        <v>#N/A</v>
      </c>
      <c r="BB714" s="121" t="e">
        <f t="shared" si="152"/>
        <v>#N/A</v>
      </c>
      <c r="BD714" s="121" t="e">
        <f>IF('Cable Info'!T418="","",CONCATENATE('Cable Info'!T418," - ",'Cable Info'!U418))</f>
        <v>#N/A</v>
      </c>
      <c r="BG714" s="121" t="e">
        <f t="shared" si="153"/>
        <v>#N/A</v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e">
        <f>IF('Cable Info'!R419="","",CONCATENATE('Cable Info'!R419," - ",'Cable Info'!S419))</f>
        <v>#N/A</v>
      </c>
      <c r="BB715" s="121" t="e">
        <f t="shared" si="152"/>
        <v>#N/A</v>
      </c>
      <c r="BD715" s="121" t="e">
        <f>IF('Cable Info'!T419="","",CONCATENATE('Cable Info'!T419," - ",'Cable Info'!U419))</f>
        <v>#N/A</v>
      </c>
      <c r="BG715" s="121" t="e">
        <f t="shared" si="153"/>
        <v>#N/A</v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e">
        <f>IF('Cable Info'!R420="","",CONCATENATE('Cable Info'!R420," - ",'Cable Info'!S420))</f>
        <v>#N/A</v>
      </c>
      <c r="BB716" s="121" t="e">
        <f t="shared" si="152"/>
        <v>#N/A</v>
      </c>
      <c r="BD716" s="121" t="e">
        <f>IF('Cable Info'!T420="","",CONCATENATE('Cable Info'!T420," - ",'Cable Info'!U420))</f>
        <v>#N/A</v>
      </c>
      <c r="BG716" s="121" t="e">
        <f t="shared" si="153"/>
        <v>#N/A</v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e">
        <f>IF('Cable Info'!R421="","",CONCATENATE('Cable Info'!R421," - ",'Cable Info'!S421))</f>
        <v>#N/A</v>
      </c>
      <c r="BB717" s="121" t="e">
        <f t="shared" si="152"/>
        <v>#N/A</v>
      </c>
      <c r="BD717" s="121" t="e">
        <f>IF('Cable Info'!T421="","",CONCATENATE('Cable Info'!T421," - ",'Cable Info'!U421))</f>
        <v>#N/A</v>
      </c>
      <c r="BG717" s="121" t="e">
        <f t="shared" si="153"/>
        <v>#N/A</v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e">
        <f>IF('Cable Info'!R422="","",CONCATENATE('Cable Info'!R422," - ",'Cable Info'!S422))</f>
        <v>#N/A</v>
      </c>
      <c r="BB718" s="121" t="e">
        <f t="shared" si="152"/>
        <v>#N/A</v>
      </c>
      <c r="BD718" s="121" t="e">
        <f>IF('Cable Info'!T422="","",CONCATENATE('Cable Info'!T422," - ",'Cable Info'!U422))</f>
        <v>#N/A</v>
      </c>
      <c r="BG718" s="121" t="e">
        <f t="shared" si="153"/>
        <v>#N/A</v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e">
        <f>IF('Cable Info'!R423="","",CONCATENATE('Cable Info'!R423," - ",'Cable Info'!S423))</f>
        <v>#N/A</v>
      </c>
      <c r="BB719" s="121" t="e">
        <f t="shared" si="152"/>
        <v>#N/A</v>
      </c>
      <c r="BD719" s="121" t="e">
        <f>IF('Cable Info'!T423="","",CONCATENATE('Cable Info'!T423," - ",'Cable Info'!U423))</f>
        <v>#N/A</v>
      </c>
      <c r="BG719" s="121" t="e">
        <f t="shared" si="153"/>
        <v>#N/A</v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e">
        <f>IF('Cable Info'!R424="","",CONCATENATE('Cable Info'!R424," - ",'Cable Info'!S424))</f>
        <v>#N/A</v>
      </c>
      <c r="BB720" s="121" t="e">
        <f t="shared" si="152"/>
        <v>#N/A</v>
      </c>
      <c r="BD720" s="121" t="e">
        <f>IF('Cable Info'!T424="","",CONCATENATE('Cable Info'!T424," - ",'Cable Info'!U424))</f>
        <v>#N/A</v>
      </c>
      <c r="BG720" s="121" t="e">
        <f t="shared" si="153"/>
        <v>#N/A</v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e">
        <f>IF('Cable Info'!R425="","",CONCATENATE('Cable Info'!R425," - ",'Cable Info'!S425))</f>
        <v>#N/A</v>
      </c>
      <c r="BB721" s="121" t="e">
        <f t="shared" si="152"/>
        <v>#N/A</v>
      </c>
      <c r="BD721" s="121" t="e">
        <f>IF('Cable Info'!T425="","",CONCATENATE('Cable Info'!T425," - ",'Cable Info'!U425))</f>
        <v>#N/A</v>
      </c>
      <c r="BG721" s="121" t="e">
        <f t="shared" si="153"/>
        <v>#N/A</v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e">
        <f>IF('Cable Info'!R426="","",CONCATENATE('Cable Info'!R426," - ",'Cable Info'!S426))</f>
        <v>#N/A</v>
      </c>
      <c r="BB722" s="121" t="e">
        <f t="shared" si="152"/>
        <v>#N/A</v>
      </c>
      <c r="BD722" s="121" t="e">
        <f>IF('Cable Info'!T426="","",CONCATENATE('Cable Info'!T426," - ",'Cable Info'!U426))</f>
        <v>#N/A</v>
      </c>
      <c r="BG722" s="121" t="e">
        <f t="shared" si="153"/>
        <v>#N/A</v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e">
        <f>IF('Cable Info'!R427="","",CONCATENATE('Cable Info'!R427," - ",'Cable Info'!S427))</f>
        <v>#N/A</v>
      </c>
      <c r="BB723" s="121" t="e">
        <f t="shared" si="152"/>
        <v>#N/A</v>
      </c>
      <c r="BD723" s="121" t="e">
        <f>IF('Cable Info'!T427="","",CONCATENATE('Cable Info'!T427," - ",'Cable Info'!U427))</f>
        <v>#N/A</v>
      </c>
      <c r="BG723" s="121" t="e">
        <f t="shared" si="153"/>
        <v>#N/A</v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e">
        <f>IF('Cable Info'!R428="","",CONCATENATE('Cable Info'!R428," - ",'Cable Info'!S428))</f>
        <v>#N/A</v>
      </c>
      <c r="BB724" s="121" t="e">
        <f t="shared" si="152"/>
        <v>#N/A</v>
      </c>
      <c r="BD724" s="121" t="e">
        <f>IF('Cable Info'!T428="","",CONCATENATE('Cable Info'!T428," - ",'Cable Info'!U428))</f>
        <v>#N/A</v>
      </c>
      <c r="BG724" s="121" t="e">
        <f t="shared" si="153"/>
        <v>#N/A</v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e">
        <f>IF('Cable Info'!R429="","",CONCATENATE('Cable Info'!R429," - ",'Cable Info'!S429))</f>
        <v>#N/A</v>
      </c>
      <c r="BB725" s="121" t="e">
        <f t="shared" si="152"/>
        <v>#N/A</v>
      </c>
      <c r="BD725" s="121" t="e">
        <f>IF('Cable Info'!T429="","",CONCATENATE('Cable Info'!T429," - ",'Cable Info'!U429))</f>
        <v>#N/A</v>
      </c>
      <c r="BG725" s="121" t="e">
        <f t="shared" si="153"/>
        <v>#N/A</v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e">
        <f>IF('Cable Info'!R430="","",CONCATENATE('Cable Info'!R430," - ",'Cable Info'!S430))</f>
        <v>#N/A</v>
      </c>
      <c r="BB726" s="121" t="e">
        <f t="shared" si="152"/>
        <v>#N/A</v>
      </c>
      <c r="BD726" s="121" t="e">
        <f>IF('Cable Info'!T430="","",CONCATENATE('Cable Info'!T430," - ",'Cable Info'!U430))</f>
        <v>#N/A</v>
      </c>
      <c r="BG726" s="121" t="e">
        <f t="shared" si="153"/>
        <v>#N/A</v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e">
        <f>IF('Cable Info'!R431="","",CONCATENATE('Cable Info'!R431," - ",'Cable Info'!S431))</f>
        <v>#N/A</v>
      </c>
      <c r="BB727" s="121" t="e">
        <f t="shared" si="152"/>
        <v>#N/A</v>
      </c>
      <c r="BD727" s="121" t="e">
        <f>IF('Cable Info'!T431="","",CONCATENATE('Cable Info'!T431," - ",'Cable Info'!U431))</f>
        <v>#N/A</v>
      </c>
      <c r="BG727" s="121" t="e">
        <f t="shared" si="153"/>
        <v>#N/A</v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e">
        <f>IF('Cable Info'!R432="","",CONCATENATE('Cable Info'!R432," - ",'Cable Info'!S432))</f>
        <v>#N/A</v>
      </c>
      <c r="BB728" s="121" t="e">
        <f t="shared" si="152"/>
        <v>#N/A</v>
      </c>
      <c r="BD728" s="121" t="e">
        <f>IF('Cable Info'!T432="","",CONCATENATE('Cable Info'!T432," - ",'Cable Info'!U432))</f>
        <v>#N/A</v>
      </c>
      <c r="BG728" s="121" t="e">
        <f t="shared" si="153"/>
        <v>#N/A</v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e">
        <f>IF('Cable Info'!R433="","",CONCATENATE('Cable Info'!R433," - ",'Cable Info'!S433))</f>
        <v>#N/A</v>
      </c>
      <c r="BB729" s="121" t="e">
        <f t="shared" si="152"/>
        <v>#N/A</v>
      </c>
      <c r="BD729" s="121" t="e">
        <f>IF('Cable Info'!T433="","",CONCATENATE('Cable Info'!T433," - ",'Cable Info'!U433))</f>
        <v>#N/A</v>
      </c>
      <c r="BG729" s="121" t="e">
        <f t="shared" si="153"/>
        <v>#N/A</v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e">
        <f>IF('Cable Info'!R434="","",CONCATENATE('Cable Info'!R434," - ",'Cable Info'!S434))</f>
        <v>#N/A</v>
      </c>
      <c r="BB730" s="121" t="e">
        <f t="shared" si="152"/>
        <v>#N/A</v>
      </c>
      <c r="BD730" s="121" t="e">
        <f>IF('Cable Info'!T434="","",CONCATENATE('Cable Info'!T434," - ",'Cable Info'!U434))</f>
        <v>#N/A</v>
      </c>
      <c r="BG730" s="121" t="e">
        <f t="shared" si="153"/>
        <v>#N/A</v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e">
        <f>IF('Cable Info'!R435="","",CONCATENATE('Cable Info'!R435," - ",'Cable Info'!S435))</f>
        <v>#N/A</v>
      </c>
      <c r="BB731" s="121" t="e">
        <f t="shared" si="152"/>
        <v>#N/A</v>
      </c>
      <c r="BD731" s="121" t="e">
        <f>IF('Cable Info'!T435="","",CONCATENATE('Cable Info'!T435," - ",'Cable Info'!U435))</f>
        <v>#N/A</v>
      </c>
      <c r="BG731" s="121" t="e">
        <f t="shared" si="153"/>
        <v>#N/A</v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e">
        <f>IF('Cable Info'!R436="","",CONCATENATE('Cable Info'!R436," - ",'Cable Info'!S436))</f>
        <v>#N/A</v>
      </c>
      <c r="BB732" s="121" t="e">
        <f t="shared" si="152"/>
        <v>#N/A</v>
      </c>
      <c r="BD732" s="121" t="e">
        <f>IF('Cable Info'!T436="","",CONCATENATE('Cable Info'!T436," - ",'Cable Info'!U436))</f>
        <v>#N/A</v>
      </c>
      <c r="BG732" s="121" t="e">
        <f t="shared" si="153"/>
        <v>#N/A</v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e">
        <f>IF('Cable Info'!R437="","",CONCATENATE('Cable Info'!R437," - ",'Cable Info'!S437))</f>
        <v>#N/A</v>
      </c>
      <c r="BB733" s="121" t="e">
        <f t="shared" si="152"/>
        <v>#N/A</v>
      </c>
      <c r="BD733" s="121" t="e">
        <f>IF('Cable Info'!T437="","",CONCATENATE('Cable Info'!T437," - ",'Cable Info'!U437))</f>
        <v>#N/A</v>
      </c>
      <c r="BG733" s="121" t="e">
        <f t="shared" si="153"/>
        <v>#N/A</v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e">
        <f>IF('Cable Info'!R438="","",CONCATENATE('Cable Info'!R438," - ",'Cable Info'!S438))</f>
        <v>#N/A</v>
      </c>
      <c r="BB734" s="121" t="e">
        <f t="shared" si="152"/>
        <v>#N/A</v>
      </c>
      <c r="BD734" s="121" t="e">
        <f>IF('Cable Info'!T438="","",CONCATENATE('Cable Info'!T438," - ",'Cable Info'!U438))</f>
        <v>#N/A</v>
      </c>
      <c r="BG734" s="121" t="e">
        <f t="shared" si="153"/>
        <v>#N/A</v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e">
        <f>IF('Cable Info'!R439="","",CONCATENATE('Cable Info'!R439," - ",'Cable Info'!S439))</f>
        <v>#N/A</v>
      </c>
      <c r="BB735" s="121" t="e">
        <f t="shared" si="152"/>
        <v>#N/A</v>
      </c>
      <c r="BD735" s="121" t="e">
        <f>IF('Cable Info'!T439="","",CONCATENATE('Cable Info'!T439," - ",'Cable Info'!U439))</f>
        <v>#N/A</v>
      </c>
      <c r="BG735" s="121" t="e">
        <f t="shared" si="153"/>
        <v>#N/A</v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e">
        <f>IF('Cable Info'!R440="","",CONCATENATE('Cable Info'!R440," - ",'Cable Info'!S440))</f>
        <v>#N/A</v>
      </c>
      <c r="BB736" s="121" t="e">
        <f t="shared" si="152"/>
        <v>#N/A</v>
      </c>
      <c r="BD736" s="121" t="e">
        <f>IF('Cable Info'!T440="","",CONCATENATE('Cable Info'!T440," - ",'Cable Info'!U440))</f>
        <v>#N/A</v>
      </c>
      <c r="BG736" s="121" t="e">
        <f t="shared" si="153"/>
        <v>#N/A</v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e">
        <f>IF('Cable Info'!R441="","",CONCATENATE('Cable Info'!R441," - ",'Cable Info'!S441))</f>
        <v>#N/A</v>
      </c>
      <c r="BB737" s="121" t="e">
        <f t="shared" si="152"/>
        <v>#N/A</v>
      </c>
      <c r="BD737" s="121" t="e">
        <f>IF('Cable Info'!T441="","",CONCATENATE('Cable Info'!T441," - ",'Cable Info'!U441))</f>
        <v>#N/A</v>
      </c>
      <c r="BG737" s="121" t="e">
        <f t="shared" si="153"/>
        <v>#N/A</v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e">
        <f>IF('Cable Info'!R442="","",CONCATENATE('Cable Info'!R442," - ",'Cable Info'!S442))</f>
        <v>#N/A</v>
      </c>
      <c r="BB738" s="121" t="e">
        <f t="shared" si="152"/>
        <v>#N/A</v>
      </c>
      <c r="BD738" s="121" t="e">
        <f>IF('Cable Info'!T442="","",CONCATENATE('Cable Info'!T442," - ",'Cable Info'!U442))</f>
        <v>#N/A</v>
      </c>
      <c r="BG738" s="121" t="e">
        <f t="shared" si="153"/>
        <v>#N/A</v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e">
        <f>IF('Cable Info'!R443="","",CONCATENATE('Cable Info'!R443," - ",'Cable Info'!S443))</f>
        <v>#N/A</v>
      </c>
      <c r="BB739" s="121" t="e">
        <f t="shared" si="152"/>
        <v>#N/A</v>
      </c>
      <c r="BD739" s="121" t="e">
        <f>IF('Cable Info'!T443="","",CONCATENATE('Cable Info'!T443," - ",'Cable Info'!U443))</f>
        <v>#N/A</v>
      </c>
      <c r="BG739" s="121" t="e">
        <f t="shared" si="153"/>
        <v>#N/A</v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e">
        <f>IF('Cable Info'!R444="","",CONCATENATE('Cable Info'!R444," - ",'Cable Info'!S444))</f>
        <v>#N/A</v>
      </c>
      <c r="BB740" s="121" t="e">
        <f t="shared" si="152"/>
        <v>#N/A</v>
      </c>
      <c r="BD740" s="121" t="e">
        <f>IF('Cable Info'!T444="","",CONCATENATE('Cable Info'!T444," - ",'Cable Info'!U444))</f>
        <v>#N/A</v>
      </c>
      <c r="BG740" s="121" t="e">
        <f t="shared" si="153"/>
        <v>#N/A</v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e">
        <f>IF('Cable Info'!R445="","",CONCATENATE('Cable Info'!R445," - ",'Cable Info'!S445))</f>
        <v>#N/A</v>
      </c>
      <c r="BB741" s="121" t="e">
        <f t="shared" si="152"/>
        <v>#N/A</v>
      </c>
      <c r="BD741" s="121" t="e">
        <f>IF('Cable Info'!T445="","",CONCATENATE('Cable Info'!T445," - ",'Cable Info'!U445))</f>
        <v>#N/A</v>
      </c>
      <c r="BG741" s="121" t="e">
        <f t="shared" si="153"/>
        <v>#N/A</v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e">
        <f>IF('Cable Info'!R446="","",CONCATENATE('Cable Info'!R446," - ",'Cable Info'!S446))</f>
        <v>#N/A</v>
      </c>
      <c r="BB742" s="121" t="e">
        <f t="shared" si="152"/>
        <v>#N/A</v>
      </c>
      <c r="BD742" s="121" t="e">
        <f>IF('Cable Info'!T446="","",CONCATENATE('Cable Info'!T446," - ",'Cable Info'!U446))</f>
        <v>#N/A</v>
      </c>
      <c r="BG742" s="121" t="e">
        <f t="shared" si="153"/>
        <v>#N/A</v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e">
        <f>IF('Cable Info'!R447="","",CONCATENATE('Cable Info'!R447," - ",'Cable Info'!S447))</f>
        <v>#N/A</v>
      </c>
      <c r="BB743" s="121" t="e">
        <f t="shared" si="152"/>
        <v>#N/A</v>
      </c>
      <c r="BD743" s="121" t="e">
        <f>IF('Cable Info'!T447="","",CONCATENATE('Cable Info'!T447," - ",'Cable Info'!U447))</f>
        <v>#N/A</v>
      </c>
      <c r="BG743" s="121" t="e">
        <f t="shared" si="153"/>
        <v>#N/A</v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e">
        <f>IF('Cable Info'!R448="","",CONCATENATE('Cable Info'!R448," - ",'Cable Info'!S448))</f>
        <v>#N/A</v>
      </c>
      <c r="BB744" s="121" t="e">
        <f t="shared" si="152"/>
        <v>#N/A</v>
      </c>
      <c r="BD744" s="121" t="e">
        <f>IF('Cable Info'!T448="","",CONCATENATE('Cable Info'!T448," - ",'Cable Info'!U448))</f>
        <v>#N/A</v>
      </c>
      <c r="BG744" s="121" t="e">
        <f t="shared" si="153"/>
        <v>#N/A</v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e">
        <f>IF('Cable Info'!R449="","",CONCATENATE('Cable Info'!R449," - ",'Cable Info'!S449))</f>
        <v>#N/A</v>
      </c>
      <c r="BB745" s="121" t="e">
        <f t="shared" si="152"/>
        <v>#N/A</v>
      </c>
      <c r="BD745" s="121" t="e">
        <f>IF('Cable Info'!T449="","",CONCATENATE('Cable Info'!T449," - ",'Cable Info'!U449))</f>
        <v>#N/A</v>
      </c>
      <c r="BG745" s="121" t="e">
        <f t="shared" si="153"/>
        <v>#N/A</v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e">
        <f>IF('Cable Info'!R450="","",CONCATENATE('Cable Info'!R450," - ",'Cable Info'!S450))</f>
        <v>#N/A</v>
      </c>
      <c r="BB746" s="121" t="e">
        <f t="shared" si="152"/>
        <v>#N/A</v>
      </c>
      <c r="BD746" s="121" t="e">
        <f>IF('Cable Info'!T450="","",CONCATENATE('Cable Info'!T450," - ",'Cable Info'!U450))</f>
        <v>#N/A</v>
      </c>
      <c r="BG746" s="121" t="e">
        <f t="shared" si="153"/>
        <v>#N/A</v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e">
        <f>IF('Cable Info'!R451="","",CONCATENATE('Cable Info'!R451," - ",'Cable Info'!S451))</f>
        <v>#N/A</v>
      </c>
      <c r="BB747" s="121" t="e">
        <f t="shared" ref="BB747:BB810" si="158">IF(AZ747="",AY747,CONCATENATE(AY747,"  &lt;=&gt; ",AZ747," ",BA747))</f>
        <v>#N/A</v>
      </c>
      <c r="BD747" s="121" t="e">
        <f>IF('Cable Info'!T451="","",CONCATENATE('Cable Info'!T451," - ",'Cable Info'!U451))</f>
        <v>#N/A</v>
      </c>
      <c r="BG747" s="121" t="e">
        <f t="shared" ref="BG747:BG810" si="159">IF(BE747="",BD747,CONCATENATE(BD747,"  &lt;=&gt; ",BE747," ",BF747))</f>
        <v>#N/A</v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e">
        <f>IF('Cable Info'!R452="","",CONCATENATE('Cable Info'!R452," - ",'Cable Info'!S452))</f>
        <v>#N/A</v>
      </c>
      <c r="BB748" s="121" t="e">
        <f t="shared" si="158"/>
        <v>#N/A</v>
      </c>
      <c r="BD748" s="121" t="e">
        <f>IF('Cable Info'!T452="","",CONCATENATE('Cable Info'!T452," - ",'Cable Info'!U452))</f>
        <v>#N/A</v>
      </c>
      <c r="BG748" s="121" t="e">
        <f t="shared" si="159"/>
        <v>#N/A</v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e">
        <f>IF('Cable Info'!R453="","",CONCATENATE('Cable Info'!R453," - ",'Cable Info'!S453))</f>
        <v>#N/A</v>
      </c>
      <c r="BB749" s="121" t="e">
        <f t="shared" si="158"/>
        <v>#N/A</v>
      </c>
      <c r="BD749" s="121" t="e">
        <f>IF('Cable Info'!T453="","",CONCATENATE('Cable Info'!T453," - ",'Cable Info'!U453))</f>
        <v>#N/A</v>
      </c>
      <c r="BG749" s="121" t="e">
        <f t="shared" si="159"/>
        <v>#N/A</v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e">
        <f>IF('Cable Info'!R454="","",CONCATENATE('Cable Info'!R454," - ",'Cable Info'!S454))</f>
        <v>#N/A</v>
      </c>
      <c r="BB750" s="121" t="e">
        <f t="shared" si="158"/>
        <v>#N/A</v>
      </c>
      <c r="BD750" s="121" t="e">
        <f>IF('Cable Info'!T454="","",CONCATENATE('Cable Info'!T454," - ",'Cable Info'!U454))</f>
        <v>#N/A</v>
      </c>
      <c r="BG750" s="121" t="e">
        <f t="shared" si="159"/>
        <v>#N/A</v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e">
        <f>IF('Cable Info'!R455="","",CONCATENATE('Cable Info'!R455," - ",'Cable Info'!S455))</f>
        <v>#N/A</v>
      </c>
      <c r="BB751" s="121" t="e">
        <f t="shared" si="158"/>
        <v>#N/A</v>
      </c>
      <c r="BD751" s="121" t="e">
        <f>IF('Cable Info'!T455="","",CONCATENATE('Cable Info'!T455," - ",'Cable Info'!U455))</f>
        <v>#N/A</v>
      </c>
      <c r="BG751" s="121" t="e">
        <f t="shared" si="159"/>
        <v>#N/A</v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e">
        <f>IF('Cable Info'!R456="","",CONCATENATE('Cable Info'!R456," - ",'Cable Info'!S456))</f>
        <v>#N/A</v>
      </c>
      <c r="BB752" s="121" t="e">
        <f t="shared" si="158"/>
        <v>#N/A</v>
      </c>
      <c r="BD752" s="121" t="e">
        <f>IF('Cable Info'!T456="","",CONCATENATE('Cable Info'!T456," - ",'Cable Info'!U456))</f>
        <v>#N/A</v>
      </c>
      <c r="BG752" s="121" t="e">
        <f t="shared" si="159"/>
        <v>#N/A</v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e">
        <f>IF('Cable Info'!R457="","",CONCATENATE('Cable Info'!R457," - ",'Cable Info'!S457))</f>
        <v>#N/A</v>
      </c>
      <c r="BB753" s="121" t="e">
        <f t="shared" si="158"/>
        <v>#N/A</v>
      </c>
      <c r="BD753" s="121" t="e">
        <f>IF('Cable Info'!T457="","",CONCATENATE('Cable Info'!T457," - ",'Cable Info'!U457))</f>
        <v>#N/A</v>
      </c>
      <c r="BG753" s="121" t="e">
        <f t="shared" si="159"/>
        <v>#N/A</v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e">
        <f>IF('Cable Info'!R458="","",CONCATENATE('Cable Info'!R458," - ",'Cable Info'!S458))</f>
        <v>#N/A</v>
      </c>
      <c r="BB754" s="121" t="e">
        <f t="shared" si="158"/>
        <v>#N/A</v>
      </c>
      <c r="BD754" s="121" t="e">
        <f>IF('Cable Info'!T458="","",CONCATENATE('Cable Info'!T458," - ",'Cable Info'!U458))</f>
        <v>#N/A</v>
      </c>
      <c r="BG754" s="121" t="e">
        <f t="shared" si="159"/>
        <v>#N/A</v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e">
        <f>IF('Cable Info'!R459="","",CONCATENATE('Cable Info'!R459," - ",'Cable Info'!S459))</f>
        <v>#N/A</v>
      </c>
      <c r="BB755" s="121" t="e">
        <f t="shared" si="158"/>
        <v>#N/A</v>
      </c>
      <c r="BD755" s="121" t="e">
        <f>IF('Cable Info'!T459="","",CONCATENATE('Cable Info'!T459," - ",'Cable Info'!U459))</f>
        <v>#N/A</v>
      </c>
      <c r="BG755" s="121" t="e">
        <f t="shared" si="159"/>
        <v>#N/A</v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e">
        <f>IF('Cable Info'!R460="","",CONCATENATE('Cable Info'!R460," - ",'Cable Info'!S460))</f>
        <v>#N/A</v>
      </c>
      <c r="BB756" s="121" t="e">
        <f t="shared" si="158"/>
        <v>#N/A</v>
      </c>
      <c r="BD756" s="121" t="e">
        <f>IF('Cable Info'!T460="","",CONCATENATE('Cable Info'!T460," - ",'Cable Info'!U460))</f>
        <v>#N/A</v>
      </c>
      <c r="BG756" s="121" t="e">
        <f t="shared" si="159"/>
        <v>#N/A</v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e">
        <f>IF('Cable Info'!R461="","",CONCATENATE('Cable Info'!R461," - ",'Cable Info'!S461))</f>
        <v>#N/A</v>
      </c>
      <c r="BB757" s="121" t="e">
        <f t="shared" si="158"/>
        <v>#N/A</v>
      </c>
      <c r="BD757" s="121" t="e">
        <f>IF('Cable Info'!T461="","",CONCATENATE('Cable Info'!T461," - ",'Cable Info'!U461))</f>
        <v>#N/A</v>
      </c>
      <c r="BG757" s="121" t="e">
        <f t="shared" si="159"/>
        <v>#N/A</v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e">
        <f>IF('Cable Info'!R462="","",CONCATENATE('Cable Info'!R462," - ",'Cable Info'!S462))</f>
        <v>#N/A</v>
      </c>
      <c r="BB758" s="121" t="e">
        <f t="shared" si="158"/>
        <v>#N/A</v>
      </c>
      <c r="BD758" s="121" t="e">
        <f>IF('Cable Info'!T462="","",CONCATENATE('Cable Info'!T462," - ",'Cable Info'!U462))</f>
        <v>#N/A</v>
      </c>
      <c r="BG758" s="121" t="e">
        <f t="shared" si="159"/>
        <v>#N/A</v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e">
        <f>IF('Cable Info'!R463="","",CONCATENATE('Cable Info'!R463," - ",'Cable Info'!S463))</f>
        <v>#N/A</v>
      </c>
      <c r="BB759" s="121" t="e">
        <f t="shared" si="158"/>
        <v>#N/A</v>
      </c>
      <c r="BD759" s="121" t="e">
        <f>IF('Cable Info'!T463="","",CONCATENATE('Cable Info'!T463," - ",'Cable Info'!U463))</f>
        <v>#N/A</v>
      </c>
      <c r="BG759" s="121" t="e">
        <f t="shared" si="159"/>
        <v>#N/A</v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e">
        <f>IF('Cable Info'!R464="","",CONCATENATE('Cable Info'!R464," - ",'Cable Info'!S464))</f>
        <v>#N/A</v>
      </c>
      <c r="BB760" s="121" t="e">
        <f t="shared" si="158"/>
        <v>#N/A</v>
      </c>
      <c r="BD760" s="121" t="e">
        <f>IF('Cable Info'!T464="","",CONCATENATE('Cable Info'!T464," - ",'Cable Info'!U464))</f>
        <v>#N/A</v>
      </c>
      <c r="BG760" s="121" t="e">
        <f t="shared" si="159"/>
        <v>#N/A</v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e">
        <f>IF('Cable Info'!R465="","",CONCATENATE('Cable Info'!R465," - ",'Cable Info'!S465))</f>
        <v>#N/A</v>
      </c>
      <c r="BB761" s="121" t="e">
        <f t="shared" si="158"/>
        <v>#N/A</v>
      </c>
      <c r="BD761" s="121" t="e">
        <f>IF('Cable Info'!T465="","",CONCATENATE('Cable Info'!T465," - ",'Cable Info'!U465))</f>
        <v>#N/A</v>
      </c>
      <c r="BG761" s="121" t="e">
        <f t="shared" si="159"/>
        <v>#N/A</v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e">
        <f>IF('Cable Info'!R466="","",CONCATENATE('Cable Info'!R466," - ",'Cable Info'!S466))</f>
        <v>#N/A</v>
      </c>
      <c r="BB762" s="121" t="e">
        <f t="shared" si="158"/>
        <v>#N/A</v>
      </c>
      <c r="BD762" s="121" t="e">
        <f>IF('Cable Info'!T466="","",CONCATENATE('Cable Info'!T466," - ",'Cable Info'!U466))</f>
        <v>#N/A</v>
      </c>
      <c r="BG762" s="121" t="e">
        <f t="shared" si="159"/>
        <v>#N/A</v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e">
        <f>IF('Cable Info'!R467="","",CONCATENATE('Cable Info'!R467," - ",'Cable Info'!S467))</f>
        <v>#N/A</v>
      </c>
      <c r="BB763" s="121" t="e">
        <f t="shared" si="158"/>
        <v>#N/A</v>
      </c>
      <c r="BD763" s="121" t="e">
        <f>IF('Cable Info'!T467="","",CONCATENATE('Cable Info'!T467," - ",'Cable Info'!U467))</f>
        <v>#N/A</v>
      </c>
      <c r="BG763" s="121" t="e">
        <f t="shared" si="159"/>
        <v>#N/A</v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e">
        <f>IF('Cable Info'!R468="","",CONCATENATE('Cable Info'!R468," - ",'Cable Info'!S468))</f>
        <v>#N/A</v>
      </c>
      <c r="BB764" s="121" t="e">
        <f t="shared" si="158"/>
        <v>#N/A</v>
      </c>
      <c r="BD764" s="121" t="e">
        <f>IF('Cable Info'!T468="","",CONCATENATE('Cable Info'!T468," - ",'Cable Info'!U468))</f>
        <v>#N/A</v>
      </c>
      <c r="BG764" s="121" t="e">
        <f t="shared" si="159"/>
        <v>#N/A</v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e">
        <f>IF('Cable Info'!R469="","",CONCATENATE('Cable Info'!R469," - ",'Cable Info'!S469))</f>
        <v>#N/A</v>
      </c>
      <c r="BB765" s="121" t="e">
        <f t="shared" si="158"/>
        <v>#N/A</v>
      </c>
      <c r="BD765" s="121" t="e">
        <f>IF('Cable Info'!T469="","",CONCATENATE('Cable Info'!T469," - ",'Cable Info'!U469))</f>
        <v>#N/A</v>
      </c>
      <c r="BG765" s="121" t="e">
        <f t="shared" si="159"/>
        <v>#N/A</v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e">
        <f>IF('Cable Info'!R470="","",CONCATENATE('Cable Info'!R470," - ",'Cable Info'!S470))</f>
        <v>#N/A</v>
      </c>
      <c r="BB766" s="121" t="e">
        <f t="shared" si="158"/>
        <v>#N/A</v>
      </c>
      <c r="BD766" s="121" t="e">
        <f>IF('Cable Info'!T470="","",CONCATENATE('Cable Info'!T470," - ",'Cable Info'!U470))</f>
        <v>#N/A</v>
      </c>
      <c r="BG766" s="121" t="e">
        <f t="shared" si="159"/>
        <v>#N/A</v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e">
        <f>IF('Cable Info'!R471="","",CONCATENATE('Cable Info'!R471," - ",'Cable Info'!S471))</f>
        <v>#N/A</v>
      </c>
      <c r="BB767" s="121" t="e">
        <f t="shared" si="158"/>
        <v>#N/A</v>
      </c>
      <c r="BD767" s="121" t="e">
        <f>IF('Cable Info'!T471="","",CONCATENATE('Cable Info'!T471," - ",'Cable Info'!U471))</f>
        <v>#N/A</v>
      </c>
      <c r="BG767" s="121" t="e">
        <f t="shared" si="159"/>
        <v>#N/A</v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e">
        <f>IF('Cable Info'!R472="","",CONCATENATE('Cable Info'!R472," - ",'Cable Info'!S472))</f>
        <v>#N/A</v>
      </c>
      <c r="BB768" s="121" t="e">
        <f t="shared" si="158"/>
        <v>#N/A</v>
      </c>
      <c r="BD768" s="121" t="e">
        <f>IF('Cable Info'!T472="","",CONCATENATE('Cable Info'!T472," - ",'Cable Info'!U472))</f>
        <v>#N/A</v>
      </c>
      <c r="BG768" s="121" t="e">
        <f t="shared" si="159"/>
        <v>#N/A</v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e">
        <f>IF('Cable Info'!R473="","",CONCATENATE('Cable Info'!R473," - ",'Cable Info'!S473))</f>
        <v>#N/A</v>
      </c>
      <c r="BB769" s="121" t="e">
        <f t="shared" si="158"/>
        <v>#N/A</v>
      </c>
      <c r="BD769" s="121" t="e">
        <f>IF('Cable Info'!T473="","",CONCATENATE('Cable Info'!T473," - ",'Cable Info'!U473))</f>
        <v>#N/A</v>
      </c>
      <c r="BG769" s="121" t="e">
        <f t="shared" si="159"/>
        <v>#N/A</v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e">
        <f>IF('Cable Info'!R474="","",CONCATENATE('Cable Info'!R474," - ",'Cable Info'!S474))</f>
        <v>#N/A</v>
      </c>
      <c r="BB770" s="121" t="e">
        <f t="shared" si="158"/>
        <v>#N/A</v>
      </c>
      <c r="BD770" s="121" t="e">
        <f>IF('Cable Info'!T474="","",CONCATENATE('Cable Info'!T474," - ",'Cable Info'!U474))</f>
        <v>#N/A</v>
      </c>
      <c r="BG770" s="121" t="e">
        <f t="shared" si="159"/>
        <v>#N/A</v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e">
        <f>IF('Cable Info'!R475="","",CONCATENATE('Cable Info'!R475," - ",'Cable Info'!S475))</f>
        <v>#N/A</v>
      </c>
      <c r="BB771" s="121" t="e">
        <f t="shared" si="158"/>
        <v>#N/A</v>
      </c>
      <c r="BD771" s="121" t="e">
        <f>IF('Cable Info'!T475="","",CONCATENATE('Cable Info'!T475," - ",'Cable Info'!U475))</f>
        <v>#N/A</v>
      </c>
      <c r="BG771" s="121" t="e">
        <f t="shared" si="159"/>
        <v>#N/A</v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e">
        <f>IF('Cable Info'!R476="","",CONCATENATE('Cable Info'!R476," - ",'Cable Info'!S476))</f>
        <v>#N/A</v>
      </c>
      <c r="BB772" s="121" t="e">
        <f t="shared" si="158"/>
        <v>#N/A</v>
      </c>
      <c r="BD772" s="121" t="e">
        <f>IF('Cable Info'!T476="","",CONCATENATE('Cable Info'!T476," - ",'Cable Info'!U476))</f>
        <v>#N/A</v>
      </c>
      <c r="BG772" s="121" t="e">
        <f t="shared" si="159"/>
        <v>#N/A</v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e">
        <f>IF('Cable Info'!R477="","",CONCATENATE('Cable Info'!R477," - ",'Cable Info'!S477))</f>
        <v>#N/A</v>
      </c>
      <c r="BB773" s="121" t="e">
        <f t="shared" si="158"/>
        <v>#N/A</v>
      </c>
      <c r="BD773" s="121" t="e">
        <f>IF('Cable Info'!T477="","",CONCATENATE('Cable Info'!T477," - ",'Cable Info'!U477))</f>
        <v>#N/A</v>
      </c>
      <c r="BG773" s="121" t="e">
        <f t="shared" si="159"/>
        <v>#N/A</v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e">
        <f>IF('Cable Info'!R478="","",CONCATENATE('Cable Info'!R478," - ",'Cable Info'!S478))</f>
        <v>#N/A</v>
      </c>
      <c r="BB774" s="121" t="e">
        <f t="shared" si="158"/>
        <v>#N/A</v>
      </c>
      <c r="BD774" s="121" t="e">
        <f>IF('Cable Info'!T478="","",CONCATENATE('Cable Info'!T478," - ",'Cable Info'!U478))</f>
        <v>#N/A</v>
      </c>
      <c r="BG774" s="121" t="e">
        <f t="shared" si="159"/>
        <v>#N/A</v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e">
        <f>IF('Cable Info'!R479="","",CONCATENATE('Cable Info'!R479," - ",'Cable Info'!S479))</f>
        <v>#N/A</v>
      </c>
      <c r="BB775" s="121" t="e">
        <f t="shared" si="158"/>
        <v>#N/A</v>
      </c>
      <c r="BD775" s="121" t="e">
        <f>IF('Cable Info'!T479="","",CONCATENATE('Cable Info'!T479," - ",'Cable Info'!U479))</f>
        <v>#N/A</v>
      </c>
      <c r="BG775" s="121" t="e">
        <f t="shared" si="159"/>
        <v>#N/A</v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e">
        <f>IF('Cable Info'!R480="","",CONCATENATE('Cable Info'!R480," - ",'Cable Info'!S480))</f>
        <v>#N/A</v>
      </c>
      <c r="BB776" s="121" t="e">
        <f t="shared" si="158"/>
        <v>#N/A</v>
      </c>
      <c r="BD776" s="121" t="e">
        <f>IF('Cable Info'!T480="","",CONCATENATE('Cable Info'!T480," - ",'Cable Info'!U480))</f>
        <v>#N/A</v>
      </c>
      <c r="BG776" s="121" t="e">
        <f t="shared" si="159"/>
        <v>#N/A</v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e">
        <f>IF('Cable Info'!R481="","",CONCATENATE('Cable Info'!R481," - ",'Cable Info'!S481))</f>
        <v>#N/A</v>
      </c>
      <c r="BB777" s="121" t="e">
        <f t="shared" si="158"/>
        <v>#N/A</v>
      </c>
      <c r="BD777" s="121" t="e">
        <f>IF('Cable Info'!T481="","",CONCATENATE('Cable Info'!T481," - ",'Cable Info'!U481))</f>
        <v>#N/A</v>
      </c>
      <c r="BG777" s="121" t="e">
        <f t="shared" si="159"/>
        <v>#N/A</v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e">
        <f>IF('Cable Info'!R482="","",CONCATENATE('Cable Info'!R482," - ",'Cable Info'!S482))</f>
        <v>#N/A</v>
      </c>
      <c r="BB778" s="121" t="e">
        <f t="shared" si="158"/>
        <v>#N/A</v>
      </c>
      <c r="BD778" s="121" t="e">
        <f>IF('Cable Info'!T482="","",CONCATENATE('Cable Info'!T482," - ",'Cable Info'!U482))</f>
        <v>#N/A</v>
      </c>
      <c r="BG778" s="121" t="e">
        <f t="shared" si="159"/>
        <v>#N/A</v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e">
        <f>IF('Cable Info'!R483="","",CONCATENATE('Cable Info'!R483," - ",'Cable Info'!S483))</f>
        <v>#N/A</v>
      </c>
      <c r="BB779" s="121" t="e">
        <f t="shared" si="158"/>
        <v>#N/A</v>
      </c>
      <c r="BD779" s="121" t="e">
        <f>IF('Cable Info'!T483="","",CONCATENATE('Cable Info'!T483," - ",'Cable Info'!U483))</f>
        <v>#N/A</v>
      </c>
      <c r="BG779" s="121" t="e">
        <f t="shared" si="159"/>
        <v>#N/A</v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e">
        <f>IF('Cable Info'!R484="","",CONCATENATE('Cable Info'!R484," - ",'Cable Info'!S484))</f>
        <v>#N/A</v>
      </c>
      <c r="BB780" s="121" t="e">
        <f t="shared" si="158"/>
        <v>#N/A</v>
      </c>
      <c r="BD780" s="121" t="e">
        <f>IF('Cable Info'!T484="","",CONCATENATE('Cable Info'!T484," - ",'Cable Info'!U484))</f>
        <v>#N/A</v>
      </c>
      <c r="BG780" s="121" t="e">
        <f t="shared" si="159"/>
        <v>#N/A</v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e">
        <f>IF('Cable Info'!R485="","",CONCATENATE('Cable Info'!R485," - ",'Cable Info'!S485))</f>
        <v>#N/A</v>
      </c>
      <c r="BB781" s="121" t="e">
        <f t="shared" si="158"/>
        <v>#N/A</v>
      </c>
      <c r="BD781" s="121" t="e">
        <f>IF('Cable Info'!T485="","",CONCATENATE('Cable Info'!T485," - ",'Cable Info'!U485))</f>
        <v>#N/A</v>
      </c>
      <c r="BG781" s="121" t="e">
        <f t="shared" si="159"/>
        <v>#N/A</v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e">
        <f>IF('Cable Info'!R486="","",CONCATENATE('Cable Info'!R486," - ",'Cable Info'!S486))</f>
        <v>#N/A</v>
      </c>
      <c r="BB782" s="121" t="e">
        <f t="shared" si="158"/>
        <v>#N/A</v>
      </c>
      <c r="BD782" s="121" t="e">
        <f>IF('Cable Info'!T486="","",CONCATENATE('Cable Info'!T486," - ",'Cable Info'!U486))</f>
        <v>#N/A</v>
      </c>
      <c r="BG782" s="121" t="e">
        <f t="shared" si="159"/>
        <v>#N/A</v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e">
        <f>IF('Cable Info'!R487="","",CONCATENATE('Cable Info'!R487," - ",'Cable Info'!S487))</f>
        <v>#N/A</v>
      </c>
      <c r="BB783" s="121" t="e">
        <f t="shared" si="158"/>
        <v>#N/A</v>
      </c>
      <c r="BD783" s="121" t="e">
        <f>IF('Cable Info'!T487="","",CONCATENATE('Cable Info'!T487," - ",'Cable Info'!U487))</f>
        <v>#N/A</v>
      </c>
      <c r="BG783" s="121" t="e">
        <f t="shared" si="159"/>
        <v>#N/A</v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e">
        <f>IF('Cable Info'!R488="","",CONCATENATE('Cable Info'!R488," - ",'Cable Info'!S488))</f>
        <v>#N/A</v>
      </c>
      <c r="BB784" s="121" t="e">
        <f t="shared" si="158"/>
        <v>#N/A</v>
      </c>
      <c r="BD784" s="121" t="e">
        <f>IF('Cable Info'!T488="","",CONCATENATE('Cable Info'!T488," - ",'Cable Info'!U488))</f>
        <v>#N/A</v>
      </c>
      <c r="BG784" s="121" t="e">
        <f t="shared" si="159"/>
        <v>#N/A</v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e">
        <f>IF('Cable Info'!R489="","",CONCATENATE('Cable Info'!R489," - ",'Cable Info'!S489))</f>
        <v>#N/A</v>
      </c>
      <c r="BB785" s="121" t="e">
        <f t="shared" si="158"/>
        <v>#N/A</v>
      </c>
      <c r="BD785" s="121" t="e">
        <f>IF('Cable Info'!T489="","",CONCATENATE('Cable Info'!T489," - ",'Cable Info'!U489))</f>
        <v>#N/A</v>
      </c>
      <c r="BG785" s="121" t="e">
        <f t="shared" si="159"/>
        <v>#N/A</v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e">
        <f>IF('Cable Info'!R490="","",CONCATENATE('Cable Info'!R490," - ",'Cable Info'!S490))</f>
        <v>#N/A</v>
      </c>
      <c r="BB786" s="121" t="e">
        <f t="shared" si="158"/>
        <v>#N/A</v>
      </c>
      <c r="BD786" s="121" t="e">
        <f>IF('Cable Info'!T490="","",CONCATENATE('Cable Info'!T490," - ",'Cable Info'!U490))</f>
        <v>#N/A</v>
      </c>
      <c r="BG786" s="121" t="e">
        <f t="shared" si="159"/>
        <v>#N/A</v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e">
        <f>IF('Cable Info'!R491="","",CONCATENATE('Cable Info'!R491," - ",'Cable Info'!S491))</f>
        <v>#N/A</v>
      </c>
      <c r="BB787" s="121" t="e">
        <f t="shared" si="158"/>
        <v>#N/A</v>
      </c>
      <c r="BD787" s="121" t="e">
        <f>IF('Cable Info'!T491="","",CONCATENATE('Cable Info'!T491," - ",'Cable Info'!U491))</f>
        <v>#N/A</v>
      </c>
      <c r="BG787" s="121" t="e">
        <f t="shared" si="159"/>
        <v>#N/A</v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e">
        <f>IF('Cable Info'!R492="","",CONCATENATE('Cable Info'!R492," - ",'Cable Info'!S492))</f>
        <v>#N/A</v>
      </c>
      <c r="BB788" s="121" t="e">
        <f t="shared" si="158"/>
        <v>#N/A</v>
      </c>
      <c r="BD788" s="121" t="e">
        <f>IF('Cable Info'!T492="","",CONCATENATE('Cable Info'!T492," - ",'Cable Info'!U492))</f>
        <v>#N/A</v>
      </c>
      <c r="BG788" s="121" t="e">
        <f t="shared" si="159"/>
        <v>#N/A</v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e">
        <f>IF('Cable Info'!R493="","",CONCATENATE('Cable Info'!R493," - ",'Cable Info'!S493))</f>
        <v>#N/A</v>
      </c>
      <c r="BB789" s="121" t="e">
        <f t="shared" si="158"/>
        <v>#N/A</v>
      </c>
      <c r="BD789" s="121" t="e">
        <f>IF('Cable Info'!T493="","",CONCATENATE('Cable Info'!T493," - ",'Cable Info'!U493))</f>
        <v>#N/A</v>
      </c>
      <c r="BG789" s="121" t="e">
        <f t="shared" si="159"/>
        <v>#N/A</v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e">
        <f>IF('Cable Info'!R494="","",CONCATENATE('Cable Info'!R494," - ",'Cable Info'!S494))</f>
        <v>#N/A</v>
      </c>
      <c r="BB790" s="121" t="e">
        <f t="shared" si="158"/>
        <v>#N/A</v>
      </c>
      <c r="BD790" s="121" t="e">
        <f>IF('Cable Info'!T494="","",CONCATENATE('Cable Info'!T494," - ",'Cable Info'!U494))</f>
        <v>#N/A</v>
      </c>
      <c r="BG790" s="121" t="e">
        <f t="shared" si="159"/>
        <v>#N/A</v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e">
        <f>IF('Cable Info'!R495="","",CONCATENATE('Cable Info'!R495," - ",'Cable Info'!S495))</f>
        <v>#N/A</v>
      </c>
      <c r="BB791" s="121" t="e">
        <f t="shared" si="158"/>
        <v>#N/A</v>
      </c>
      <c r="BD791" s="121" t="e">
        <f>IF('Cable Info'!T495="","",CONCATENATE('Cable Info'!T495," - ",'Cable Info'!U495))</f>
        <v>#N/A</v>
      </c>
      <c r="BG791" s="121" t="e">
        <f t="shared" si="159"/>
        <v>#N/A</v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e">
        <f>IF('Cable Info'!R496="","",CONCATENATE('Cable Info'!R496," - ",'Cable Info'!S496))</f>
        <v>#N/A</v>
      </c>
      <c r="BB792" s="121" t="e">
        <f t="shared" si="158"/>
        <v>#N/A</v>
      </c>
      <c r="BD792" s="121" t="e">
        <f>IF('Cable Info'!T496="","",CONCATENATE('Cable Info'!T496," - ",'Cable Info'!U496))</f>
        <v>#N/A</v>
      </c>
      <c r="BG792" s="121" t="e">
        <f t="shared" si="159"/>
        <v>#N/A</v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e">
        <f>IF('Cable Info'!R497="","",CONCATENATE('Cable Info'!R497," - ",'Cable Info'!S497))</f>
        <v>#N/A</v>
      </c>
      <c r="BB793" s="121" t="e">
        <f t="shared" si="158"/>
        <v>#N/A</v>
      </c>
      <c r="BD793" s="121" t="e">
        <f>IF('Cable Info'!T497="","",CONCATENATE('Cable Info'!T497," - ",'Cable Info'!U497))</f>
        <v>#N/A</v>
      </c>
      <c r="BG793" s="121" t="e">
        <f t="shared" si="159"/>
        <v>#N/A</v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e">
        <f>IF('Cable Info'!R498="","",CONCATENATE('Cable Info'!R498," - ",'Cable Info'!S498))</f>
        <v>#N/A</v>
      </c>
      <c r="BB794" s="121" t="e">
        <f t="shared" si="158"/>
        <v>#N/A</v>
      </c>
      <c r="BD794" s="121" t="e">
        <f>IF('Cable Info'!T498="","",CONCATENATE('Cable Info'!T498," - ",'Cable Info'!U498))</f>
        <v>#N/A</v>
      </c>
      <c r="BG794" s="121" t="e">
        <f t="shared" si="159"/>
        <v>#N/A</v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e">
        <f>IF('Cable Info'!R499="","",CONCATENATE('Cable Info'!R499," - ",'Cable Info'!S499))</f>
        <v>#N/A</v>
      </c>
      <c r="BB795" s="121" t="e">
        <f t="shared" si="158"/>
        <v>#N/A</v>
      </c>
      <c r="BD795" s="121" t="e">
        <f>IF('Cable Info'!T499="","",CONCATENATE('Cable Info'!T499," - ",'Cable Info'!U499))</f>
        <v>#N/A</v>
      </c>
      <c r="BG795" s="121" t="e">
        <f t="shared" si="159"/>
        <v>#N/A</v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e">
        <f>IF('Cable Info'!R500="","",CONCATENATE('Cable Info'!R500," - ",'Cable Info'!S500))</f>
        <v>#N/A</v>
      </c>
      <c r="BB796" s="121" t="e">
        <f t="shared" si="158"/>
        <v>#N/A</v>
      </c>
      <c r="BD796" s="121" t="e">
        <f>IF('Cable Info'!T500="","",CONCATENATE('Cable Info'!T500," - ",'Cable Info'!U500))</f>
        <v>#N/A</v>
      </c>
      <c r="BG796" s="121" t="e">
        <f t="shared" si="159"/>
        <v>#N/A</v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e">
        <f>IF('Cable Info'!R501="","",CONCATENATE('Cable Info'!R501," - ",'Cable Info'!S501))</f>
        <v>#N/A</v>
      </c>
      <c r="BB797" s="121" t="e">
        <f t="shared" si="158"/>
        <v>#N/A</v>
      </c>
      <c r="BD797" s="121" t="e">
        <f>IF('Cable Info'!T501="","",CONCATENATE('Cable Info'!T501," - ",'Cable Info'!U501))</f>
        <v>#N/A</v>
      </c>
      <c r="BG797" s="121" t="e">
        <f t="shared" si="159"/>
        <v>#N/A</v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e">
        <f>IF('Cable Info'!R502="","",CONCATENATE('Cable Info'!R502," - ",'Cable Info'!S502))</f>
        <v>#N/A</v>
      </c>
      <c r="BB798" s="121" t="e">
        <f t="shared" si="158"/>
        <v>#N/A</v>
      </c>
      <c r="BD798" s="121" t="e">
        <f>IF('Cable Info'!T502="","",CONCATENATE('Cable Info'!T502," - ",'Cable Info'!U502))</f>
        <v>#N/A</v>
      </c>
      <c r="BG798" s="121" t="e">
        <f t="shared" si="159"/>
        <v>#N/A</v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e">
        <f>IF('Cable Info'!R503="","",CONCATENATE('Cable Info'!R503," - ",'Cable Info'!S503))</f>
        <v>#N/A</v>
      </c>
      <c r="BB799" s="121" t="e">
        <f t="shared" si="158"/>
        <v>#N/A</v>
      </c>
      <c r="BD799" s="121" t="e">
        <f>IF('Cable Info'!T503="","",CONCATENATE('Cable Info'!T503," - ",'Cable Info'!U503))</f>
        <v>#N/A</v>
      </c>
      <c r="BG799" s="121" t="e">
        <f t="shared" si="159"/>
        <v>#N/A</v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e">
        <f>IF('Cable Info'!R504="","",CONCATENATE('Cable Info'!R504," - ",'Cable Info'!S504))</f>
        <v>#N/A</v>
      </c>
      <c r="BB800" s="121" t="e">
        <f t="shared" si="158"/>
        <v>#N/A</v>
      </c>
      <c r="BD800" s="121" t="e">
        <f>IF('Cable Info'!T504="","",CONCATENATE('Cable Info'!T504," - ",'Cable Info'!U504))</f>
        <v>#N/A</v>
      </c>
      <c r="BG800" s="121" t="e">
        <f t="shared" si="159"/>
        <v>#N/A</v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e">
        <f>IF('Cable Info'!R505="","",CONCATENATE('Cable Info'!R505," - ",'Cable Info'!S505))</f>
        <v>#N/A</v>
      </c>
      <c r="BB801" s="121" t="e">
        <f t="shared" si="158"/>
        <v>#N/A</v>
      </c>
      <c r="BD801" s="121" t="e">
        <f>IF('Cable Info'!T505="","",CONCATENATE('Cable Info'!T505," - ",'Cable Info'!U505))</f>
        <v>#N/A</v>
      </c>
      <c r="BG801" s="121" t="e">
        <f t="shared" si="159"/>
        <v>#N/A</v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e">
        <f>IF('Cable Info'!R506="","",CONCATENATE('Cable Info'!R506," - ",'Cable Info'!S506))</f>
        <v>#N/A</v>
      </c>
      <c r="BB802" s="121" t="e">
        <f t="shared" si="158"/>
        <v>#N/A</v>
      </c>
      <c r="BD802" s="121" t="e">
        <f>IF('Cable Info'!T506="","",CONCATENATE('Cable Info'!T506," - ",'Cable Info'!U506))</f>
        <v>#N/A</v>
      </c>
      <c r="BG802" s="121" t="e">
        <f t="shared" si="159"/>
        <v>#N/A</v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e">
        <f>IF('Cable Info'!R507="","",CONCATENATE('Cable Info'!R507," - ",'Cable Info'!S507))</f>
        <v>#N/A</v>
      </c>
      <c r="BB803" s="121" t="e">
        <f t="shared" si="158"/>
        <v>#N/A</v>
      </c>
      <c r="BD803" s="121" t="e">
        <f>IF('Cable Info'!T507="","",CONCATENATE('Cable Info'!T507," - ",'Cable Info'!U507))</f>
        <v>#N/A</v>
      </c>
      <c r="BG803" s="121" t="e">
        <f t="shared" si="159"/>
        <v>#N/A</v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e">
        <f>IF('Cable Info'!R508="","",CONCATENATE('Cable Info'!R508," - ",'Cable Info'!S508))</f>
        <v>#N/A</v>
      </c>
      <c r="BB804" s="121" t="e">
        <f t="shared" si="158"/>
        <v>#N/A</v>
      </c>
      <c r="BD804" s="121" t="e">
        <f>IF('Cable Info'!T508="","",CONCATENATE('Cable Info'!T508," - ",'Cable Info'!U508))</f>
        <v>#N/A</v>
      </c>
      <c r="BG804" s="121" t="e">
        <f t="shared" si="159"/>
        <v>#N/A</v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e">
        <f>IF('Cable Info'!R509="","",CONCATENATE('Cable Info'!R509," - ",'Cable Info'!S509))</f>
        <v>#N/A</v>
      </c>
      <c r="BB805" s="121" t="e">
        <f t="shared" si="158"/>
        <v>#N/A</v>
      </c>
      <c r="BD805" s="121" t="e">
        <f>IF('Cable Info'!T509="","",CONCATENATE('Cable Info'!T509," - ",'Cable Info'!U509))</f>
        <v>#N/A</v>
      </c>
      <c r="BG805" s="121" t="e">
        <f t="shared" si="159"/>
        <v>#N/A</v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e">
        <f>IF('Cable Info'!R510="","",CONCATENATE('Cable Info'!R510," - ",'Cable Info'!S510))</f>
        <v>#N/A</v>
      </c>
      <c r="BB806" s="121" t="e">
        <f t="shared" si="158"/>
        <v>#N/A</v>
      </c>
      <c r="BD806" s="121" t="e">
        <f>IF('Cable Info'!T510="","",CONCATENATE('Cable Info'!T510," - ",'Cable Info'!U510))</f>
        <v>#N/A</v>
      </c>
      <c r="BG806" s="121" t="e">
        <f t="shared" si="159"/>
        <v>#N/A</v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e">
        <f>IF('Cable Info'!R511="","",CONCATENATE('Cable Info'!R511," - ",'Cable Info'!S511))</f>
        <v>#N/A</v>
      </c>
      <c r="BB807" s="121" t="e">
        <f t="shared" si="158"/>
        <v>#N/A</v>
      </c>
      <c r="BD807" s="121" t="e">
        <f>IF('Cable Info'!T511="","",CONCATENATE('Cable Info'!T511," - ",'Cable Info'!U511))</f>
        <v>#N/A</v>
      </c>
      <c r="BG807" s="121" t="e">
        <f t="shared" si="159"/>
        <v>#N/A</v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e">
        <f>IF('Cable Info'!R512="","",CONCATENATE('Cable Info'!R512," - ",'Cable Info'!S512))</f>
        <v>#N/A</v>
      </c>
      <c r="BB808" s="121" t="e">
        <f t="shared" si="158"/>
        <v>#N/A</v>
      </c>
      <c r="BD808" s="121" t="e">
        <f>IF('Cable Info'!T512="","",CONCATENATE('Cable Info'!T512," - ",'Cable Info'!U512))</f>
        <v>#N/A</v>
      </c>
      <c r="BG808" s="121" t="e">
        <f t="shared" si="159"/>
        <v>#N/A</v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e">
        <f>IF('Cable Info'!R513="","",CONCATENATE('Cable Info'!R513," - ",'Cable Info'!S513))</f>
        <v>#N/A</v>
      </c>
      <c r="BB809" s="121" t="e">
        <f t="shared" si="158"/>
        <v>#N/A</v>
      </c>
      <c r="BD809" s="121" t="e">
        <f>IF('Cable Info'!T513="","",CONCATENATE('Cable Info'!T513," - ",'Cable Info'!U513))</f>
        <v>#N/A</v>
      </c>
      <c r="BG809" s="121" t="e">
        <f t="shared" si="159"/>
        <v>#N/A</v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e">
        <f>IF('Cable Info'!R514="","",CONCATENATE('Cable Info'!R514," - ",'Cable Info'!S514))</f>
        <v>#N/A</v>
      </c>
      <c r="BB810" s="121" t="e">
        <f t="shared" si="158"/>
        <v>#N/A</v>
      </c>
      <c r="BD810" s="121" t="e">
        <f>IF('Cable Info'!T514="","",CONCATENATE('Cable Info'!T514," - ",'Cable Info'!U514))</f>
        <v>#N/A</v>
      </c>
      <c r="BG810" s="121" t="e">
        <f t="shared" si="159"/>
        <v>#N/A</v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e">
        <f>IF('Cable Info'!R515="","",CONCATENATE('Cable Info'!R515," - ",'Cable Info'!S515))</f>
        <v>#N/A</v>
      </c>
      <c r="BB811" s="121" t="e">
        <f t="shared" ref="BB811:BB874" si="164">IF(AZ811="",AY811,CONCATENATE(AY811,"  &lt;=&gt; ",AZ811," ",BA811))</f>
        <v>#N/A</v>
      </c>
      <c r="BD811" s="121" t="e">
        <f>IF('Cable Info'!T515="","",CONCATENATE('Cable Info'!T515," - ",'Cable Info'!U515))</f>
        <v>#N/A</v>
      </c>
      <c r="BG811" s="121" t="e">
        <f t="shared" ref="BG811:BG874" si="165">IF(BE811="",BD811,CONCATENATE(BD811,"  &lt;=&gt; ",BE811," ",BF811))</f>
        <v>#N/A</v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e">
        <f>IF('Cable Info'!R516="","",CONCATENATE('Cable Info'!R516," - ",'Cable Info'!S516))</f>
        <v>#N/A</v>
      </c>
      <c r="BB812" s="121" t="e">
        <f t="shared" si="164"/>
        <v>#N/A</v>
      </c>
      <c r="BD812" s="121" t="e">
        <f>IF('Cable Info'!T516="","",CONCATENATE('Cable Info'!T516," - ",'Cable Info'!U516))</f>
        <v>#N/A</v>
      </c>
      <c r="BG812" s="121" t="e">
        <f t="shared" si="165"/>
        <v>#N/A</v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e">
        <f>IF('Cable Info'!R517="","",CONCATENATE('Cable Info'!R517," - ",'Cable Info'!S517))</f>
        <v>#N/A</v>
      </c>
      <c r="BB813" s="121" t="e">
        <f t="shared" si="164"/>
        <v>#N/A</v>
      </c>
      <c r="BD813" s="121" t="e">
        <f>IF('Cable Info'!T517="","",CONCATENATE('Cable Info'!T517," - ",'Cable Info'!U517))</f>
        <v>#N/A</v>
      </c>
      <c r="BG813" s="121" t="e">
        <f t="shared" si="165"/>
        <v>#N/A</v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e">
        <f>IF('Cable Info'!R518="","",CONCATENATE('Cable Info'!R518," - ",'Cable Info'!S518))</f>
        <v>#N/A</v>
      </c>
      <c r="BB814" s="121" t="e">
        <f t="shared" si="164"/>
        <v>#N/A</v>
      </c>
      <c r="BD814" s="121" t="e">
        <f>IF('Cable Info'!T518="","",CONCATENATE('Cable Info'!T518," - ",'Cable Info'!U518))</f>
        <v>#N/A</v>
      </c>
      <c r="BG814" s="121" t="e">
        <f t="shared" si="165"/>
        <v>#N/A</v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e">
        <f>IF('Cable Info'!R519="","",CONCATENATE('Cable Info'!R519," - ",'Cable Info'!S519))</f>
        <v>#N/A</v>
      </c>
      <c r="BB815" s="121" t="e">
        <f t="shared" si="164"/>
        <v>#N/A</v>
      </c>
      <c r="BD815" s="121" t="e">
        <f>IF('Cable Info'!T519="","",CONCATENATE('Cable Info'!T519," - ",'Cable Info'!U519))</f>
        <v>#N/A</v>
      </c>
      <c r="BG815" s="121" t="e">
        <f t="shared" si="165"/>
        <v>#N/A</v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e">
        <f>IF('Cable Info'!R520="","",CONCATENATE('Cable Info'!R520," - ",'Cable Info'!S520))</f>
        <v>#N/A</v>
      </c>
      <c r="BB816" s="121" t="e">
        <f t="shared" si="164"/>
        <v>#N/A</v>
      </c>
      <c r="BD816" s="121" t="e">
        <f>IF('Cable Info'!T520="","",CONCATENATE('Cable Info'!T520," - ",'Cable Info'!U520))</f>
        <v>#N/A</v>
      </c>
      <c r="BG816" s="121" t="e">
        <f t="shared" si="165"/>
        <v>#N/A</v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e">
        <f>IF('Cable Info'!R521="","",CONCATENATE('Cable Info'!R521," - ",'Cable Info'!S521))</f>
        <v>#N/A</v>
      </c>
      <c r="BB817" s="121" t="e">
        <f t="shared" si="164"/>
        <v>#N/A</v>
      </c>
      <c r="BD817" s="121" t="e">
        <f>IF('Cable Info'!T521="","",CONCATENATE('Cable Info'!T521," - ",'Cable Info'!U521))</f>
        <v>#N/A</v>
      </c>
      <c r="BG817" s="121" t="e">
        <f t="shared" si="165"/>
        <v>#N/A</v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e">
        <f>IF('Cable Info'!R522="","",CONCATENATE('Cable Info'!R522," - ",'Cable Info'!S522))</f>
        <v>#N/A</v>
      </c>
      <c r="BB818" s="121" t="e">
        <f t="shared" si="164"/>
        <v>#N/A</v>
      </c>
      <c r="BD818" s="121" t="e">
        <f>IF('Cable Info'!T522="","",CONCATENATE('Cable Info'!T522," - ",'Cable Info'!U522))</f>
        <v>#N/A</v>
      </c>
      <c r="BG818" s="121" t="e">
        <f t="shared" si="165"/>
        <v>#N/A</v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e">
        <f>IF('Cable Info'!R523="","",CONCATENATE('Cable Info'!R523," - ",'Cable Info'!S523))</f>
        <v>#N/A</v>
      </c>
      <c r="BB819" s="121" t="e">
        <f t="shared" si="164"/>
        <v>#N/A</v>
      </c>
      <c r="BD819" s="121" t="e">
        <f>IF('Cable Info'!T523="","",CONCATENATE('Cable Info'!T523," - ",'Cable Info'!U523))</f>
        <v>#N/A</v>
      </c>
      <c r="BG819" s="121" t="e">
        <f t="shared" si="165"/>
        <v>#N/A</v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e">
        <f>IF('Cable Info'!R524="","",CONCATENATE('Cable Info'!R524," - ",'Cable Info'!S524))</f>
        <v>#N/A</v>
      </c>
      <c r="BB820" s="121" t="e">
        <f t="shared" si="164"/>
        <v>#N/A</v>
      </c>
      <c r="BD820" s="121" t="e">
        <f>IF('Cable Info'!T524="","",CONCATENATE('Cable Info'!T524," - ",'Cable Info'!U524))</f>
        <v>#N/A</v>
      </c>
      <c r="BG820" s="121" t="e">
        <f t="shared" si="165"/>
        <v>#N/A</v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e">
        <f>IF('Cable Info'!R525="","",CONCATENATE('Cable Info'!R525," - ",'Cable Info'!S525))</f>
        <v>#N/A</v>
      </c>
      <c r="BB821" s="121" t="e">
        <f t="shared" si="164"/>
        <v>#N/A</v>
      </c>
      <c r="BD821" s="121" t="e">
        <f>IF('Cable Info'!T525="","",CONCATENATE('Cable Info'!T525," - ",'Cable Info'!U525))</f>
        <v>#N/A</v>
      </c>
      <c r="BG821" s="121" t="e">
        <f t="shared" si="165"/>
        <v>#N/A</v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e">
        <f>IF('Cable Info'!R526="","",CONCATENATE('Cable Info'!R526," - ",'Cable Info'!S526))</f>
        <v>#N/A</v>
      </c>
      <c r="BB822" s="121" t="e">
        <f t="shared" si="164"/>
        <v>#N/A</v>
      </c>
      <c r="BD822" s="121" t="e">
        <f>IF('Cable Info'!T526="","",CONCATENATE('Cable Info'!T526," - ",'Cable Info'!U526))</f>
        <v>#N/A</v>
      </c>
      <c r="BG822" s="121" t="e">
        <f t="shared" si="165"/>
        <v>#N/A</v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e">
        <f>IF('Cable Info'!R527="","",CONCATENATE('Cable Info'!R527," - ",'Cable Info'!S527))</f>
        <v>#N/A</v>
      </c>
      <c r="BB823" s="121" t="e">
        <f t="shared" si="164"/>
        <v>#N/A</v>
      </c>
      <c r="BD823" s="121" t="e">
        <f>IF('Cable Info'!T527="","",CONCATENATE('Cable Info'!T527," - ",'Cable Info'!U527))</f>
        <v>#N/A</v>
      </c>
      <c r="BG823" s="121" t="e">
        <f t="shared" si="165"/>
        <v>#N/A</v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e">
        <f>IF('Cable Info'!R528="","",CONCATENATE('Cable Info'!R528," - ",'Cable Info'!S528))</f>
        <v>#N/A</v>
      </c>
      <c r="BB824" s="121" t="e">
        <f t="shared" si="164"/>
        <v>#N/A</v>
      </c>
      <c r="BD824" s="121" t="e">
        <f>IF('Cable Info'!T528="","",CONCATENATE('Cable Info'!T528," - ",'Cable Info'!U528))</f>
        <v>#N/A</v>
      </c>
      <c r="BG824" s="121" t="e">
        <f t="shared" si="165"/>
        <v>#N/A</v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e">
        <f>IF('Cable Info'!R529="","",CONCATENATE('Cable Info'!R529," - ",'Cable Info'!S529))</f>
        <v>#N/A</v>
      </c>
      <c r="BB825" s="121" t="e">
        <f t="shared" si="164"/>
        <v>#N/A</v>
      </c>
      <c r="BD825" s="121" t="e">
        <f>IF('Cable Info'!T529="","",CONCATENATE('Cable Info'!T529," - ",'Cable Info'!U529))</f>
        <v>#N/A</v>
      </c>
      <c r="BG825" s="121" t="e">
        <f t="shared" si="165"/>
        <v>#N/A</v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e">
        <f>IF('Cable Info'!R530="","",CONCATENATE('Cable Info'!R530," - ",'Cable Info'!S530))</f>
        <v>#N/A</v>
      </c>
      <c r="BB826" s="121" t="e">
        <f t="shared" si="164"/>
        <v>#N/A</v>
      </c>
      <c r="BD826" s="121" t="e">
        <f>IF('Cable Info'!T530="","",CONCATENATE('Cable Info'!T530," - ",'Cable Info'!U530))</f>
        <v>#N/A</v>
      </c>
      <c r="BG826" s="121" t="e">
        <f t="shared" si="165"/>
        <v>#N/A</v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e">
        <f>IF('Cable Info'!R531="","",CONCATENATE('Cable Info'!R531," - ",'Cable Info'!S531))</f>
        <v>#N/A</v>
      </c>
      <c r="BB827" s="121" t="e">
        <f t="shared" si="164"/>
        <v>#N/A</v>
      </c>
      <c r="BD827" s="121" t="e">
        <f>IF('Cable Info'!T531="","",CONCATENATE('Cable Info'!T531," - ",'Cable Info'!U531))</f>
        <v>#N/A</v>
      </c>
      <c r="BG827" s="121" t="e">
        <f t="shared" si="165"/>
        <v>#N/A</v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e">
        <f>IF('Cable Info'!R532="","",CONCATENATE('Cable Info'!R532," - ",'Cable Info'!S532))</f>
        <v>#N/A</v>
      </c>
      <c r="BB828" s="121" t="e">
        <f t="shared" si="164"/>
        <v>#N/A</v>
      </c>
      <c r="BD828" s="121" t="e">
        <f>IF('Cable Info'!T532="","",CONCATENATE('Cable Info'!T532," - ",'Cable Info'!U532))</f>
        <v>#N/A</v>
      </c>
      <c r="BG828" s="121" t="e">
        <f t="shared" si="165"/>
        <v>#N/A</v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e">
        <f>IF('Cable Info'!R533="","",CONCATENATE('Cable Info'!R533," - ",'Cable Info'!S533))</f>
        <v>#N/A</v>
      </c>
      <c r="BB829" s="121" t="e">
        <f t="shared" si="164"/>
        <v>#N/A</v>
      </c>
      <c r="BD829" s="121" t="e">
        <f>IF('Cable Info'!T533="","",CONCATENATE('Cable Info'!T533," - ",'Cable Info'!U533))</f>
        <v>#N/A</v>
      </c>
      <c r="BG829" s="121" t="e">
        <f t="shared" si="165"/>
        <v>#N/A</v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e">
        <f>IF('Cable Info'!R534="","",CONCATENATE('Cable Info'!R534," - ",'Cable Info'!S534))</f>
        <v>#N/A</v>
      </c>
      <c r="BB830" s="121" t="e">
        <f t="shared" si="164"/>
        <v>#N/A</v>
      </c>
      <c r="BD830" s="121" t="e">
        <f>IF('Cable Info'!T534="","",CONCATENATE('Cable Info'!T534," - ",'Cable Info'!U534))</f>
        <v>#N/A</v>
      </c>
      <c r="BG830" s="121" t="e">
        <f t="shared" si="165"/>
        <v>#N/A</v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e">
        <f>IF('Cable Info'!R535="","",CONCATENATE('Cable Info'!R535," - ",'Cable Info'!S535))</f>
        <v>#N/A</v>
      </c>
      <c r="BB831" s="121" t="e">
        <f t="shared" si="164"/>
        <v>#N/A</v>
      </c>
      <c r="BD831" s="121" t="e">
        <f>IF('Cable Info'!T535="","",CONCATENATE('Cable Info'!T535," - ",'Cable Info'!U535))</f>
        <v>#N/A</v>
      </c>
      <c r="BG831" s="121" t="e">
        <f t="shared" si="165"/>
        <v>#N/A</v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e">
        <f>IF('Cable Info'!R536="","",CONCATENATE('Cable Info'!R536," - ",'Cable Info'!S536))</f>
        <v>#N/A</v>
      </c>
      <c r="BB832" s="121" t="e">
        <f t="shared" si="164"/>
        <v>#N/A</v>
      </c>
      <c r="BD832" s="121" t="e">
        <f>IF('Cable Info'!T536="","",CONCATENATE('Cable Info'!T536," - ",'Cable Info'!U536))</f>
        <v>#N/A</v>
      </c>
      <c r="BG832" s="121" t="e">
        <f t="shared" si="165"/>
        <v>#N/A</v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e">
        <f>IF('Cable Info'!R537="","",CONCATENATE('Cable Info'!R537," - ",'Cable Info'!S537))</f>
        <v>#N/A</v>
      </c>
      <c r="BB833" s="121" t="e">
        <f t="shared" si="164"/>
        <v>#N/A</v>
      </c>
      <c r="BD833" s="121" t="e">
        <f>IF('Cable Info'!T537="","",CONCATENATE('Cable Info'!T537," - ",'Cable Info'!U537))</f>
        <v>#N/A</v>
      </c>
      <c r="BG833" s="121" t="e">
        <f t="shared" si="165"/>
        <v>#N/A</v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e">
        <f>IF('Cable Info'!R538="","",CONCATENATE('Cable Info'!R538," - ",'Cable Info'!S538))</f>
        <v>#N/A</v>
      </c>
      <c r="BB834" s="121" t="e">
        <f t="shared" si="164"/>
        <v>#N/A</v>
      </c>
      <c r="BD834" s="121" t="e">
        <f>IF('Cable Info'!T538="","",CONCATENATE('Cable Info'!T538," - ",'Cable Info'!U538))</f>
        <v>#N/A</v>
      </c>
      <c r="BG834" s="121" t="e">
        <f t="shared" si="165"/>
        <v>#N/A</v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e">
        <f>IF('Cable Info'!R539="","",CONCATENATE('Cable Info'!R539," - ",'Cable Info'!S539))</f>
        <v>#N/A</v>
      </c>
      <c r="BB835" s="121" t="e">
        <f t="shared" si="164"/>
        <v>#N/A</v>
      </c>
      <c r="BD835" s="121" t="e">
        <f>IF('Cable Info'!T539="","",CONCATENATE('Cable Info'!T539," - ",'Cable Info'!U539))</f>
        <v>#N/A</v>
      </c>
      <c r="BG835" s="121" t="e">
        <f t="shared" si="165"/>
        <v>#N/A</v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e">
        <f>IF('Cable Info'!R540="","",CONCATENATE('Cable Info'!R540," - ",'Cable Info'!S540))</f>
        <v>#N/A</v>
      </c>
      <c r="BB836" s="121" t="e">
        <f t="shared" si="164"/>
        <v>#N/A</v>
      </c>
      <c r="BD836" s="121" t="e">
        <f>IF('Cable Info'!T540="","",CONCATENATE('Cable Info'!T540," - ",'Cable Info'!U540))</f>
        <v>#N/A</v>
      </c>
      <c r="BG836" s="121" t="e">
        <f t="shared" si="165"/>
        <v>#N/A</v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e">
        <f>IF('Cable Info'!R541="","",CONCATENATE('Cable Info'!R541," - ",'Cable Info'!S541))</f>
        <v>#N/A</v>
      </c>
      <c r="BB837" s="121" t="e">
        <f t="shared" si="164"/>
        <v>#N/A</v>
      </c>
      <c r="BD837" s="121" t="e">
        <f>IF('Cable Info'!T541="","",CONCATENATE('Cable Info'!T541," - ",'Cable Info'!U541))</f>
        <v>#N/A</v>
      </c>
      <c r="BG837" s="121" t="e">
        <f t="shared" si="165"/>
        <v>#N/A</v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e">
        <f>IF('Cable Info'!R542="","",CONCATENATE('Cable Info'!R542," - ",'Cable Info'!S542))</f>
        <v>#N/A</v>
      </c>
      <c r="BB838" s="121" t="e">
        <f t="shared" si="164"/>
        <v>#N/A</v>
      </c>
      <c r="BD838" s="121" t="e">
        <f>IF('Cable Info'!T542="","",CONCATENATE('Cable Info'!T542," - ",'Cable Info'!U542))</f>
        <v>#N/A</v>
      </c>
      <c r="BG838" s="121" t="e">
        <f t="shared" si="165"/>
        <v>#N/A</v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e">
        <f>IF('Cable Info'!R543="","",CONCATENATE('Cable Info'!R543," - ",'Cable Info'!S543))</f>
        <v>#N/A</v>
      </c>
      <c r="BB839" s="121" t="e">
        <f t="shared" si="164"/>
        <v>#N/A</v>
      </c>
      <c r="BD839" s="121" t="e">
        <f>IF('Cable Info'!T543="","",CONCATENATE('Cable Info'!T543," - ",'Cable Info'!U543))</f>
        <v>#N/A</v>
      </c>
      <c r="BG839" s="121" t="e">
        <f t="shared" si="165"/>
        <v>#N/A</v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e">
        <f>IF('Cable Info'!R544="","",CONCATENATE('Cable Info'!R544," - ",'Cable Info'!S544))</f>
        <v>#N/A</v>
      </c>
      <c r="BB840" s="121" t="e">
        <f t="shared" si="164"/>
        <v>#N/A</v>
      </c>
      <c r="BD840" s="121" t="e">
        <f>IF('Cable Info'!T544="","",CONCATENATE('Cable Info'!T544," - ",'Cable Info'!U544))</f>
        <v>#N/A</v>
      </c>
      <c r="BG840" s="121" t="e">
        <f t="shared" si="165"/>
        <v>#N/A</v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e">
        <f>IF('Cable Info'!R545="","",CONCATENATE('Cable Info'!R545," - ",'Cable Info'!S545))</f>
        <v>#N/A</v>
      </c>
      <c r="BB841" s="121" t="e">
        <f t="shared" si="164"/>
        <v>#N/A</v>
      </c>
      <c r="BD841" s="121" t="e">
        <f>IF('Cable Info'!T545="","",CONCATENATE('Cable Info'!T545," - ",'Cable Info'!U545))</f>
        <v>#N/A</v>
      </c>
      <c r="BG841" s="121" t="e">
        <f t="shared" si="165"/>
        <v>#N/A</v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e">
        <f>IF('Cable Info'!R546="","",CONCATENATE('Cable Info'!R546," - ",'Cable Info'!S546))</f>
        <v>#N/A</v>
      </c>
      <c r="BB842" s="121" t="e">
        <f t="shared" si="164"/>
        <v>#N/A</v>
      </c>
      <c r="BD842" s="121" t="e">
        <f>IF('Cable Info'!T546="","",CONCATENATE('Cable Info'!T546," - ",'Cable Info'!U546))</f>
        <v>#N/A</v>
      </c>
      <c r="BG842" s="121" t="e">
        <f t="shared" si="165"/>
        <v>#N/A</v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e">
        <f>IF('Cable Info'!R547="","",CONCATENATE('Cable Info'!R547," - ",'Cable Info'!S547))</f>
        <v>#N/A</v>
      </c>
      <c r="BB843" s="121" t="e">
        <f t="shared" si="164"/>
        <v>#N/A</v>
      </c>
      <c r="BD843" s="121" t="e">
        <f>IF('Cable Info'!T547="","",CONCATENATE('Cable Info'!T547," - ",'Cable Info'!U547))</f>
        <v>#N/A</v>
      </c>
      <c r="BG843" s="121" t="e">
        <f t="shared" si="165"/>
        <v>#N/A</v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e">
        <f>IF('Cable Info'!R548="","",CONCATENATE('Cable Info'!R548," - ",'Cable Info'!S548))</f>
        <v>#N/A</v>
      </c>
      <c r="BB844" s="121" t="e">
        <f t="shared" si="164"/>
        <v>#N/A</v>
      </c>
      <c r="BD844" s="121" t="e">
        <f>IF('Cable Info'!T548="","",CONCATENATE('Cable Info'!T548," - ",'Cable Info'!U548))</f>
        <v>#N/A</v>
      </c>
      <c r="BG844" s="121" t="e">
        <f t="shared" si="165"/>
        <v>#N/A</v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e">
        <f>IF('Cable Info'!R549="","",CONCATENATE('Cable Info'!R549," - ",'Cable Info'!S549))</f>
        <v>#N/A</v>
      </c>
      <c r="BB845" s="121" t="e">
        <f t="shared" si="164"/>
        <v>#N/A</v>
      </c>
      <c r="BD845" s="121" t="e">
        <f>IF('Cable Info'!T549="","",CONCATENATE('Cable Info'!T549," - ",'Cable Info'!U549))</f>
        <v>#N/A</v>
      </c>
      <c r="BG845" s="121" t="e">
        <f t="shared" si="165"/>
        <v>#N/A</v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e">
        <f>IF('Cable Info'!R550="","",CONCATENATE('Cable Info'!R550," - ",'Cable Info'!S550))</f>
        <v>#N/A</v>
      </c>
      <c r="BB846" s="121" t="e">
        <f t="shared" si="164"/>
        <v>#N/A</v>
      </c>
      <c r="BD846" s="121" t="e">
        <f>IF('Cable Info'!T550="","",CONCATENATE('Cable Info'!T550," - ",'Cable Info'!U550))</f>
        <v>#N/A</v>
      </c>
      <c r="BG846" s="121" t="e">
        <f t="shared" si="165"/>
        <v>#N/A</v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e">
        <f>IF('Cable Info'!R551="","",CONCATENATE('Cable Info'!R551," - ",'Cable Info'!S551))</f>
        <v>#N/A</v>
      </c>
      <c r="BB847" s="121" t="e">
        <f t="shared" si="164"/>
        <v>#N/A</v>
      </c>
      <c r="BD847" s="121" t="e">
        <f>IF('Cable Info'!T551="","",CONCATENATE('Cable Info'!T551," - ",'Cable Info'!U551))</f>
        <v>#N/A</v>
      </c>
      <c r="BG847" s="121" t="e">
        <f t="shared" si="165"/>
        <v>#N/A</v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e">
        <f>IF('Cable Info'!R552="","",CONCATENATE('Cable Info'!R552," - ",'Cable Info'!S552))</f>
        <v>#N/A</v>
      </c>
      <c r="BB848" s="121" t="e">
        <f t="shared" si="164"/>
        <v>#N/A</v>
      </c>
      <c r="BD848" s="121" t="e">
        <f>IF('Cable Info'!T552="","",CONCATENATE('Cable Info'!T552," - ",'Cable Info'!U552))</f>
        <v>#N/A</v>
      </c>
      <c r="BG848" s="121" t="e">
        <f t="shared" si="165"/>
        <v>#N/A</v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e">
        <f>IF('Cable Info'!R553="","",CONCATENATE('Cable Info'!R553," - ",'Cable Info'!S553))</f>
        <v>#N/A</v>
      </c>
      <c r="BB849" s="121" t="e">
        <f t="shared" si="164"/>
        <v>#N/A</v>
      </c>
      <c r="BD849" s="121" t="e">
        <f>IF('Cable Info'!T553="","",CONCATENATE('Cable Info'!T553," - ",'Cable Info'!U553))</f>
        <v>#N/A</v>
      </c>
      <c r="BG849" s="121" t="e">
        <f t="shared" si="165"/>
        <v>#N/A</v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e">
        <f>IF('Cable Info'!R554="","",CONCATENATE('Cable Info'!R554," - ",'Cable Info'!S554))</f>
        <v>#N/A</v>
      </c>
      <c r="BB850" s="121" t="e">
        <f t="shared" si="164"/>
        <v>#N/A</v>
      </c>
      <c r="BD850" s="121" t="e">
        <f>IF('Cable Info'!T554="","",CONCATENATE('Cable Info'!T554," - ",'Cable Info'!U554))</f>
        <v>#N/A</v>
      </c>
      <c r="BG850" s="121" t="e">
        <f t="shared" si="165"/>
        <v>#N/A</v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e">
        <f>IF('Cable Info'!R555="","",CONCATENATE('Cable Info'!R555," - ",'Cable Info'!S555))</f>
        <v>#N/A</v>
      </c>
      <c r="BB851" s="121" t="e">
        <f t="shared" si="164"/>
        <v>#N/A</v>
      </c>
      <c r="BD851" s="121" t="e">
        <f>IF('Cable Info'!T555="","",CONCATENATE('Cable Info'!T555," - ",'Cable Info'!U555))</f>
        <v>#N/A</v>
      </c>
      <c r="BG851" s="121" t="e">
        <f t="shared" si="165"/>
        <v>#N/A</v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e">
        <f>IF('Cable Info'!R556="","",CONCATENATE('Cable Info'!R556," - ",'Cable Info'!S556))</f>
        <v>#N/A</v>
      </c>
      <c r="BB852" s="121" t="e">
        <f t="shared" si="164"/>
        <v>#N/A</v>
      </c>
      <c r="BD852" s="121" t="e">
        <f>IF('Cable Info'!T556="","",CONCATENATE('Cable Info'!T556," - ",'Cable Info'!U556))</f>
        <v>#N/A</v>
      </c>
      <c r="BG852" s="121" t="e">
        <f t="shared" si="165"/>
        <v>#N/A</v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e">
        <f>IF('Cable Info'!R557="","",CONCATENATE('Cable Info'!R557," - ",'Cable Info'!S557))</f>
        <v>#N/A</v>
      </c>
      <c r="BB853" s="121" t="e">
        <f t="shared" si="164"/>
        <v>#N/A</v>
      </c>
      <c r="BD853" s="121" t="e">
        <f>IF('Cable Info'!T557="","",CONCATENATE('Cable Info'!T557," - ",'Cable Info'!U557))</f>
        <v>#N/A</v>
      </c>
      <c r="BG853" s="121" t="e">
        <f t="shared" si="165"/>
        <v>#N/A</v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e">
        <f>IF('Cable Info'!R558="","",CONCATENATE('Cable Info'!R558," - ",'Cable Info'!S558))</f>
        <v>#N/A</v>
      </c>
      <c r="BB854" s="121" t="e">
        <f t="shared" si="164"/>
        <v>#N/A</v>
      </c>
      <c r="BD854" s="121" t="e">
        <f>IF('Cable Info'!T558="","",CONCATENATE('Cable Info'!T558," - ",'Cable Info'!U558))</f>
        <v>#N/A</v>
      </c>
      <c r="BG854" s="121" t="e">
        <f t="shared" si="165"/>
        <v>#N/A</v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e">
        <f>IF('Cable Info'!R559="","",CONCATENATE('Cable Info'!R559," - ",'Cable Info'!S559))</f>
        <v>#N/A</v>
      </c>
      <c r="BB855" s="121" t="e">
        <f t="shared" si="164"/>
        <v>#N/A</v>
      </c>
      <c r="BD855" s="121" t="e">
        <f>IF('Cable Info'!T559="","",CONCATENATE('Cable Info'!T559," - ",'Cable Info'!U559))</f>
        <v>#N/A</v>
      </c>
      <c r="BG855" s="121" t="e">
        <f t="shared" si="165"/>
        <v>#N/A</v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e">
        <f>IF('Cable Info'!R560="","",CONCATENATE('Cable Info'!R560," - ",'Cable Info'!S560))</f>
        <v>#N/A</v>
      </c>
      <c r="BB856" s="121" t="e">
        <f t="shared" si="164"/>
        <v>#N/A</v>
      </c>
      <c r="BD856" s="121" t="e">
        <f>IF('Cable Info'!T560="","",CONCATENATE('Cable Info'!T560," - ",'Cable Info'!U560))</f>
        <v>#N/A</v>
      </c>
      <c r="BG856" s="121" t="e">
        <f t="shared" si="165"/>
        <v>#N/A</v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e">
        <f>IF('Cable Info'!R561="","",CONCATENATE('Cable Info'!R561," - ",'Cable Info'!S561))</f>
        <v>#N/A</v>
      </c>
      <c r="BB857" s="121" t="e">
        <f t="shared" si="164"/>
        <v>#N/A</v>
      </c>
      <c r="BD857" s="121" t="e">
        <f>IF('Cable Info'!T561="","",CONCATENATE('Cable Info'!T561," - ",'Cable Info'!U561))</f>
        <v>#N/A</v>
      </c>
      <c r="BG857" s="121" t="e">
        <f t="shared" si="165"/>
        <v>#N/A</v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e">
        <f>IF('Cable Info'!R562="","",CONCATENATE('Cable Info'!R562," - ",'Cable Info'!S562))</f>
        <v>#N/A</v>
      </c>
      <c r="BB858" s="121" t="e">
        <f t="shared" si="164"/>
        <v>#N/A</v>
      </c>
      <c r="BD858" s="121" t="e">
        <f>IF('Cable Info'!T562="","",CONCATENATE('Cable Info'!T562," - ",'Cable Info'!U562))</f>
        <v>#N/A</v>
      </c>
      <c r="BG858" s="121" t="e">
        <f t="shared" si="165"/>
        <v>#N/A</v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e">
        <f>IF('Cable Info'!R563="","",CONCATENATE('Cable Info'!R563," - ",'Cable Info'!S563))</f>
        <v>#N/A</v>
      </c>
      <c r="BB859" s="121" t="e">
        <f t="shared" si="164"/>
        <v>#N/A</v>
      </c>
      <c r="BD859" s="121" t="e">
        <f>IF('Cable Info'!T563="","",CONCATENATE('Cable Info'!T563," - ",'Cable Info'!U563))</f>
        <v>#N/A</v>
      </c>
      <c r="BG859" s="121" t="e">
        <f t="shared" si="165"/>
        <v>#N/A</v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e">
        <f>IF('Cable Info'!R564="","",CONCATENATE('Cable Info'!R564," - ",'Cable Info'!S564))</f>
        <v>#N/A</v>
      </c>
      <c r="BB860" s="121" t="e">
        <f t="shared" si="164"/>
        <v>#N/A</v>
      </c>
      <c r="BD860" s="121" t="e">
        <f>IF('Cable Info'!T564="","",CONCATENATE('Cable Info'!T564," - ",'Cable Info'!U564))</f>
        <v>#N/A</v>
      </c>
      <c r="BG860" s="121" t="e">
        <f t="shared" si="165"/>
        <v>#N/A</v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e">
        <f>IF('Cable Info'!R565="","",CONCATENATE('Cable Info'!R565," - ",'Cable Info'!S565))</f>
        <v>#N/A</v>
      </c>
      <c r="BB861" s="121" t="e">
        <f t="shared" si="164"/>
        <v>#N/A</v>
      </c>
      <c r="BD861" s="121" t="e">
        <f>IF('Cable Info'!T565="","",CONCATENATE('Cable Info'!T565," - ",'Cable Info'!U565))</f>
        <v>#N/A</v>
      </c>
      <c r="BG861" s="121" t="e">
        <f t="shared" si="165"/>
        <v>#N/A</v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e">
        <f>IF('Cable Info'!R566="","",CONCATENATE('Cable Info'!R566," - ",'Cable Info'!S566))</f>
        <v>#N/A</v>
      </c>
      <c r="BB862" s="121" t="e">
        <f t="shared" si="164"/>
        <v>#N/A</v>
      </c>
      <c r="BD862" s="121" t="e">
        <f>IF('Cable Info'!T566="","",CONCATENATE('Cable Info'!T566," - ",'Cable Info'!U566))</f>
        <v>#N/A</v>
      </c>
      <c r="BG862" s="121" t="e">
        <f t="shared" si="165"/>
        <v>#N/A</v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e">
        <f>IF('Cable Info'!R567="","",CONCATENATE('Cable Info'!R567," - ",'Cable Info'!S567))</f>
        <v>#N/A</v>
      </c>
      <c r="BB863" s="121" t="e">
        <f t="shared" si="164"/>
        <v>#N/A</v>
      </c>
      <c r="BD863" s="121" t="e">
        <f>IF('Cable Info'!T567="","",CONCATENATE('Cable Info'!T567," - ",'Cable Info'!U567))</f>
        <v>#N/A</v>
      </c>
      <c r="BG863" s="121" t="e">
        <f t="shared" si="165"/>
        <v>#N/A</v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e">
        <f>IF('Cable Info'!R568="","",CONCATENATE('Cable Info'!R568," - ",'Cable Info'!S568))</f>
        <v>#N/A</v>
      </c>
      <c r="BB864" s="121" t="e">
        <f t="shared" si="164"/>
        <v>#N/A</v>
      </c>
      <c r="BD864" s="121" t="e">
        <f>IF('Cable Info'!T568="","",CONCATENATE('Cable Info'!T568," - ",'Cable Info'!U568))</f>
        <v>#N/A</v>
      </c>
      <c r="BG864" s="121" t="e">
        <f t="shared" si="165"/>
        <v>#N/A</v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e">
        <f>IF('Cable Info'!R569="","",CONCATENATE('Cable Info'!R569," - ",'Cable Info'!S569))</f>
        <v>#N/A</v>
      </c>
      <c r="BB865" s="121" t="e">
        <f t="shared" si="164"/>
        <v>#N/A</v>
      </c>
      <c r="BD865" s="121" t="e">
        <f>IF('Cable Info'!T569="","",CONCATENATE('Cable Info'!T569," - ",'Cable Info'!U569))</f>
        <v>#N/A</v>
      </c>
      <c r="BG865" s="121" t="e">
        <f t="shared" si="165"/>
        <v>#N/A</v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e">
        <f>IF('Cable Info'!R570="","",CONCATENATE('Cable Info'!R570," - ",'Cable Info'!S570))</f>
        <v>#N/A</v>
      </c>
      <c r="BB866" s="121" t="e">
        <f t="shared" si="164"/>
        <v>#N/A</v>
      </c>
      <c r="BD866" s="121" t="e">
        <f>IF('Cable Info'!T570="","",CONCATENATE('Cable Info'!T570," - ",'Cable Info'!U570))</f>
        <v>#N/A</v>
      </c>
      <c r="BG866" s="121" t="e">
        <f t="shared" si="165"/>
        <v>#N/A</v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e">
        <f>IF('Cable Info'!R571="","",CONCATENATE('Cable Info'!R571," - ",'Cable Info'!S571))</f>
        <v>#N/A</v>
      </c>
      <c r="BB867" s="121" t="e">
        <f t="shared" si="164"/>
        <v>#N/A</v>
      </c>
      <c r="BD867" s="121" t="e">
        <f>IF('Cable Info'!T571="","",CONCATENATE('Cable Info'!T571," - ",'Cable Info'!U571))</f>
        <v>#N/A</v>
      </c>
      <c r="BG867" s="121" t="e">
        <f t="shared" si="165"/>
        <v>#N/A</v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e">
        <f>IF('Cable Info'!R572="","",CONCATENATE('Cable Info'!R572," - ",'Cable Info'!S572))</f>
        <v>#N/A</v>
      </c>
      <c r="BB868" s="121" t="e">
        <f t="shared" si="164"/>
        <v>#N/A</v>
      </c>
      <c r="BD868" s="121" t="e">
        <f>IF('Cable Info'!T572="","",CONCATENATE('Cable Info'!T572," - ",'Cable Info'!U572))</f>
        <v>#N/A</v>
      </c>
      <c r="BG868" s="121" t="e">
        <f t="shared" si="165"/>
        <v>#N/A</v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e">
        <f>IF('Cable Info'!R573="","",CONCATENATE('Cable Info'!R573," - ",'Cable Info'!S573))</f>
        <v>#N/A</v>
      </c>
      <c r="BB869" s="121" t="e">
        <f t="shared" si="164"/>
        <v>#N/A</v>
      </c>
      <c r="BD869" s="121" t="e">
        <f>IF('Cable Info'!T573="","",CONCATENATE('Cable Info'!T573," - ",'Cable Info'!U573))</f>
        <v>#N/A</v>
      </c>
      <c r="BG869" s="121" t="e">
        <f t="shared" si="165"/>
        <v>#N/A</v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e">
        <f>IF('Cable Info'!R574="","",CONCATENATE('Cable Info'!R574," - ",'Cable Info'!S574))</f>
        <v>#N/A</v>
      </c>
      <c r="BB870" s="121" t="e">
        <f t="shared" si="164"/>
        <v>#N/A</v>
      </c>
      <c r="BD870" s="121" t="e">
        <f>IF('Cable Info'!T574="","",CONCATENATE('Cable Info'!T574," - ",'Cable Info'!U574))</f>
        <v>#N/A</v>
      </c>
      <c r="BG870" s="121" t="e">
        <f t="shared" si="165"/>
        <v>#N/A</v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e">
        <f>IF('Cable Info'!R575="","",CONCATENATE('Cable Info'!R575," - ",'Cable Info'!S575))</f>
        <v>#N/A</v>
      </c>
      <c r="BB871" s="121" t="e">
        <f t="shared" si="164"/>
        <v>#N/A</v>
      </c>
      <c r="BD871" s="121" t="e">
        <f>IF('Cable Info'!T575="","",CONCATENATE('Cable Info'!T575," - ",'Cable Info'!U575))</f>
        <v>#N/A</v>
      </c>
      <c r="BG871" s="121" t="e">
        <f t="shared" si="165"/>
        <v>#N/A</v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e">
        <f>IF('Cable Info'!R576="","",CONCATENATE('Cable Info'!R576," - ",'Cable Info'!S576))</f>
        <v>#N/A</v>
      </c>
      <c r="BB872" s="121" t="e">
        <f t="shared" si="164"/>
        <v>#N/A</v>
      </c>
      <c r="BD872" s="121" t="e">
        <f>IF('Cable Info'!T576="","",CONCATENATE('Cable Info'!T576," - ",'Cable Info'!U576))</f>
        <v>#N/A</v>
      </c>
      <c r="BG872" s="121" t="e">
        <f t="shared" si="165"/>
        <v>#N/A</v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e">
        <f>IF('Cable Info'!R577="","",CONCATENATE('Cable Info'!R577," - ",'Cable Info'!S577))</f>
        <v>#N/A</v>
      </c>
      <c r="BB873" s="121" t="e">
        <f t="shared" si="164"/>
        <v>#N/A</v>
      </c>
      <c r="BD873" s="121" t="e">
        <f>IF('Cable Info'!T577="","",CONCATENATE('Cable Info'!T577," - ",'Cable Info'!U577))</f>
        <v>#N/A</v>
      </c>
      <c r="BG873" s="121" t="e">
        <f t="shared" si="165"/>
        <v>#N/A</v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e">
        <f>IF('Cable Info'!R578="","",CONCATENATE('Cable Info'!R578," - ",'Cable Info'!S578))</f>
        <v>#N/A</v>
      </c>
      <c r="BB874" s="121" t="e">
        <f t="shared" si="164"/>
        <v>#N/A</v>
      </c>
      <c r="BD874" s="121" t="e">
        <f>IF('Cable Info'!T578="","",CONCATENATE('Cable Info'!T578," - ",'Cable Info'!U578))</f>
        <v>#N/A</v>
      </c>
      <c r="BG874" s="121" t="e">
        <f t="shared" si="165"/>
        <v>#N/A</v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e">
        <f>IF('Cable Info'!R579="","",CONCATENATE('Cable Info'!R579," - ",'Cable Info'!S579))</f>
        <v>#N/A</v>
      </c>
      <c r="BB875" s="121" t="e">
        <f t="shared" ref="BB875:BB938" si="170">IF(AZ875="",AY875,CONCATENATE(AY875,"  &lt;=&gt; ",AZ875," ",BA875))</f>
        <v>#N/A</v>
      </c>
      <c r="BD875" s="121" t="e">
        <f>IF('Cable Info'!T579="","",CONCATENATE('Cable Info'!T579," - ",'Cable Info'!U579))</f>
        <v>#N/A</v>
      </c>
      <c r="BG875" s="121" t="e">
        <f t="shared" ref="BG875:BG938" si="171">IF(BE875="",BD875,CONCATENATE(BD875,"  &lt;=&gt; ",BE875," ",BF875))</f>
        <v>#N/A</v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e">
        <f>IF('Cable Info'!R580="","",CONCATENATE('Cable Info'!R580," - ",'Cable Info'!S580))</f>
        <v>#N/A</v>
      </c>
      <c r="BB876" s="121" t="e">
        <f t="shared" si="170"/>
        <v>#N/A</v>
      </c>
      <c r="BD876" s="121" t="e">
        <f>IF('Cable Info'!T580="","",CONCATENATE('Cable Info'!T580," - ",'Cable Info'!U580))</f>
        <v>#N/A</v>
      </c>
      <c r="BG876" s="121" t="e">
        <f t="shared" si="171"/>
        <v>#N/A</v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e">
        <f>IF('Cable Info'!R581="","",CONCATENATE('Cable Info'!R581," - ",'Cable Info'!S581))</f>
        <v>#N/A</v>
      </c>
      <c r="BB877" s="121" t="e">
        <f t="shared" si="170"/>
        <v>#N/A</v>
      </c>
      <c r="BD877" s="121" t="e">
        <f>IF('Cable Info'!T581="","",CONCATENATE('Cable Info'!T581," - ",'Cable Info'!U581))</f>
        <v>#N/A</v>
      </c>
      <c r="BG877" s="121" t="e">
        <f t="shared" si="171"/>
        <v>#N/A</v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e">
        <f>IF('Cable Info'!R582="","",CONCATENATE('Cable Info'!R582," - ",'Cable Info'!S582))</f>
        <v>#N/A</v>
      </c>
      <c r="BB878" s="121" t="e">
        <f t="shared" si="170"/>
        <v>#N/A</v>
      </c>
      <c r="BD878" s="121" t="e">
        <f>IF('Cable Info'!T582="","",CONCATENATE('Cable Info'!T582," - ",'Cable Info'!U582))</f>
        <v>#N/A</v>
      </c>
      <c r="BG878" s="121" t="e">
        <f t="shared" si="171"/>
        <v>#N/A</v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e">
        <f>IF('Cable Info'!R583="","",CONCATENATE('Cable Info'!R583," - ",'Cable Info'!S583))</f>
        <v>#N/A</v>
      </c>
      <c r="BB879" s="121" t="e">
        <f t="shared" si="170"/>
        <v>#N/A</v>
      </c>
      <c r="BD879" s="121" t="e">
        <f>IF('Cable Info'!T583="","",CONCATENATE('Cable Info'!T583," - ",'Cable Info'!U583))</f>
        <v>#N/A</v>
      </c>
      <c r="BG879" s="121" t="e">
        <f t="shared" si="171"/>
        <v>#N/A</v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e">
        <f>IF('Cable Info'!R584="","",CONCATENATE('Cable Info'!R584," - ",'Cable Info'!S584))</f>
        <v>#N/A</v>
      </c>
      <c r="BB880" s="121" t="e">
        <f t="shared" si="170"/>
        <v>#N/A</v>
      </c>
      <c r="BD880" s="121" t="e">
        <f>IF('Cable Info'!T584="","",CONCATENATE('Cable Info'!T584," - ",'Cable Info'!U584))</f>
        <v>#N/A</v>
      </c>
      <c r="BG880" s="121" t="e">
        <f t="shared" si="171"/>
        <v>#N/A</v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e">
        <f>IF('Cable Info'!R585="","",CONCATENATE('Cable Info'!R585," - ",'Cable Info'!S585))</f>
        <v>#N/A</v>
      </c>
      <c r="BB881" s="121" t="e">
        <f t="shared" si="170"/>
        <v>#N/A</v>
      </c>
      <c r="BD881" s="121" t="e">
        <f>IF('Cable Info'!T585="","",CONCATENATE('Cable Info'!T585," - ",'Cable Info'!U585))</f>
        <v>#N/A</v>
      </c>
      <c r="BG881" s="121" t="e">
        <f t="shared" si="171"/>
        <v>#N/A</v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e">
        <f>IF('Cable Info'!R586="","",CONCATENATE('Cable Info'!R586," - ",'Cable Info'!S586))</f>
        <v>#N/A</v>
      </c>
      <c r="BB882" s="121" t="e">
        <f t="shared" si="170"/>
        <v>#N/A</v>
      </c>
      <c r="BD882" s="121" t="e">
        <f>IF('Cable Info'!T586="","",CONCATENATE('Cable Info'!T586," - ",'Cable Info'!U586))</f>
        <v>#N/A</v>
      </c>
      <c r="BG882" s="121" t="e">
        <f t="shared" si="171"/>
        <v>#N/A</v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e">
        <f>IF('Cable Info'!R587="","",CONCATENATE('Cable Info'!R587," - ",'Cable Info'!S587))</f>
        <v>#N/A</v>
      </c>
      <c r="BB883" s="121" t="e">
        <f t="shared" si="170"/>
        <v>#N/A</v>
      </c>
      <c r="BD883" s="121" t="e">
        <f>IF('Cable Info'!T587="","",CONCATENATE('Cable Info'!T587," - ",'Cable Info'!U587))</f>
        <v>#N/A</v>
      </c>
      <c r="BG883" s="121" t="e">
        <f t="shared" si="171"/>
        <v>#N/A</v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e">
        <f>IF('Cable Info'!R588="","",CONCATENATE('Cable Info'!R588," - ",'Cable Info'!S588))</f>
        <v>#N/A</v>
      </c>
      <c r="BB884" s="121" t="e">
        <f t="shared" si="170"/>
        <v>#N/A</v>
      </c>
      <c r="BD884" s="121" t="e">
        <f>IF('Cable Info'!T588="","",CONCATENATE('Cable Info'!T588," - ",'Cable Info'!U588))</f>
        <v>#N/A</v>
      </c>
      <c r="BG884" s="121" t="e">
        <f t="shared" si="171"/>
        <v>#N/A</v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e">
        <f>IF('Cable Info'!R589="","",CONCATENATE('Cable Info'!R589," - ",'Cable Info'!S589))</f>
        <v>#N/A</v>
      </c>
      <c r="BB885" s="121" t="e">
        <f t="shared" si="170"/>
        <v>#N/A</v>
      </c>
      <c r="BD885" s="121" t="e">
        <f>IF('Cable Info'!T589="","",CONCATENATE('Cable Info'!T589," - ",'Cable Info'!U589))</f>
        <v>#N/A</v>
      </c>
      <c r="BG885" s="121" t="e">
        <f t="shared" si="171"/>
        <v>#N/A</v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e">
        <f>IF('Cable Info'!R590="","",CONCATENATE('Cable Info'!R590," - ",'Cable Info'!S590))</f>
        <v>#N/A</v>
      </c>
      <c r="BB886" s="121" t="e">
        <f t="shared" si="170"/>
        <v>#N/A</v>
      </c>
      <c r="BD886" s="121" t="e">
        <f>IF('Cable Info'!T590="","",CONCATENATE('Cable Info'!T590," - ",'Cable Info'!U590))</f>
        <v>#N/A</v>
      </c>
      <c r="BG886" s="121" t="e">
        <f t="shared" si="171"/>
        <v>#N/A</v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e">
        <f>IF('Cable Info'!R591="","",CONCATENATE('Cable Info'!R591," - ",'Cable Info'!S591))</f>
        <v>#N/A</v>
      </c>
      <c r="BB887" s="121" t="e">
        <f t="shared" si="170"/>
        <v>#N/A</v>
      </c>
      <c r="BD887" s="121" t="e">
        <f>IF('Cable Info'!T591="","",CONCATENATE('Cable Info'!T591," - ",'Cable Info'!U591))</f>
        <v>#N/A</v>
      </c>
      <c r="BG887" s="121" t="e">
        <f t="shared" si="171"/>
        <v>#N/A</v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e">
        <f>IF('Cable Info'!R592="","",CONCATENATE('Cable Info'!R592," - ",'Cable Info'!S592))</f>
        <v>#N/A</v>
      </c>
      <c r="BB888" s="121" t="e">
        <f t="shared" si="170"/>
        <v>#N/A</v>
      </c>
      <c r="BD888" s="121" t="e">
        <f>IF('Cable Info'!T592="","",CONCATENATE('Cable Info'!T592," - ",'Cable Info'!U592))</f>
        <v>#N/A</v>
      </c>
      <c r="BG888" s="121" t="e">
        <f t="shared" si="171"/>
        <v>#N/A</v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e">
        <f>IF('Cable Info'!R593="","",CONCATENATE('Cable Info'!R593," - ",'Cable Info'!S593))</f>
        <v>#N/A</v>
      </c>
      <c r="BB889" s="121" t="e">
        <f t="shared" si="170"/>
        <v>#N/A</v>
      </c>
      <c r="BD889" s="121" t="e">
        <f>IF('Cable Info'!T593="","",CONCATENATE('Cable Info'!T593," - ",'Cable Info'!U593))</f>
        <v>#N/A</v>
      </c>
      <c r="BG889" s="121" t="e">
        <f t="shared" si="171"/>
        <v>#N/A</v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e">
        <f>IF('Cable Info'!R594="","",CONCATENATE('Cable Info'!R594," - ",'Cable Info'!S594))</f>
        <v>#N/A</v>
      </c>
      <c r="BB890" s="121" t="e">
        <f t="shared" si="170"/>
        <v>#N/A</v>
      </c>
      <c r="BD890" s="121" t="e">
        <f>IF('Cable Info'!T594="","",CONCATENATE('Cable Info'!T594," - ",'Cable Info'!U594))</f>
        <v>#N/A</v>
      </c>
      <c r="BG890" s="121" t="e">
        <f t="shared" si="171"/>
        <v>#N/A</v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e">
        <f>IF('Cable Info'!R595="","",CONCATENATE('Cable Info'!R595," - ",'Cable Info'!S595))</f>
        <v>#N/A</v>
      </c>
      <c r="BB891" s="121" t="e">
        <f t="shared" si="170"/>
        <v>#N/A</v>
      </c>
      <c r="BD891" s="121" t="e">
        <f>IF('Cable Info'!T595="","",CONCATENATE('Cable Info'!T595," - ",'Cable Info'!U595))</f>
        <v>#N/A</v>
      </c>
      <c r="BG891" s="121" t="e">
        <f t="shared" si="171"/>
        <v>#N/A</v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e">
        <f>IF('Cable Info'!R596="","",CONCATENATE('Cable Info'!R596," - ",'Cable Info'!S596))</f>
        <v>#N/A</v>
      </c>
      <c r="BB892" s="121" t="e">
        <f t="shared" si="170"/>
        <v>#N/A</v>
      </c>
      <c r="BD892" s="121" t="e">
        <f>IF('Cable Info'!T596="","",CONCATENATE('Cable Info'!T596," - ",'Cable Info'!U596))</f>
        <v>#N/A</v>
      </c>
      <c r="BG892" s="121" t="e">
        <f t="shared" si="171"/>
        <v>#N/A</v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e">
        <f>IF('Cable Info'!R597="","",CONCATENATE('Cable Info'!R597," - ",'Cable Info'!S597))</f>
        <v>#N/A</v>
      </c>
      <c r="BB893" s="121" t="e">
        <f t="shared" si="170"/>
        <v>#N/A</v>
      </c>
      <c r="BD893" s="121" t="e">
        <f>IF('Cable Info'!T597="","",CONCATENATE('Cable Info'!T597," - ",'Cable Info'!U597))</f>
        <v>#N/A</v>
      </c>
      <c r="BG893" s="121" t="e">
        <f t="shared" si="171"/>
        <v>#N/A</v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e">
        <f>IF('Cable Info'!R598="","",CONCATENATE('Cable Info'!R598," - ",'Cable Info'!S598))</f>
        <v>#N/A</v>
      </c>
      <c r="BB894" s="121" t="e">
        <f t="shared" si="170"/>
        <v>#N/A</v>
      </c>
      <c r="BD894" s="121" t="e">
        <f>IF('Cable Info'!T598="","",CONCATENATE('Cable Info'!T598," - ",'Cable Info'!U598))</f>
        <v>#N/A</v>
      </c>
      <c r="BG894" s="121" t="e">
        <f t="shared" si="171"/>
        <v>#N/A</v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e">
        <f>IF('Cable Info'!R599="","",CONCATENATE('Cable Info'!R599," - ",'Cable Info'!S599))</f>
        <v>#N/A</v>
      </c>
      <c r="BB895" s="121" t="e">
        <f t="shared" si="170"/>
        <v>#N/A</v>
      </c>
      <c r="BD895" s="121" t="e">
        <f>IF('Cable Info'!T599="","",CONCATENATE('Cable Info'!T599," - ",'Cable Info'!U599))</f>
        <v>#N/A</v>
      </c>
      <c r="BG895" s="121" t="e">
        <f t="shared" si="171"/>
        <v>#N/A</v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e">
        <f>IF('Cable Info'!R600="","",CONCATENATE('Cable Info'!R600," - ",'Cable Info'!S600))</f>
        <v>#N/A</v>
      </c>
      <c r="BB896" s="121" t="e">
        <f t="shared" si="170"/>
        <v>#N/A</v>
      </c>
      <c r="BD896" s="121" t="e">
        <f>IF('Cable Info'!T600="","",CONCATENATE('Cable Info'!T600," - ",'Cable Info'!U600))</f>
        <v>#N/A</v>
      </c>
      <c r="BG896" s="121" t="e">
        <f t="shared" si="171"/>
        <v>#N/A</v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e">
        <f>IF('Cable Info'!R601="","",CONCATENATE('Cable Info'!R601," - ",'Cable Info'!S601))</f>
        <v>#N/A</v>
      </c>
      <c r="BB897" s="121" t="e">
        <f t="shared" si="170"/>
        <v>#N/A</v>
      </c>
      <c r="BD897" s="121" t="e">
        <f>IF('Cable Info'!T601="","",CONCATENATE('Cable Info'!T601," - ",'Cable Info'!U601))</f>
        <v>#N/A</v>
      </c>
      <c r="BG897" s="121" t="e">
        <f t="shared" si="171"/>
        <v>#N/A</v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e">
        <f>IF('Cable Info'!R602="","",CONCATENATE('Cable Info'!R602," - ",'Cable Info'!S602))</f>
        <v>#N/A</v>
      </c>
      <c r="BB898" s="121" t="e">
        <f t="shared" si="170"/>
        <v>#N/A</v>
      </c>
      <c r="BD898" s="121" t="e">
        <f>IF('Cable Info'!T602="","",CONCATENATE('Cable Info'!T602," - ",'Cable Info'!U602))</f>
        <v>#N/A</v>
      </c>
      <c r="BG898" s="121" t="e">
        <f t="shared" si="171"/>
        <v>#N/A</v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e">
        <f>IF('Cable Info'!R603="","",CONCATENATE('Cable Info'!R603," - ",'Cable Info'!S603))</f>
        <v>#N/A</v>
      </c>
      <c r="BB899" s="121" t="e">
        <f t="shared" si="170"/>
        <v>#N/A</v>
      </c>
      <c r="BD899" s="121" t="e">
        <f>IF('Cable Info'!T603="","",CONCATENATE('Cable Info'!T603," - ",'Cable Info'!U603))</f>
        <v>#N/A</v>
      </c>
      <c r="BG899" s="121" t="e">
        <f t="shared" si="171"/>
        <v>#N/A</v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e">
        <f>IF('Cable Info'!R604="","",CONCATENATE('Cable Info'!R604," - ",'Cable Info'!S604))</f>
        <v>#N/A</v>
      </c>
      <c r="BB900" s="121" t="e">
        <f t="shared" si="170"/>
        <v>#N/A</v>
      </c>
      <c r="BD900" s="121" t="e">
        <f>IF('Cable Info'!T604="","",CONCATENATE('Cable Info'!T604," - ",'Cable Info'!U604))</f>
        <v>#N/A</v>
      </c>
      <c r="BG900" s="121" t="e">
        <f t="shared" si="171"/>
        <v>#N/A</v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e">
        <f>IF('Cable Info'!R605="","",CONCATENATE('Cable Info'!R605," - ",'Cable Info'!S605))</f>
        <v>#N/A</v>
      </c>
      <c r="BB901" s="121" t="e">
        <f t="shared" si="170"/>
        <v>#N/A</v>
      </c>
      <c r="BD901" s="121" t="e">
        <f>IF('Cable Info'!T605="","",CONCATENATE('Cable Info'!T605," - ",'Cable Info'!U605))</f>
        <v>#N/A</v>
      </c>
      <c r="BG901" s="121" t="e">
        <f t="shared" si="171"/>
        <v>#N/A</v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e">
        <f>IF('Cable Info'!R606="","",CONCATENATE('Cable Info'!R606," - ",'Cable Info'!S606))</f>
        <v>#N/A</v>
      </c>
      <c r="BB902" s="121" t="e">
        <f t="shared" si="170"/>
        <v>#N/A</v>
      </c>
      <c r="BD902" s="121" t="e">
        <f>IF('Cable Info'!T606="","",CONCATENATE('Cable Info'!T606," - ",'Cable Info'!U606))</f>
        <v>#N/A</v>
      </c>
      <c r="BG902" s="121" t="e">
        <f t="shared" si="171"/>
        <v>#N/A</v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e">
        <f>IF('Cable Info'!R607="","",CONCATENATE('Cable Info'!R607," - ",'Cable Info'!S607))</f>
        <v>#N/A</v>
      </c>
      <c r="BB903" s="121" t="e">
        <f t="shared" si="170"/>
        <v>#N/A</v>
      </c>
      <c r="BD903" s="121" t="e">
        <f>IF('Cable Info'!T607="","",CONCATENATE('Cable Info'!T607," - ",'Cable Info'!U607))</f>
        <v>#N/A</v>
      </c>
      <c r="BG903" s="121" t="e">
        <f t="shared" si="171"/>
        <v>#N/A</v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e">
        <f>IF('Cable Info'!R608="","",CONCATENATE('Cable Info'!R608," - ",'Cable Info'!S608))</f>
        <v>#N/A</v>
      </c>
      <c r="BB904" s="121" t="e">
        <f t="shared" si="170"/>
        <v>#N/A</v>
      </c>
      <c r="BD904" s="121" t="e">
        <f>IF('Cable Info'!T608="","",CONCATENATE('Cable Info'!T608," - ",'Cable Info'!U608))</f>
        <v>#N/A</v>
      </c>
      <c r="BG904" s="121" t="e">
        <f t="shared" si="171"/>
        <v>#N/A</v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e">
        <f>IF('Cable Info'!R609="","",CONCATENATE('Cable Info'!R609," - ",'Cable Info'!S609))</f>
        <v>#N/A</v>
      </c>
      <c r="BB905" s="121" t="e">
        <f t="shared" si="170"/>
        <v>#N/A</v>
      </c>
      <c r="BD905" s="121" t="e">
        <f>IF('Cable Info'!T609="","",CONCATENATE('Cable Info'!T609," - ",'Cable Info'!U609))</f>
        <v>#N/A</v>
      </c>
      <c r="BG905" s="121" t="e">
        <f t="shared" si="171"/>
        <v>#N/A</v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e">
        <f>IF('Cable Info'!R610="","",CONCATENATE('Cable Info'!R610," - ",'Cable Info'!S610))</f>
        <v>#N/A</v>
      </c>
      <c r="BB906" s="121" t="e">
        <f t="shared" si="170"/>
        <v>#N/A</v>
      </c>
      <c r="BD906" s="121" t="e">
        <f>IF('Cable Info'!T610="","",CONCATENATE('Cable Info'!T610," - ",'Cable Info'!U610))</f>
        <v>#N/A</v>
      </c>
      <c r="BG906" s="121" t="e">
        <f t="shared" si="171"/>
        <v>#N/A</v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e">
        <f>IF('Cable Info'!R611="","",CONCATENATE('Cable Info'!R611," - ",'Cable Info'!S611))</f>
        <v>#N/A</v>
      </c>
      <c r="BB907" s="121" t="e">
        <f t="shared" si="170"/>
        <v>#N/A</v>
      </c>
      <c r="BD907" s="121" t="e">
        <f>IF('Cable Info'!T611="","",CONCATENATE('Cable Info'!T611," - ",'Cable Info'!U611))</f>
        <v>#N/A</v>
      </c>
      <c r="BG907" s="121" t="e">
        <f t="shared" si="171"/>
        <v>#N/A</v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e">
        <f>IF('Cable Info'!R612="","",CONCATENATE('Cable Info'!R612," - ",'Cable Info'!S612))</f>
        <v>#N/A</v>
      </c>
      <c r="BB908" s="121" t="e">
        <f t="shared" si="170"/>
        <v>#N/A</v>
      </c>
      <c r="BD908" s="121" t="e">
        <f>IF('Cable Info'!T612="","",CONCATENATE('Cable Info'!T612," - ",'Cable Info'!U612))</f>
        <v>#N/A</v>
      </c>
      <c r="BG908" s="121" t="e">
        <f t="shared" si="171"/>
        <v>#N/A</v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e">
        <f>IF('Cable Info'!R613="","",CONCATENATE('Cable Info'!R613," - ",'Cable Info'!S613))</f>
        <v>#N/A</v>
      </c>
      <c r="BB909" s="121" t="e">
        <f t="shared" si="170"/>
        <v>#N/A</v>
      </c>
      <c r="BD909" s="121" t="e">
        <f>IF('Cable Info'!T613="","",CONCATENATE('Cable Info'!T613," - ",'Cable Info'!U613))</f>
        <v>#N/A</v>
      </c>
      <c r="BG909" s="121" t="e">
        <f t="shared" si="171"/>
        <v>#N/A</v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e">
        <f>IF('Cable Info'!R614="","",CONCATENATE('Cable Info'!R614," - ",'Cable Info'!S614))</f>
        <v>#N/A</v>
      </c>
      <c r="BB910" s="121" t="e">
        <f t="shared" si="170"/>
        <v>#N/A</v>
      </c>
      <c r="BD910" s="121" t="e">
        <f>IF('Cable Info'!T614="","",CONCATENATE('Cable Info'!T614," - ",'Cable Info'!U614))</f>
        <v>#N/A</v>
      </c>
      <c r="BG910" s="121" t="e">
        <f t="shared" si="171"/>
        <v>#N/A</v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e">
        <f>IF('Cable Info'!R615="","",CONCATENATE('Cable Info'!R615," - ",'Cable Info'!S615))</f>
        <v>#N/A</v>
      </c>
      <c r="BB911" s="121" t="e">
        <f t="shared" si="170"/>
        <v>#N/A</v>
      </c>
      <c r="BD911" s="121" t="e">
        <f>IF('Cable Info'!T615="","",CONCATENATE('Cable Info'!T615," - ",'Cable Info'!U615))</f>
        <v>#N/A</v>
      </c>
      <c r="BG911" s="121" t="e">
        <f t="shared" si="171"/>
        <v>#N/A</v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e">
        <f>IF('Cable Info'!R616="","",CONCATENATE('Cable Info'!R616," - ",'Cable Info'!S616))</f>
        <v>#N/A</v>
      </c>
      <c r="BB912" s="121" t="e">
        <f t="shared" si="170"/>
        <v>#N/A</v>
      </c>
      <c r="BD912" s="121" t="e">
        <f>IF('Cable Info'!T616="","",CONCATENATE('Cable Info'!T616," - ",'Cable Info'!U616))</f>
        <v>#N/A</v>
      </c>
      <c r="BG912" s="121" t="e">
        <f t="shared" si="171"/>
        <v>#N/A</v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e">
        <f>IF('Cable Info'!R617="","",CONCATENATE('Cable Info'!R617," - ",'Cable Info'!S617))</f>
        <v>#N/A</v>
      </c>
      <c r="BB913" s="121" t="e">
        <f t="shared" si="170"/>
        <v>#N/A</v>
      </c>
      <c r="BD913" s="121" t="e">
        <f>IF('Cable Info'!T617="","",CONCATENATE('Cable Info'!T617," - ",'Cable Info'!U617))</f>
        <v>#N/A</v>
      </c>
      <c r="BG913" s="121" t="e">
        <f t="shared" si="171"/>
        <v>#N/A</v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e">
        <f>IF('Cable Info'!R618="","",CONCATENATE('Cable Info'!R618," - ",'Cable Info'!S618))</f>
        <v>#N/A</v>
      </c>
      <c r="BB914" s="121" t="e">
        <f t="shared" si="170"/>
        <v>#N/A</v>
      </c>
      <c r="BD914" s="121" t="e">
        <f>IF('Cable Info'!T618="","",CONCATENATE('Cable Info'!T618," - ",'Cable Info'!U618))</f>
        <v>#N/A</v>
      </c>
      <c r="BG914" s="121" t="e">
        <f t="shared" si="171"/>
        <v>#N/A</v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e">
        <f>IF('Cable Info'!R619="","",CONCATENATE('Cable Info'!R619," - ",'Cable Info'!S619))</f>
        <v>#N/A</v>
      </c>
      <c r="BB915" s="121" t="e">
        <f t="shared" si="170"/>
        <v>#N/A</v>
      </c>
      <c r="BD915" s="121" t="e">
        <f>IF('Cable Info'!T619="","",CONCATENATE('Cable Info'!T619," - ",'Cable Info'!U619))</f>
        <v>#N/A</v>
      </c>
      <c r="BG915" s="121" t="e">
        <f t="shared" si="171"/>
        <v>#N/A</v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e">
        <f>IF('Cable Info'!R620="","",CONCATENATE('Cable Info'!R620," - ",'Cable Info'!S620))</f>
        <v>#N/A</v>
      </c>
      <c r="BB916" s="121" t="e">
        <f t="shared" si="170"/>
        <v>#N/A</v>
      </c>
      <c r="BD916" s="121" t="e">
        <f>IF('Cable Info'!T620="","",CONCATENATE('Cable Info'!T620," - ",'Cable Info'!U620))</f>
        <v>#N/A</v>
      </c>
      <c r="BG916" s="121" t="e">
        <f t="shared" si="171"/>
        <v>#N/A</v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e">
        <f>IF('Cable Info'!R621="","",CONCATENATE('Cable Info'!R621," - ",'Cable Info'!S621))</f>
        <v>#N/A</v>
      </c>
      <c r="BB917" s="121" t="e">
        <f t="shared" si="170"/>
        <v>#N/A</v>
      </c>
      <c r="BD917" s="121" t="e">
        <f>IF('Cable Info'!T621="","",CONCATENATE('Cable Info'!T621," - ",'Cable Info'!U621))</f>
        <v>#N/A</v>
      </c>
      <c r="BG917" s="121" t="e">
        <f t="shared" si="171"/>
        <v>#N/A</v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e">
        <f>IF('Cable Info'!R622="","",CONCATENATE('Cable Info'!R622," - ",'Cable Info'!S622))</f>
        <v>#N/A</v>
      </c>
      <c r="BB918" s="121" t="e">
        <f t="shared" si="170"/>
        <v>#N/A</v>
      </c>
      <c r="BD918" s="121" t="e">
        <f>IF('Cable Info'!T622="","",CONCATENATE('Cable Info'!T622," - ",'Cable Info'!U622))</f>
        <v>#N/A</v>
      </c>
      <c r="BG918" s="121" t="e">
        <f t="shared" si="171"/>
        <v>#N/A</v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e">
        <f>IF('Cable Info'!R623="","",CONCATENATE('Cable Info'!R623," - ",'Cable Info'!S623))</f>
        <v>#N/A</v>
      </c>
      <c r="BB919" s="121" t="e">
        <f t="shared" si="170"/>
        <v>#N/A</v>
      </c>
      <c r="BD919" s="121" t="e">
        <f>IF('Cable Info'!T623="","",CONCATENATE('Cable Info'!T623," - ",'Cable Info'!U623))</f>
        <v>#N/A</v>
      </c>
      <c r="BG919" s="121" t="e">
        <f t="shared" si="171"/>
        <v>#N/A</v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e">
        <f>IF('Cable Info'!R624="","",CONCATENATE('Cable Info'!R624," - ",'Cable Info'!S624))</f>
        <v>#N/A</v>
      </c>
      <c r="BB920" s="121" t="e">
        <f t="shared" si="170"/>
        <v>#N/A</v>
      </c>
      <c r="BD920" s="121" t="e">
        <f>IF('Cable Info'!T624="","",CONCATENATE('Cable Info'!T624," - ",'Cable Info'!U624))</f>
        <v>#N/A</v>
      </c>
      <c r="BG920" s="121" t="e">
        <f t="shared" si="171"/>
        <v>#N/A</v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e">
        <f>IF('Cable Info'!R625="","",CONCATENATE('Cable Info'!R625," - ",'Cable Info'!S625))</f>
        <v>#N/A</v>
      </c>
      <c r="BB921" s="121" t="e">
        <f t="shared" si="170"/>
        <v>#N/A</v>
      </c>
      <c r="BD921" s="121" t="e">
        <f>IF('Cable Info'!T625="","",CONCATENATE('Cable Info'!T625," - ",'Cable Info'!U625))</f>
        <v>#N/A</v>
      </c>
      <c r="BG921" s="121" t="e">
        <f t="shared" si="171"/>
        <v>#N/A</v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e">
        <f>IF('Cable Info'!R626="","",CONCATENATE('Cable Info'!R626," - ",'Cable Info'!S626))</f>
        <v>#N/A</v>
      </c>
      <c r="BB922" s="121" t="e">
        <f t="shared" si="170"/>
        <v>#N/A</v>
      </c>
      <c r="BD922" s="121" t="e">
        <f>IF('Cable Info'!T626="","",CONCATENATE('Cable Info'!T626," - ",'Cable Info'!U626))</f>
        <v>#N/A</v>
      </c>
      <c r="BG922" s="121" t="e">
        <f t="shared" si="171"/>
        <v>#N/A</v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e">
        <f>IF('Cable Info'!R627="","",CONCATENATE('Cable Info'!R627," - ",'Cable Info'!S627))</f>
        <v>#N/A</v>
      </c>
      <c r="BB923" s="121" t="e">
        <f t="shared" si="170"/>
        <v>#N/A</v>
      </c>
      <c r="BD923" s="121" t="e">
        <f>IF('Cable Info'!T627="","",CONCATENATE('Cable Info'!T627," - ",'Cable Info'!U627))</f>
        <v>#N/A</v>
      </c>
      <c r="BG923" s="121" t="e">
        <f t="shared" si="171"/>
        <v>#N/A</v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e">
        <f>IF('Cable Info'!R628="","",CONCATENATE('Cable Info'!R628," - ",'Cable Info'!S628))</f>
        <v>#N/A</v>
      </c>
      <c r="BB924" s="121" t="e">
        <f t="shared" si="170"/>
        <v>#N/A</v>
      </c>
      <c r="BD924" s="121" t="e">
        <f>IF('Cable Info'!T628="","",CONCATENATE('Cable Info'!T628," - ",'Cable Info'!U628))</f>
        <v>#N/A</v>
      </c>
      <c r="BG924" s="121" t="e">
        <f t="shared" si="171"/>
        <v>#N/A</v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e">
        <f>IF('Cable Info'!R629="","",CONCATENATE('Cable Info'!R629," - ",'Cable Info'!S629))</f>
        <v>#N/A</v>
      </c>
      <c r="BB925" s="121" t="e">
        <f t="shared" si="170"/>
        <v>#N/A</v>
      </c>
      <c r="BD925" s="121" t="e">
        <f>IF('Cable Info'!T629="","",CONCATENATE('Cable Info'!T629," - ",'Cable Info'!U629))</f>
        <v>#N/A</v>
      </c>
      <c r="BG925" s="121" t="e">
        <f t="shared" si="171"/>
        <v>#N/A</v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e">
        <f>IF('Cable Info'!R630="","",CONCATENATE('Cable Info'!R630," - ",'Cable Info'!S630))</f>
        <v>#N/A</v>
      </c>
      <c r="BB926" s="121" t="e">
        <f t="shared" si="170"/>
        <v>#N/A</v>
      </c>
      <c r="BD926" s="121" t="e">
        <f>IF('Cable Info'!T630="","",CONCATENATE('Cable Info'!T630," - ",'Cable Info'!U630))</f>
        <v>#N/A</v>
      </c>
      <c r="BG926" s="121" t="e">
        <f t="shared" si="171"/>
        <v>#N/A</v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e">
        <f>IF('Cable Info'!R631="","",CONCATENATE('Cable Info'!R631," - ",'Cable Info'!S631))</f>
        <v>#N/A</v>
      </c>
      <c r="BB927" s="121" t="e">
        <f t="shared" si="170"/>
        <v>#N/A</v>
      </c>
      <c r="BD927" s="121" t="e">
        <f>IF('Cable Info'!T631="","",CONCATENATE('Cable Info'!T631," - ",'Cable Info'!U631))</f>
        <v>#N/A</v>
      </c>
      <c r="BG927" s="121" t="e">
        <f t="shared" si="171"/>
        <v>#N/A</v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e">
        <f>IF('Cable Info'!R632="","",CONCATENATE('Cable Info'!R632," - ",'Cable Info'!S632))</f>
        <v>#N/A</v>
      </c>
      <c r="BB928" s="121" t="e">
        <f t="shared" si="170"/>
        <v>#N/A</v>
      </c>
      <c r="BD928" s="121" t="e">
        <f>IF('Cable Info'!T632="","",CONCATENATE('Cable Info'!T632," - ",'Cable Info'!U632))</f>
        <v>#N/A</v>
      </c>
      <c r="BG928" s="121" t="e">
        <f t="shared" si="171"/>
        <v>#N/A</v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e">
        <f>IF('Cable Info'!R633="","",CONCATENATE('Cable Info'!R633," - ",'Cable Info'!S633))</f>
        <v>#N/A</v>
      </c>
      <c r="BB929" s="121" t="e">
        <f t="shared" si="170"/>
        <v>#N/A</v>
      </c>
      <c r="BD929" s="121" t="e">
        <f>IF('Cable Info'!T633="","",CONCATENATE('Cable Info'!T633," - ",'Cable Info'!U633))</f>
        <v>#N/A</v>
      </c>
      <c r="BG929" s="121" t="e">
        <f t="shared" si="171"/>
        <v>#N/A</v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e">
        <f>IF('Cable Info'!R634="","",CONCATENATE('Cable Info'!R634," - ",'Cable Info'!S634))</f>
        <v>#N/A</v>
      </c>
      <c r="BB930" s="121" t="e">
        <f t="shared" si="170"/>
        <v>#N/A</v>
      </c>
      <c r="BD930" s="121" t="e">
        <f>IF('Cable Info'!T634="","",CONCATENATE('Cable Info'!T634," - ",'Cable Info'!U634))</f>
        <v>#N/A</v>
      </c>
      <c r="BG930" s="121" t="e">
        <f t="shared" si="171"/>
        <v>#N/A</v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e">
        <f>IF('Cable Info'!R635="","",CONCATENATE('Cable Info'!R635," - ",'Cable Info'!S635))</f>
        <v>#N/A</v>
      </c>
      <c r="BB931" s="121" t="e">
        <f t="shared" si="170"/>
        <v>#N/A</v>
      </c>
      <c r="BD931" s="121" t="e">
        <f>IF('Cable Info'!T635="","",CONCATENATE('Cable Info'!T635," - ",'Cable Info'!U635))</f>
        <v>#N/A</v>
      </c>
      <c r="BG931" s="121" t="e">
        <f t="shared" si="171"/>
        <v>#N/A</v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e">
        <f>IF('Cable Info'!R636="","",CONCATENATE('Cable Info'!R636," - ",'Cable Info'!S636))</f>
        <v>#N/A</v>
      </c>
      <c r="BB932" s="121" t="e">
        <f t="shared" si="170"/>
        <v>#N/A</v>
      </c>
      <c r="BD932" s="121" t="e">
        <f>IF('Cable Info'!T636="","",CONCATENATE('Cable Info'!T636," - ",'Cable Info'!U636))</f>
        <v>#N/A</v>
      </c>
      <c r="BG932" s="121" t="e">
        <f t="shared" si="171"/>
        <v>#N/A</v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e">
        <f>IF('Cable Info'!R637="","",CONCATENATE('Cable Info'!R637," - ",'Cable Info'!S637))</f>
        <v>#N/A</v>
      </c>
      <c r="BB933" s="121" t="e">
        <f t="shared" si="170"/>
        <v>#N/A</v>
      </c>
      <c r="BD933" s="121" t="e">
        <f>IF('Cable Info'!T637="","",CONCATENATE('Cable Info'!T637," - ",'Cable Info'!U637))</f>
        <v>#N/A</v>
      </c>
      <c r="BG933" s="121" t="e">
        <f t="shared" si="171"/>
        <v>#N/A</v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e">
        <f>IF('Cable Info'!R638="","",CONCATENATE('Cable Info'!R638," - ",'Cable Info'!S638))</f>
        <v>#N/A</v>
      </c>
      <c r="BB934" s="121" t="e">
        <f t="shared" si="170"/>
        <v>#N/A</v>
      </c>
      <c r="BD934" s="121" t="e">
        <f>IF('Cable Info'!T638="","",CONCATENATE('Cable Info'!T638," - ",'Cable Info'!U638))</f>
        <v>#N/A</v>
      </c>
      <c r="BG934" s="121" t="e">
        <f t="shared" si="171"/>
        <v>#N/A</v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e">
        <f>IF('Cable Info'!R639="","",CONCATENATE('Cable Info'!R639," - ",'Cable Info'!S639))</f>
        <v>#N/A</v>
      </c>
      <c r="BB935" s="121" t="e">
        <f t="shared" si="170"/>
        <v>#N/A</v>
      </c>
      <c r="BD935" s="121" t="e">
        <f>IF('Cable Info'!T639="","",CONCATENATE('Cable Info'!T639," - ",'Cable Info'!U639))</f>
        <v>#N/A</v>
      </c>
      <c r="BG935" s="121" t="e">
        <f t="shared" si="171"/>
        <v>#N/A</v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e">
        <f>IF('Cable Info'!R640="","",CONCATENATE('Cable Info'!R640," - ",'Cable Info'!S640))</f>
        <v>#N/A</v>
      </c>
      <c r="BB936" s="121" t="e">
        <f t="shared" si="170"/>
        <v>#N/A</v>
      </c>
      <c r="BD936" s="121" t="e">
        <f>IF('Cable Info'!T640="","",CONCATENATE('Cable Info'!T640," - ",'Cable Info'!U640))</f>
        <v>#N/A</v>
      </c>
      <c r="BG936" s="121" t="e">
        <f t="shared" si="171"/>
        <v>#N/A</v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e">
        <f>IF('Cable Info'!R641="","",CONCATENATE('Cable Info'!R641," - ",'Cable Info'!S641))</f>
        <v>#N/A</v>
      </c>
      <c r="BB937" s="121" t="e">
        <f t="shared" si="170"/>
        <v>#N/A</v>
      </c>
      <c r="BD937" s="121" t="e">
        <f>IF('Cable Info'!T641="","",CONCATENATE('Cable Info'!T641," - ",'Cable Info'!U641))</f>
        <v>#N/A</v>
      </c>
      <c r="BG937" s="121" t="e">
        <f t="shared" si="171"/>
        <v>#N/A</v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e">
        <f>IF('Cable Info'!R642="","",CONCATENATE('Cable Info'!R642," - ",'Cable Info'!S642))</f>
        <v>#N/A</v>
      </c>
      <c r="BB938" s="121" t="e">
        <f t="shared" si="170"/>
        <v>#N/A</v>
      </c>
      <c r="BD938" s="121" t="e">
        <f>IF('Cable Info'!T642="","",CONCATENATE('Cable Info'!T642," - ",'Cable Info'!U642))</f>
        <v>#N/A</v>
      </c>
      <c r="BG938" s="121" t="e">
        <f t="shared" si="171"/>
        <v>#N/A</v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e">
        <f>IF('Cable Info'!R643="","",CONCATENATE('Cable Info'!R643," - ",'Cable Info'!S643))</f>
        <v>#N/A</v>
      </c>
      <c r="BB939" s="121" t="e">
        <f t="shared" ref="BB939:BB1002" si="176">IF(AZ939="",AY939,CONCATENATE(AY939,"  &lt;=&gt; ",AZ939," ",BA939))</f>
        <v>#N/A</v>
      </c>
      <c r="BD939" s="121" t="e">
        <f>IF('Cable Info'!T643="","",CONCATENATE('Cable Info'!T643," - ",'Cable Info'!U643))</f>
        <v>#N/A</v>
      </c>
      <c r="BG939" s="121" t="e">
        <f t="shared" ref="BG939:BG1002" si="177">IF(BE939="",BD939,CONCATENATE(BD939,"  &lt;=&gt; ",BE939," ",BF939))</f>
        <v>#N/A</v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e">
        <f>IF('Cable Info'!R644="","",CONCATENATE('Cable Info'!R644," - ",'Cable Info'!S644))</f>
        <v>#N/A</v>
      </c>
      <c r="BB940" s="121" t="e">
        <f t="shared" si="176"/>
        <v>#N/A</v>
      </c>
      <c r="BD940" s="121" t="e">
        <f>IF('Cable Info'!T644="","",CONCATENATE('Cable Info'!T644," - ",'Cable Info'!U644))</f>
        <v>#N/A</v>
      </c>
      <c r="BG940" s="121" t="e">
        <f t="shared" si="177"/>
        <v>#N/A</v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e">
        <f>IF('Cable Info'!R645="","",CONCATENATE('Cable Info'!R645," - ",'Cable Info'!S645))</f>
        <v>#N/A</v>
      </c>
      <c r="BB941" s="121" t="e">
        <f t="shared" si="176"/>
        <v>#N/A</v>
      </c>
      <c r="BD941" s="121" t="e">
        <f>IF('Cable Info'!T645="","",CONCATENATE('Cable Info'!T645," - ",'Cable Info'!U645))</f>
        <v>#N/A</v>
      </c>
      <c r="BG941" s="121" t="e">
        <f t="shared" si="177"/>
        <v>#N/A</v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e">
        <f>IF('Cable Info'!R646="","",CONCATENATE('Cable Info'!R646," - ",'Cable Info'!S646))</f>
        <v>#N/A</v>
      </c>
      <c r="BB942" s="121" t="e">
        <f t="shared" si="176"/>
        <v>#N/A</v>
      </c>
      <c r="BD942" s="121" t="e">
        <f>IF('Cable Info'!T646="","",CONCATENATE('Cable Info'!T646," - ",'Cable Info'!U646))</f>
        <v>#N/A</v>
      </c>
      <c r="BG942" s="121" t="e">
        <f t="shared" si="177"/>
        <v>#N/A</v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e">
        <f>IF('Cable Info'!R647="","",CONCATENATE('Cable Info'!R647," - ",'Cable Info'!S647))</f>
        <v>#N/A</v>
      </c>
      <c r="BB943" s="121" t="e">
        <f t="shared" si="176"/>
        <v>#N/A</v>
      </c>
      <c r="BD943" s="121" t="e">
        <f>IF('Cable Info'!T647="","",CONCATENATE('Cable Info'!T647," - ",'Cable Info'!U647))</f>
        <v>#N/A</v>
      </c>
      <c r="BG943" s="121" t="e">
        <f t="shared" si="177"/>
        <v>#N/A</v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e">
        <f>IF('Cable Info'!R648="","",CONCATENATE('Cable Info'!R648," - ",'Cable Info'!S648))</f>
        <v>#N/A</v>
      </c>
      <c r="BB944" s="121" t="e">
        <f t="shared" si="176"/>
        <v>#N/A</v>
      </c>
      <c r="BD944" s="121" t="e">
        <f>IF('Cable Info'!T648="","",CONCATENATE('Cable Info'!T648," - ",'Cable Info'!U648))</f>
        <v>#N/A</v>
      </c>
      <c r="BG944" s="121" t="e">
        <f t="shared" si="177"/>
        <v>#N/A</v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e">
        <f>IF('Cable Info'!R649="","",CONCATENATE('Cable Info'!R649," - ",'Cable Info'!S649))</f>
        <v>#N/A</v>
      </c>
      <c r="BB945" s="121" t="e">
        <f t="shared" si="176"/>
        <v>#N/A</v>
      </c>
      <c r="BD945" s="121" t="e">
        <f>IF('Cable Info'!T649="","",CONCATENATE('Cable Info'!T649," - ",'Cable Info'!U649))</f>
        <v>#N/A</v>
      </c>
      <c r="BG945" s="121" t="e">
        <f t="shared" si="177"/>
        <v>#N/A</v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e">
        <f>IF('Cable Info'!R650="","",CONCATENATE('Cable Info'!R650," - ",'Cable Info'!S650))</f>
        <v>#N/A</v>
      </c>
      <c r="BB946" s="121" t="e">
        <f t="shared" si="176"/>
        <v>#N/A</v>
      </c>
      <c r="BD946" s="121" t="e">
        <f>IF('Cable Info'!T650="","",CONCATENATE('Cable Info'!T650," - ",'Cable Info'!U650))</f>
        <v>#N/A</v>
      </c>
      <c r="BG946" s="121" t="e">
        <f t="shared" si="177"/>
        <v>#N/A</v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e">
        <f>IF('Cable Info'!R651="","",CONCATENATE('Cable Info'!R651," - ",'Cable Info'!S651))</f>
        <v>#N/A</v>
      </c>
      <c r="BB947" s="121" t="e">
        <f t="shared" si="176"/>
        <v>#N/A</v>
      </c>
      <c r="BD947" s="121" t="e">
        <f>IF('Cable Info'!T651="","",CONCATENATE('Cable Info'!T651," - ",'Cable Info'!U651))</f>
        <v>#N/A</v>
      </c>
      <c r="BG947" s="121" t="e">
        <f t="shared" si="177"/>
        <v>#N/A</v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e">
        <f>IF('Cable Info'!R652="","",CONCATENATE('Cable Info'!R652," - ",'Cable Info'!S652))</f>
        <v>#N/A</v>
      </c>
      <c r="BB948" s="121" t="e">
        <f t="shared" si="176"/>
        <v>#N/A</v>
      </c>
      <c r="BD948" s="121" t="e">
        <f>IF('Cable Info'!T652="","",CONCATENATE('Cable Info'!T652," - ",'Cable Info'!U652))</f>
        <v>#N/A</v>
      </c>
      <c r="BG948" s="121" t="e">
        <f t="shared" si="177"/>
        <v>#N/A</v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e">
        <f>IF('Cable Info'!R653="","",CONCATENATE('Cable Info'!R653," - ",'Cable Info'!S653))</f>
        <v>#N/A</v>
      </c>
      <c r="BB949" s="121" t="e">
        <f t="shared" si="176"/>
        <v>#N/A</v>
      </c>
      <c r="BD949" s="121" t="e">
        <f>IF('Cable Info'!T653="","",CONCATENATE('Cable Info'!T653," - ",'Cable Info'!U653))</f>
        <v>#N/A</v>
      </c>
      <c r="BG949" s="121" t="e">
        <f t="shared" si="177"/>
        <v>#N/A</v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e">
        <f>IF('Cable Info'!R654="","",CONCATENATE('Cable Info'!R654," - ",'Cable Info'!S654))</f>
        <v>#N/A</v>
      </c>
      <c r="BB950" s="121" t="e">
        <f t="shared" si="176"/>
        <v>#N/A</v>
      </c>
      <c r="BD950" s="121" t="e">
        <f>IF('Cable Info'!T654="","",CONCATENATE('Cable Info'!T654," - ",'Cable Info'!U654))</f>
        <v>#N/A</v>
      </c>
      <c r="BG950" s="121" t="e">
        <f t="shared" si="177"/>
        <v>#N/A</v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e">
        <f>IF('Cable Info'!R655="","",CONCATENATE('Cable Info'!R655," - ",'Cable Info'!S655))</f>
        <v>#N/A</v>
      </c>
      <c r="BB951" s="121" t="e">
        <f t="shared" si="176"/>
        <v>#N/A</v>
      </c>
      <c r="BD951" s="121" t="e">
        <f>IF('Cable Info'!T655="","",CONCATENATE('Cable Info'!T655," - ",'Cable Info'!U655))</f>
        <v>#N/A</v>
      </c>
      <c r="BG951" s="121" t="e">
        <f t="shared" si="177"/>
        <v>#N/A</v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e">
        <f>IF('Cable Info'!R656="","",CONCATENATE('Cable Info'!R656," - ",'Cable Info'!S656))</f>
        <v>#N/A</v>
      </c>
      <c r="BB952" s="121" t="e">
        <f t="shared" si="176"/>
        <v>#N/A</v>
      </c>
      <c r="BD952" s="121" t="e">
        <f>IF('Cable Info'!T656="","",CONCATENATE('Cable Info'!T656," - ",'Cable Info'!U656))</f>
        <v>#N/A</v>
      </c>
      <c r="BG952" s="121" t="e">
        <f t="shared" si="177"/>
        <v>#N/A</v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e">
        <f>IF('Cable Info'!R657="","",CONCATENATE('Cable Info'!R657," - ",'Cable Info'!S657))</f>
        <v>#N/A</v>
      </c>
      <c r="BB953" s="121" t="e">
        <f t="shared" si="176"/>
        <v>#N/A</v>
      </c>
      <c r="BD953" s="121" t="e">
        <f>IF('Cable Info'!T657="","",CONCATENATE('Cable Info'!T657," - ",'Cable Info'!U657))</f>
        <v>#N/A</v>
      </c>
      <c r="BG953" s="121" t="e">
        <f t="shared" si="177"/>
        <v>#N/A</v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e">
        <f>IF('Cable Info'!R658="","",CONCATENATE('Cable Info'!R658," - ",'Cable Info'!S658))</f>
        <v>#N/A</v>
      </c>
      <c r="BB954" s="121" t="e">
        <f t="shared" si="176"/>
        <v>#N/A</v>
      </c>
      <c r="BD954" s="121" t="e">
        <f>IF('Cable Info'!T658="","",CONCATENATE('Cable Info'!T658," - ",'Cable Info'!U658))</f>
        <v>#N/A</v>
      </c>
      <c r="BG954" s="121" t="e">
        <f t="shared" si="177"/>
        <v>#N/A</v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e">
        <f>IF('Cable Info'!R659="","",CONCATENATE('Cable Info'!R659," - ",'Cable Info'!S659))</f>
        <v>#N/A</v>
      </c>
      <c r="BB955" s="121" t="e">
        <f t="shared" si="176"/>
        <v>#N/A</v>
      </c>
      <c r="BD955" s="121" t="e">
        <f>IF('Cable Info'!T659="","",CONCATENATE('Cable Info'!T659," - ",'Cable Info'!U659))</f>
        <v>#N/A</v>
      </c>
      <c r="BG955" s="121" t="e">
        <f t="shared" si="177"/>
        <v>#N/A</v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e">
        <f>IF('Cable Info'!R660="","",CONCATENATE('Cable Info'!R660," - ",'Cable Info'!S660))</f>
        <v>#N/A</v>
      </c>
      <c r="BB956" s="121" t="e">
        <f t="shared" si="176"/>
        <v>#N/A</v>
      </c>
      <c r="BD956" s="121" t="e">
        <f>IF('Cable Info'!T660="","",CONCATENATE('Cable Info'!T660," - ",'Cable Info'!U660))</f>
        <v>#N/A</v>
      </c>
      <c r="BG956" s="121" t="e">
        <f t="shared" si="177"/>
        <v>#N/A</v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e">
        <f>IF('Cable Info'!R661="","",CONCATENATE('Cable Info'!R661," - ",'Cable Info'!S661))</f>
        <v>#N/A</v>
      </c>
      <c r="BB957" s="121" t="e">
        <f t="shared" si="176"/>
        <v>#N/A</v>
      </c>
      <c r="BD957" s="121" t="e">
        <f>IF('Cable Info'!T661="","",CONCATENATE('Cable Info'!T661," - ",'Cable Info'!U661))</f>
        <v>#N/A</v>
      </c>
      <c r="BG957" s="121" t="e">
        <f t="shared" si="177"/>
        <v>#N/A</v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e">
        <f>IF('Cable Info'!R662="","",CONCATENATE('Cable Info'!R662," - ",'Cable Info'!S662))</f>
        <v>#N/A</v>
      </c>
      <c r="BB958" s="121" t="e">
        <f t="shared" si="176"/>
        <v>#N/A</v>
      </c>
      <c r="BD958" s="121" t="e">
        <f>IF('Cable Info'!T662="","",CONCATENATE('Cable Info'!T662," - ",'Cable Info'!U662))</f>
        <v>#N/A</v>
      </c>
      <c r="BG958" s="121" t="e">
        <f t="shared" si="177"/>
        <v>#N/A</v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e">
        <f>IF('Cable Info'!R663="","",CONCATENATE('Cable Info'!R663," - ",'Cable Info'!S663))</f>
        <v>#N/A</v>
      </c>
      <c r="BB959" s="121" t="e">
        <f t="shared" si="176"/>
        <v>#N/A</v>
      </c>
      <c r="BD959" s="121" t="e">
        <f>IF('Cable Info'!T663="","",CONCATENATE('Cable Info'!T663," - ",'Cable Info'!U663))</f>
        <v>#N/A</v>
      </c>
      <c r="BG959" s="121" t="e">
        <f t="shared" si="177"/>
        <v>#N/A</v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e">
        <f>IF('Cable Info'!R664="","",CONCATENATE('Cable Info'!R664," - ",'Cable Info'!S664))</f>
        <v>#N/A</v>
      </c>
      <c r="BB960" s="121" t="e">
        <f t="shared" si="176"/>
        <v>#N/A</v>
      </c>
      <c r="BD960" s="121" t="e">
        <f>IF('Cable Info'!T664="","",CONCATENATE('Cable Info'!T664," - ",'Cable Info'!U664))</f>
        <v>#N/A</v>
      </c>
      <c r="BG960" s="121" t="e">
        <f t="shared" si="177"/>
        <v>#N/A</v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e">
        <f>IF('Cable Info'!R665="","",CONCATENATE('Cable Info'!R665," - ",'Cable Info'!S665))</f>
        <v>#N/A</v>
      </c>
      <c r="BB961" s="121" t="e">
        <f t="shared" si="176"/>
        <v>#N/A</v>
      </c>
      <c r="BD961" s="121" t="e">
        <f>IF('Cable Info'!T665="","",CONCATENATE('Cable Info'!T665," - ",'Cable Info'!U665))</f>
        <v>#N/A</v>
      </c>
      <c r="BG961" s="121" t="e">
        <f t="shared" si="177"/>
        <v>#N/A</v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e">
        <f>IF('Cable Info'!R666="","",CONCATENATE('Cable Info'!R666," - ",'Cable Info'!S666))</f>
        <v>#N/A</v>
      </c>
      <c r="BB962" s="121" t="e">
        <f t="shared" si="176"/>
        <v>#N/A</v>
      </c>
      <c r="BD962" s="121" t="e">
        <f>IF('Cable Info'!T666="","",CONCATENATE('Cable Info'!T666," - ",'Cable Info'!U666))</f>
        <v>#N/A</v>
      </c>
      <c r="BG962" s="121" t="e">
        <f t="shared" si="177"/>
        <v>#N/A</v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e">
        <f>IF('Cable Info'!R667="","",CONCATENATE('Cable Info'!R667," - ",'Cable Info'!S667))</f>
        <v>#N/A</v>
      </c>
      <c r="BB963" s="121" t="e">
        <f t="shared" si="176"/>
        <v>#N/A</v>
      </c>
      <c r="BD963" s="121" t="e">
        <f>IF('Cable Info'!T667="","",CONCATENATE('Cable Info'!T667," - ",'Cable Info'!U667))</f>
        <v>#N/A</v>
      </c>
      <c r="BG963" s="121" t="e">
        <f t="shared" si="177"/>
        <v>#N/A</v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e">
        <f>IF('Cable Info'!R668="","",CONCATENATE('Cable Info'!R668," - ",'Cable Info'!S668))</f>
        <v>#N/A</v>
      </c>
      <c r="BB964" s="121" t="e">
        <f t="shared" si="176"/>
        <v>#N/A</v>
      </c>
      <c r="BD964" s="121" t="e">
        <f>IF('Cable Info'!T668="","",CONCATENATE('Cable Info'!T668," - ",'Cable Info'!U668))</f>
        <v>#N/A</v>
      </c>
      <c r="BG964" s="121" t="e">
        <f t="shared" si="177"/>
        <v>#N/A</v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e">
        <f>IF('Cable Info'!R669="","",CONCATENATE('Cable Info'!R669," - ",'Cable Info'!S669))</f>
        <v>#N/A</v>
      </c>
      <c r="BB965" s="121" t="e">
        <f t="shared" si="176"/>
        <v>#N/A</v>
      </c>
      <c r="BD965" s="121" t="e">
        <f>IF('Cable Info'!T669="","",CONCATENATE('Cable Info'!T669," - ",'Cable Info'!U669))</f>
        <v>#N/A</v>
      </c>
      <c r="BG965" s="121" t="e">
        <f t="shared" si="177"/>
        <v>#N/A</v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e">
        <f>IF('Cable Info'!R670="","",CONCATENATE('Cable Info'!R670," - ",'Cable Info'!S670))</f>
        <v>#N/A</v>
      </c>
      <c r="BB966" s="121" t="e">
        <f t="shared" si="176"/>
        <v>#N/A</v>
      </c>
      <c r="BD966" s="121" t="e">
        <f>IF('Cable Info'!T670="","",CONCATENATE('Cable Info'!T670," - ",'Cable Info'!U670))</f>
        <v>#N/A</v>
      </c>
      <c r="BG966" s="121" t="e">
        <f t="shared" si="177"/>
        <v>#N/A</v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e">
        <f>IF('Cable Info'!R671="","",CONCATENATE('Cable Info'!R671," - ",'Cable Info'!S671))</f>
        <v>#N/A</v>
      </c>
      <c r="BB967" s="121" t="e">
        <f t="shared" si="176"/>
        <v>#N/A</v>
      </c>
      <c r="BD967" s="121" t="e">
        <f>IF('Cable Info'!T671="","",CONCATENATE('Cable Info'!T671," - ",'Cable Info'!U671))</f>
        <v>#N/A</v>
      </c>
      <c r="BG967" s="121" t="e">
        <f t="shared" si="177"/>
        <v>#N/A</v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e">
        <f>IF('Cable Info'!R672="","",CONCATENATE('Cable Info'!R672," - ",'Cable Info'!S672))</f>
        <v>#N/A</v>
      </c>
      <c r="BB968" s="121" t="e">
        <f t="shared" si="176"/>
        <v>#N/A</v>
      </c>
      <c r="BD968" s="121" t="e">
        <f>IF('Cable Info'!T672="","",CONCATENATE('Cable Info'!T672," - ",'Cable Info'!U672))</f>
        <v>#N/A</v>
      </c>
      <c r="BG968" s="121" t="e">
        <f t="shared" si="177"/>
        <v>#N/A</v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e">
        <f>IF('Cable Info'!R673="","",CONCATENATE('Cable Info'!R673," - ",'Cable Info'!S673))</f>
        <v>#N/A</v>
      </c>
      <c r="BB969" s="121" t="e">
        <f t="shared" si="176"/>
        <v>#N/A</v>
      </c>
      <c r="BD969" s="121" t="e">
        <f>IF('Cable Info'!T673="","",CONCATENATE('Cable Info'!T673," - ",'Cable Info'!U673))</f>
        <v>#N/A</v>
      </c>
      <c r="BG969" s="121" t="e">
        <f t="shared" si="177"/>
        <v>#N/A</v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e">
        <f>IF('Cable Info'!R674="","",CONCATENATE('Cable Info'!R674," - ",'Cable Info'!S674))</f>
        <v>#N/A</v>
      </c>
      <c r="BB970" s="121" t="e">
        <f t="shared" si="176"/>
        <v>#N/A</v>
      </c>
      <c r="BD970" s="121" t="e">
        <f>IF('Cable Info'!T674="","",CONCATENATE('Cable Info'!T674," - ",'Cable Info'!U674))</f>
        <v>#N/A</v>
      </c>
      <c r="BG970" s="121" t="e">
        <f t="shared" si="177"/>
        <v>#N/A</v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e">
        <f>IF('Cable Info'!R675="","",CONCATENATE('Cable Info'!R675," - ",'Cable Info'!S675))</f>
        <v>#N/A</v>
      </c>
      <c r="BB971" s="121" t="e">
        <f t="shared" si="176"/>
        <v>#N/A</v>
      </c>
      <c r="BD971" s="121" t="e">
        <f>IF('Cable Info'!T675="","",CONCATENATE('Cable Info'!T675," - ",'Cable Info'!U675))</f>
        <v>#N/A</v>
      </c>
      <c r="BG971" s="121" t="e">
        <f t="shared" si="177"/>
        <v>#N/A</v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e">
        <f>IF('Cable Info'!R676="","",CONCATENATE('Cable Info'!R676," - ",'Cable Info'!S676))</f>
        <v>#N/A</v>
      </c>
      <c r="BB972" s="121" t="e">
        <f t="shared" si="176"/>
        <v>#N/A</v>
      </c>
      <c r="BD972" s="121" t="e">
        <f>IF('Cable Info'!T676="","",CONCATENATE('Cable Info'!T676," - ",'Cable Info'!U676))</f>
        <v>#N/A</v>
      </c>
      <c r="BG972" s="121" t="e">
        <f t="shared" si="177"/>
        <v>#N/A</v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e">
        <f>IF('Cable Info'!R677="","",CONCATENATE('Cable Info'!R677," - ",'Cable Info'!S677))</f>
        <v>#N/A</v>
      </c>
      <c r="BB973" s="121" t="e">
        <f t="shared" si="176"/>
        <v>#N/A</v>
      </c>
      <c r="BD973" s="121" t="e">
        <f>IF('Cable Info'!T677="","",CONCATENATE('Cable Info'!T677," - ",'Cable Info'!U677))</f>
        <v>#N/A</v>
      </c>
      <c r="BG973" s="121" t="e">
        <f t="shared" si="177"/>
        <v>#N/A</v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e">
        <f>IF('Cable Info'!R678="","",CONCATENATE('Cable Info'!R678," - ",'Cable Info'!S678))</f>
        <v>#N/A</v>
      </c>
      <c r="BB974" s="121" t="e">
        <f t="shared" si="176"/>
        <v>#N/A</v>
      </c>
      <c r="BD974" s="121" t="e">
        <f>IF('Cable Info'!T678="","",CONCATENATE('Cable Info'!T678," - ",'Cable Info'!U678))</f>
        <v>#N/A</v>
      </c>
      <c r="BG974" s="121" t="e">
        <f t="shared" si="177"/>
        <v>#N/A</v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e">
        <f>IF('Cable Info'!R679="","",CONCATENATE('Cable Info'!R679," - ",'Cable Info'!S679))</f>
        <v>#N/A</v>
      </c>
      <c r="BB975" s="121" t="e">
        <f t="shared" si="176"/>
        <v>#N/A</v>
      </c>
      <c r="BD975" s="121" t="e">
        <f>IF('Cable Info'!T679="","",CONCATENATE('Cable Info'!T679," - ",'Cable Info'!U679))</f>
        <v>#N/A</v>
      </c>
      <c r="BG975" s="121" t="e">
        <f t="shared" si="177"/>
        <v>#N/A</v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e">
        <f>IF('Cable Info'!R680="","",CONCATENATE('Cable Info'!R680," - ",'Cable Info'!S680))</f>
        <v>#N/A</v>
      </c>
      <c r="BB976" s="121" t="e">
        <f t="shared" si="176"/>
        <v>#N/A</v>
      </c>
      <c r="BD976" s="121" t="e">
        <f>IF('Cable Info'!T680="","",CONCATENATE('Cable Info'!T680," - ",'Cable Info'!U680))</f>
        <v>#N/A</v>
      </c>
      <c r="BG976" s="121" t="e">
        <f t="shared" si="177"/>
        <v>#N/A</v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e">
        <f>IF('Cable Info'!R681="","",CONCATENATE('Cable Info'!R681," - ",'Cable Info'!S681))</f>
        <v>#N/A</v>
      </c>
      <c r="BB977" s="121" t="e">
        <f t="shared" si="176"/>
        <v>#N/A</v>
      </c>
      <c r="BD977" s="121" t="e">
        <f>IF('Cable Info'!T681="","",CONCATENATE('Cable Info'!T681," - ",'Cable Info'!U681))</f>
        <v>#N/A</v>
      </c>
      <c r="BG977" s="121" t="e">
        <f t="shared" si="177"/>
        <v>#N/A</v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e">
        <f>IF('Cable Info'!R682="","",CONCATENATE('Cable Info'!R682," - ",'Cable Info'!S682))</f>
        <v>#N/A</v>
      </c>
      <c r="BB978" s="121" t="e">
        <f t="shared" si="176"/>
        <v>#N/A</v>
      </c>
      <c r="BD978" s="121" t="e">
        <f>IF('Cable Info'!T682="","",CONCATENATE('Cable Info'!T682," - ",'Cable Info'!U682))</f>
        <v>#N/A</v>
      </c>
      <c r="BG978" s="121" t="e">
        <f t="shared" si="177"/>
        <v>#N/A</v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e">
        <f>IF('Cable Info'!R683="","",CONCATENATE('Cable Info'!R683," - ",'Cable Info'!S683))</f>
        <v>#N/A</v>
      </c>
      <c r="BB979" s="121" t="e">
        <f t="shared" si="176"/>
        <v>#N/A</v>
      </c>
      <c r="BD979" s="121" t="e">
        <f>IF('Cable Info'!T683="","",CONCATENATE('Cable Info'!T683," - ",'Cable Info'!U683))</f>
        <v>#N/A</v>
      </c>
      <c r="BG979" s="121" t="e">
        <f t="shared" si="177"/>
        <v>#N/A</v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e">
        <f>IF('Cable Info'!R684="","",CONCATENATE('Cable Info'!R684," - ",'Cable Info'!S684))</f>
        <v>#N/A</v>
      </c>
      <c r="BB980" s="121" t="e">
        <f t="shared" si="176"/>
        <v>#N/A</v>
      </c>
      <c r="BD980" s="121" t="e">
        <f>IF('Cable Info'!T684="","",CONCATENATE('Cable Info'!T684," - ",'Cable Info'!U684))</f>
        <v>#N/A</v>
      </c>
      <c r="BG980" s="121" t="e">
        <f t="shared" si="177"/>
        <v>#N/A</v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e">
        <f>IF('Cable Info'!R685="","",CONCATENATE('Cable Info'!R685," - ",'Cable Info'!S685))</f>
        <v>#N/A</v>
      </c>
      <c r="BB981" s="121" t="e">
        <f t="shared" si="176"/>
        <v>#N/A</v>
      </c>
      <c r="BD981" s="121" t="e">
        <f>IF('Cable Info'!T685="","",CONCATENATE('Cable Info'!T685," - ",'Cable Info'!U685))</f>
        <v>#N/A</v>
      </c>
      <c r="BG981" s="121" t="e">
        <f t="shared" si="177"/>
        <v>#N/A</v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e">
        <f>IF('Cable Info'!R686="","",CONCATENATE('Cable Info'!R686," - ",'Cable Info'!S686))</f>
        <v>#N/A</v>
      </c>
      <c r="BB982" s="121" t="e">
        <f t="shared" si="176"/>
        <v>#N/A</v>
      </c>
      <c r="BD982" s="121" t="e">
        <f>IF('Cable Info'!T686="","",CONCATENATE('Cable Info'!T686," - ",'Cable Info'!U686))</f>
        <v>#N/A</v>
      </c>
      <c r="BG982" s="121" t="e">
        <f t="shared" si="177"/>
        <v>#N/A</v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e">
        <f>IF('Cable Info'!R687="","",CONCATENATE('Cable Info'!R687," - ",'Cable Info'!S687))</f>
        <v>#N/A</v>
      </c>
      <c r="BB983" s="121" t="e">
        <f t="shared" si="176"/>
        <v>#N/A</v>
      </c>
      <c r="BD983" s="121" t="e">
        <f>IF('Cable Info'!T687="","",CONCATENATE('Cable Info'!T687," - ",'Cable Info'!U687))</f>
        <v>#N/A</v>
      </c>
      <c r="BG983" s="121" t="e">
        <f t="shared" si="177"/>
        <v>#N/A</v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e">
        <f>IF('Cable Info'!R688="","",CONCATENATE('Cable Info'!R688," - ",'Cable Info'!S688))</f>
        <v>#N/A</v>
      </c>
      <c r="BB984" s="121" t="e">
        <f t="shared" si="176"/>
        <v>#N/A</v>
      </c>
      <c r="BD984" s="121" t="e">
        <f>IF('Cable Info'!T688="","",CONCATENATE('Cable Info'!T688," - ",'Cable Info'!U688))</f>
        <v>#N/A</v>
      </c>
      <c r="BG984" s="121" t="e">
        <f t="shared" si="177"/>
        <v>#N/A</v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e">
        <f>IF('Cable Info'!R689="","",CONCATENATE('Cable Info'!R689," - ",'Cable Info'!S689))</f>
        <v>#N/A</v>
      </c>
      <c r="BB985" s="121" t="e">
        <f t="shared" si="176"/>
        <v>#N/A</v>
      </c>
      <c r="BD985" s="121" t="e">
        <f>IF('Cable Info'!T689="","",CONCATENATE('Cable Info'!T689," - ",'Cable Info'!U689))</f>
        <v>#N/A</v>
      </c>
      <c r="BG985" s="121" t="e">
        <f t="shared" si="177"/>
        <v>#N/A</v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e">
        <f>IF('Cable Info'!R690="","",CONCATENATE('Cable Info'!R690," - ",'Cable Info'!S690))</f>
        <v>#N/A</v>
      </c>
      <c r="BB986" s="121" t="e">
        <f t="shared" si="176"/>
        <v>#N/A</v>
      </c>
      <c r="BD986" s="121" t="e">
        <f>IF('Cable Info'!T690="","",CONCATENATE('Cable Info'!T690," - ",'Cable Info'!U690))</f>
        <v>#N/A</v>
      </c>
      <c r="BG986" s="121" t="e">
        <f t="shared" si="177"/>
        <v>#N/A</v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e">
        <f>IF('Cable Info'!R691="","",CONCATENATE('Cable Info'!R691," - ",'Cable Info'!S691))</f>
        <v>#N/A</v>
      </c>
      <c r="BB987" s="121" t="e">
        <f t="shared" si="176"/>
        <v>#N/A</v>
      </c>
      <c r="BD987" s="121" t="e">
        <f>IF('Cable Info'!T691="","",CONCATENATE('Cable Info'!T691," - ",'Cable Info'!U691))</f>
        <v>#N/A</v>
      </c>
      <c r="BG987" s="121" t="e">
        <f t="shared" si="177"/>
        <v>#N/A</v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e">
        <f>IF('Cable Info'!R692="","",CONCATENATE('Cable Info'!R692," - ",'Cable Info'!S692))</f>
        <v>#N/A</v>
      </c>
      <c r="BB988" s="121" t="e">
        <f t="shared" si="176"/>
        <v>#N/A</v>
      </c>
      <c r="BD988" s="121" t="e">
        <f>IF('Cable Info'!T692="","",CONCATENATE('Cable Info'!T692," - ",'Cable Info'!U692))</f>
        <v>#N/A</v>
      </c>
      <c r="BG988" s="121" t="e">
        <f t="shared" si="177"/>
        <v>#N/A</v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e">
        <f>IF('Cable Info'!R693="","",CONCATENATE('Cable Info'!R693," - ",'Cable Info'!S693))</f>
        <v>#N/A</v>
      </c>
      <c r="BB989" s="121" t="e">
        <f t="shared" si="176"/>
        <v>#N/A</v>
      </c>
      <c r="BD989" s="121" t="e">
        <f>IF('Cable Info'!T693="","",CONCATENATE('Cable Info'!T693," - ",'Cable Info'!U693))</f>
        <v>#N/A</v>
      </c>
      <c r="BG989" s="121" t="e">
        <f t="shared" si="177"/>
        <v>#N/A</v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e">
        <f>IF('Cable Info'!R694="","",CONCATENATE('Cable Info'!R694," - ",'Cable Info'!S694))</f>
        <v>#N/A</v>
      </c>
      <c r="BB990" s="121" t="e">
        <f t="shared" si="176"/>
        <v>#N/A</v>
      </c>
      <c r="BD990" s="121" t="e">
        <f>IF('Cable Info'!T694="","",CONCATENATE('Cable Info'!T694," - ",'Cable Info'!U694))</f>
        <v>#N/A</v>
      </c>
      <c r="BG990" s="121" t="e">
        <f t="shared" si="177"/>
        <v>#N/A</v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e">
        <f>IF('Cable Info'!R695="","",CONCATENATE('Cable Info'!R695," - ",'Cable Info'!S695))</f>
        <v>#N/A</v>
      </c>
      <c r="BB991" s="121" t="e">
        <f t="shared" si="176"/>
        <v>#N/A</v>
      </c>
      <c r="BD991" s="121" t="e">
        <f>IF('Cable Info'!T695="","",CONCATENATE('Cable Info'!T695," - ",'Cable Info'!U695))</f>
        <v>#N/A</v>
      </c>
      <c r="BG991" s="121" t="e">
        <f t="shared" si="177"/>
        <v>#N/A</v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e">
        <f>IF('Cable Info'!R696="","",CONCATENATE('Cable Info'!R696," - ",'Cable Info'!S696))</f>
        <v>#N/A</v>
      </c>
      <c r="BB992" s="121" t="e">
        <f t="shared" si="176"/>
        <v>#N/A</v>
      </c>
      <c r="BD992" s="121" t="e">
        <f>IF('Cable Info'!T696="","",CONCATENATE('Cable Info'!T696," - ",'Cable Info'!U696))</f>
        <v>#N/A</v>
      </c>
      <c r="BG992" s="121" t="e">
        <f t="shared" si="177"/>
        <v>#N/A</v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e">
        <f>IF('Cable Info'!R697="","",CONCATENATE('Cable Info'!R697," - ",'Cable Info'!S697))</f>
        <v>#N/A</v>
      </c>
      <c r="BB993" s="121" t="e">
        <f t="shared" si="176"/>
        <v>#N/A</v>
      </c>
      <c r="BD993" s="121" t="e">
        <f>IF('Cable Info'!T697="","",CONCATENATE('Cable Info'!T697," - ",'Cable Info'!U697))</f>
        <v>#N/A</v>
      </c>
      <c r="BG993" s="121" t="e">
        <f t="shared" si="177"/>
        <v>#N/A</v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e">
        <f>IF('Cable Info'!R698="","",CONCATENATE('Cable Info'!R698," - ",'Cable Info'!S698))</f>
        <v>#N/A</v>
      </c>
      <c r="BB994" s="121" t="e">
        <f t="shared" si="176"/>
        <v>#N/A</v>
      </c>
      <c r="BD994" s="121" t="e">
        <f>IF('Cable Info'!T698="","",CONCATENATE('Cable Info'!T698," - ",'Cable Info'!U698))</f>
        <v>#N/A</v>
      </c>
      <c r="BG994" s="121" t="e">
        <f t="shared" si="177"/>
        <v>#N/A</v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e">
        <f>IF('Cable Info'!R699="","",CONCATENATE('Cable Info'!R699," - ",'Cable Info'!S699))</f>
        <v>#N/A</v>
      </c>
      <c r="BB995" s="121" t="e">
        <f t="shared" si="176"/>
        <v>#N/A</v>
      </c>
      <c r="BD995" s="121" t="e">
        <f>IF('Cable Info'!T699="","",CONCATENATE('Cable Info'!T699," - ",'Cable Info'!U699))</f>
        <v>#N/A</v>
      </c>
      <c r="BG995" s="121" t="e">
        <f t="shared" si="177"/>
        <v>#N/A</v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e">
        <f>IF('Cable Info'!R700="","",CONCATENATE('Cable Info'!R700," - ",'Cable Info'!S700))</f>
        <v>#N/A</v>
      </c>
      <c r="BB996" s="121" t="e">
        <f t="shared" si="176"/>
        <v>#N/A</v>
      </c>
      <c r="BD996" s="121" t="e">
        <f>IF('Cable Info'!T700="","",CONCATENATE('Cable Info'!T700," - ",'Cable Info'!U700))</f>
        <v>#N/A</v>
      </c>
      <c r="BG996" s="121" t="e">
        <f t="shared" si="177"/>
        <v>#N/A</v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e">
        <f>IF('Cable Info'!R701="","",CONCATENATE('Cable Info'!R701," - ",'Cable Info'!S701))</f>
        <v>#N/A</v>
      </c>
      <c r="BB997" s="121" t="e">
        <f t="shared" si="176"/>
        <v>#N/A</v>
      </c>
      <c r="BD997" s="121" t="e">
        <f>IF('Cable Info'!T701="","",CONCATENATE('Cable Info'!T701," - ",'Cable Info'!U701))</f>
        <v>#N/A</v>
      </c>
      <c r="BG997" s="121" t="e">
        <f t="shared" si="177"/>
        <v>#N/A</v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e">
        <f>IF('Cable Info'!R702="","",CONCATENATE('Cable Info'!R702," - ",'Cable Info'!S702))</f>
        <v>#N/A</v>
      </c>
      <c r="BB998" s="121" t="e">
        <f t="shared" si="176"/>
        <v>#N/A</v>
      </c>
      <c r="BD998" s="121" t="e">
        <f>IF('Cable Info'!T702="","",CONCATENATE('Cable Info'!T702," - ",'Cable Info'!U702))</f>
        <v>#N/A</v>
      </c>
      <c r="BG998" s="121" t="e">
        <f t="shared" si="177"/>
        <v>#N/A</v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e">
        <f>IF('Cable Info'!R703="","",CONCATENATE('Cable Info'!R703," - ",'Cable Info'!S703))</f>
        <v>#N/A</v>
      </c>
      <c r="BB999" s="121" t="e">
        <f t="shared" si="176"/>
        <v>#N/A</v>
      </c>
      <c r="BD999" s="121" t="e">
        <f>IF('Cable Info'!T703="","",CONCATENATE('Cable Info'!T703," - ",'Cable Info'!U703))</f>
        <v>#N/A</v>
      </c>
      <c r="BG999" s="121" t="e">
        <f t="shared" si="177"/>
        <v>#N/A</v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e">
        <f>IF('Cable Info'!R704="","",CONCATENATE('Cable Info'!R704," - ",'Cable Info'!S704))</f>
        <v>#N/A</v>
      </c>
      <c r="BB1000" s="121" t="e">
        <f t="shared" si="176"/>
        <v>#N/A</v>
      </c>
      <c r="BD1000" s="121" t="e">
        <f>IF('Cable Info'!T704="","",CONCATENATE('Cable Info'!T704," - ",'Cable Info'!U704))</f>
        <v>#N/A</v>
      </c>
      <c r="BG1000" s="121" t="e">
        <f t="shared" si="177"/>
        <v>#N/A</v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e">
        <f>IF('Cable Info'!R705="","",CONCATENATE('Cable Info'!R705," - ",'Cable Info'!S705))</f>
        <v>#N/A</v>
      </c>
      <c r="BB1001" s="121" t="e">
        <f t="shared" si="176"/>
        <v>#N/A</v>
      </c>
      <c r="BD1001" s="121" t="e">
        <f>IF('Cable Info'!T705="","",CONCATENATE('Cable Info'!T705," - ",'Cable Info'!U705))</f>
        <v>#N/A</v>
      </c>
      <c r="BG1001" s="121" t="e">
        <f t="shared" si="177"/>
        <v>#N/A</v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e">
        <f>IF('Cable Info'!R706="","",CONCATENATE('Cable Info'!R706," - ",'Cable Info'!S706))</f>
        <v>#N/A</v>
      </c>
      <c r="BB1002" s="121" t="e">
        <f t="shared" si="176"/>
        <v>#N/A</v>
      </c>
      <c r="BD1002" s="121" t="e">
        <f>IF('Cable Info'!T706="","",CONCATENATE('Cable Info'!T706," - ",'Cable Info'!U706))</f>
        <v>#N/A</v>
      </c>
      <c r="BG1002" s="121" t="e">
        <f t="shared" si="177"/>
        <v>#N/A</v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e">
        <f>IF('Cable Info'!R707="","",CONCATENATE('Cable Info'!R707," - ",'Cable Info'!S707))</f>
        <v>#N/A</v>
      </c>
      <c r="BB1003" s="121" t="e">
        <f t="shared" ref="BB1003:BB1066" si="182">IF(AZ1003="",AY1003,CONCATENATE(AY1003,"  &lt;=&gt; ",AZ1003," ",BA1003))</f>
        <v>#N/A</v>
      </c>
      <c r="BD1003" s="121" t="e">
        <f>IF('Cable Info'!T707="","",CONCATENATE('Cable Info'!T707," - ",'Cable Info'!U707))</f>
        <v>#N/A</v>
      </c>
      <c r="BG1003" s="121" t="e">
        <f t="shared" ref="BG1003:BG1066" si="183">IF(BE1003="",BD1003,CONCATENATE(BD1003,"  &lt;=&gt; ",BE1003," ",BF1003))</f>
        <v>#N/A</v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e">
        <f>IF('Cable Info'!R708="","",CONCATENATE('Cable Info'!R708," - ",'Cable Info'!S708))</f>
        <v>#N/A</v>
      </c>
      <c r="BB1004" s="121" t="e">
        <f t="shared" si="182"/>
        <v>#N/A</v>
      </c>
      <c r="BD1004" s="121" t="e">
        <f>IF('Cable Info'!T708="","",CONCATENATE('Cable Info'!T708," - ",'Cable Info'!U708))</f>
        <v>#N/A</v>
      </c>
      <c r="BG1004" s="121" t="e">
        <f t="shared" si="183"/>
        <v>#N/A</v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e">
        <f>IF('Cable Info'!R709="","",CONCATENATE('Cable Info'!R709," - ",'Cable Info'!S709))</f>
        <v>#N/A</v>
      </c>
      <c r="BB1005" s="121" t="e">
        <f t="shared" si="182"/>
        <v>#N/A</v>
      </c>
      <c r="BD1005" s="121" t="e">
        <f>IF('Cable Info'!T709="","",CONCATENATE('Cable Info'!T709," - ",'Cable Info'!U709))</f>
        <v>#N/A</v>
      </c>
      <c r="BG1005" s="121" t="e">
        <f t="shared" si="183"/>
        <v>#N/A</v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e">
        <f>IF('Cable Info'!R710="","",CONCATENATE('Cable Info'!R710," - ",'Cable Info'!S710))</f>
        <v>#N/A</v>
      </c>
      <c r="BB1006" s="121" t="e">
        <f t="shared" si="182"/>
        <v>#N/A</v>
      </c>
      <c r="BD1006" s="121" t="e">
        <f>IF('Cable Info'!T710="","",CONCATENATE('Cable Info'!T710," - ",'Cable Info'!U710))</f>
        <v>#N/A</v>
      </c>
      <c r="BG1006" s="121" t="e">
        <f t="shared" si="183"/>
        <v>#N/A</v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e">
        <f>IF('Cable Info'!R711="","",CONCATENATE('Cable Info'!R711," - ",'Cable Info'!S711))</f>
        <v>#N/A</v>
      </c>
      <c r="BB1007" s="121" t="e">
        <f t="shared" si="182"/>
        <v>#N/A</v>
      </c>
      <c r="BD1007" s="121" t="e">
        <f>IF('Cable Info'!T711="","",CONCATENATE('Cable Info'!T711," - ",'Cable Info'!U711))</f>
        <v>#N/A</v>
      </c>
      <c r="BG1007" s="121" t="e">
        <f t="shared" si="183"/>
        <v>#N/A</v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e">
        <f>IF('Cable Info'!R712="","",CONCATENATE('Cable Info'!R712," - ",'Cable Info'!S712))</f>
        <v>#N/A</v>
      </c>
      <c r="BB1008" s="121" t="e">
        <f t="shared" si="182"/>
        <v>#N/A</v>
      </c>
      <c r="BD1008" s="121" t="e">
        <f>IF('Cable Info'!T712="","",CONCATENATE('Cable Info'!T712," - ",'Cable Info'!U712))</f>
        <v>#N/A</v>
      </c>
      <c r="BG1008" s="121" t="e">
        <f t="shared" si="183"/>
        <v>#N/A</v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e">
        <f>IF('Cable Info'!R713="","",CONCATENATE('Cable Info'!R713," - ",'Cable Info'!S713))</f>
        <v>#N/A</v>
      </c>
      <c r="BB1009" s="121" t="e">
        <f t="shared" si="182"/>
        <v>#N/A</v>
      </c>
      <c r="BD1009" s="121" t="e">
        <f>IF('Cable Info'!T713="","",CONCATENATE('Cable Info'!T713," - ",'Cable Info'!U713))</f>
        <v>#N/A</v>
      </c>
      <c r="BG1009" s="121" t="e">
        <f t="shared" si="183"/>
        <v>#N/A</v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e">
        <f>IF('Cable Info'!R714="","",CONCATENATE('Cable Info'!R714," - ",'Cable Info'!S714))</f>
        <v>#N/A</v>
      </c>
      <c r="BB1010" s="121" t="e">
        <f t="shared" si="182"/>
        <v>#N/A</v>
      </c>
      <c r="BD1010" s="121" t="e">
        <f>IF('Cable Info'!T714="","",CONCATENATE('Cable Info'!T714," - ",'Cable Info'!U714))</f>
        <v>#N/A</v>
      </c>
      <c r="BG1010" s="121" t="e">
        <f t="shared" si="183"/>
        <v>#N/A</v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e">
        <f>IF('Cable Info'!R715="","",CONCATENATE('Cable Info'!R715," - ",'Cable Info'!S715))</f>
        <v>#N/A</v>
      </c>
      <c r="BB1011" s="121" t="e">
        <f t="shared" si="182"/>
        <v>#N/A</v>
      </c>
      <c r="BD1011" s="121" t="e">
        <f>IF('Cable Info'!T715="","",CONCATENATE('Cable Info'!T715," - ",'Cable Info'!U715))</f>
        <v>#N/A</v>
      </c>
      <c r="BG1011" s="121" t="e">
        <f t="shared" si="183"/>
        <v>#N/A</v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e">
        <f>IF('Cable Info'!R716="","",CONCATENATE('Cable Info'!R716," - ",'Cable Info'!S716))</f>
        <v>#N/A</v>
      </c>
      <c r="BB1012" s="121" t="e">
        <f t="shared" si="182"/>
        <v>#N/A</v>
      </c>
      <c r="BD1012" s="121" t="e">
        <f>IF('Cable Info'!T716="","",CONCATENATE('Cable Info'!T716," - ",'Cable Info'!U716))</f>
        <v>#N/A</v>
      </c>
      <c r="BG1012" s="121" t="e">
        <f t="shared" si="183"/>
        <v>#N/A</v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e">
        <f>IF('Cable Info'!R717="","",CONCATENATE('Cable Info'!R717," - ",'Cable Info'!S717))</f>
        <v>#N/A</v>
      </c>
      <c r="BB1013" s="121" t="e">
        <f t="shared" si="182"/>
        <v>#N/A</v>
      </c>
      <c r="BD1013" s="121" t="e">
        <f>IF('Cable Info'!T717="","",CONCATENATE('Cable Info'!T717," - ",'Cable Info'!U717))</f>
        <v>#N/A</v>
      </c>
      <c r="BG1013" s="121" t="e">
        <f t="shared" si="183"/>
        <v>#N/A</v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e">
        <f>IF('Cable Info'!R718="","",CONCATENATE('Cable Info'!R718," - ",'Cable Info'!S718))</f>
        <v>#N/A</v>
      </c>
      <c r="BB1014" s="121" t="e">
        <f t="shared" si="182"/>
        <v>#N/A</v>
      </c>
      <c r="BD1014" s="121" t="e">
        <f>IF('Cable Info'!T718="","",CONCATENATE('Cable Info'!T718," - ",'Cable Info'!U718))</f>
        <v>#N/A</v>
      </c>
      <c r="BG1014" s="121" t="e">
        <f t="shared" si="183"/>
        <v>#N/A</v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e">
        <f>IF('Cable Info'!R719="","",CONCATENATE('Cable Info'!R719," - ",'Cable Info'!S719))</f>
        <v>#N/A</v>
      </c>
      <c r="BB1015" s="121" t="e">
        <f t="shared" si="182"/>
        <v>#N/A</v>
      </c>
      <c r="BD1015" s="121" t="e">
        <f>IF('Cable Info'!T719="","",CONCATENATE('Cable Info'!T719," - ",'Cable Info'!U719))</f>
        <v>#N/A</v>
      </c>
      <c r="BG1015" s="121" t="e">
        <f t="shared" si="183"/>
        <v>#N/A</v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e">
        <f>IF('Cable Info'!R720="","",CONCATENATE('Cable Info'!R720," - ",'Cable Info'!S720))</f>
        <v>#N/A</v>
      </c>
      <c r="BB1016" s="121" t="e">
        <f t="shared" si="182"/>
        <v>#N/A</v>
      </c>
      <c r="BD1016" s="121" t="e">
        <f>IF('Cable Info'!T720="","",CONCATENATE('Cable Info'!T720," - ",'Cable Info'!U720))</f>
        <v>#N/A</v>
      </c>
      <c r="BG1016" s="121" t="e">
        <f t="shared" si="183"/>
        <v>#N/A</v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e">
        <f>IF('Cable Info'!R721="","",CONCATENATE('Cable Info'!R721," - ",'Cable Info'!S721))</f>
        <v>#N/A</v>
      </c>
      <c r="BB1017" s="121" t="e">
        <f t="shared" si="182"/>
        <v>#N/A</v>
      </c>
      <c r="BD1017" s="121" t="e">
        <f>IF('Cable Info'!T721="","",CONCATENATE('Cable Info'!T721," - ",'Cable Info'!U721))</f>
        <v>#N/A</v>
      </c>
      <c r="BG1017" s="121" t="e">
        <f t="shared" si="183"/>
        <v>#N/A</v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e">
        <f>IF('Cable Info'!R722="","",CONCATENATE('Cable Info'!R722," - ",'Cable Info'!S722))</f>
        <v>#N/A</v>
      </c>
      <c r="BB1018" s="121" t="e">
        <f t="shared" si="182"/>
        <v>#N/A</v>
      </c>
      <c r="BD1018" s="121" t="e">
        <f>IF('Cable Info'!T722="","",CONCATENATE('Cable Info'!T722," - ",'Cable Info'!U722))</f>
        <v>#N/A</v>
      </c>
      <c r="BG1018" s="121" t="e">
        <f t="shared" si="183"/>
        <v>#N/A</v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e">
        <f>IF('Cable Info'!R723="","",CONCATENATE('Cable Info'!R723," - ",'Cable Info'!S723))</f>
        <v>#N/A</v>
      </c>
      <c r="BB1019" s="121" t="e">
        <f t="shared" si="182"/>
        <v>#N/A</v>
      </c>
      <c r="BD1019" s="121" t="e">
        <f>IF('Cable Info'!T723="","",CONCATENATE('Cable Info'!T723," - ",'Cable Info'!U723))</f>
        <v>#N/A</v>
      </c>
      <c r="BG1019" s="121" t="e">
        <f t="shared" si="183"/>
        <v>#N/A</v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e">
        <f>IF('Cable Info'!R724="","",CONCATENATE('Cable Info'!R724," - ",'Cable Info'!S724))</f>
        <v>#N/A</v>
      </c>
      <c r="BB1020" s="121" t="e">
        <f t="shared" si="182"/>
        <v>#N/A</v>
      </c>
      <c r="BD1020" s="121" t="e">
        <f>IF('Cable Info'!T724="","",CONCATENATE('Cable Info'!T724," - ",'Cable Info'!U724))</f>
        <v>#N/A</v>
      </c>
      <c r="BG1020" s="121" t="e">
        <f t="shared" si="183"/>
        <v>#N/A</v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e">
        <f>IF('Cable Info'!R725="","",CONCATENATE('Cable Info'!R725," - ",'Cable Info'!S725))</f>
        <v>#N/A</v>
      </c>
      <c r="BB1021" s="121" t="e">
        <f t="shared" si="182"/>
        <v>#N/A</v>
      </c>
      <c r="BD1021" s="121" t="e">
        <f>IF('Cable Info'!T725="","",CONCATENATE('Cable Info'!T725," - ",'Cable Info'!U725))</f>
        <v>#N/A</v>
      </c>
      <c r="BG1021" s="121" t="e">
        <f t="shared" si="183"/>
        <v>#N/A</v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e">
        <f>IF('Cable Info'!R726="","",CONCATENATE('Cable Info'!R726," - ",'Cable Info'!S726))</f>
        <v>#N/A</v>
      </c>
      <c r="BB1022" s="121" t="e">
        <f t="shared" si="182"/>
        <v>#N/A</v>
      </c>
      <c r="BD1022" s="121" t="e">
        <f>IF('Cable Info'!T726="","",CONCATENATE('Cable Info'!T726," - ",'Cable Info'!U726))</f>
        <v>#N/A</v>
      </c>
      <c r="BG1022" s="121" t="e">
        <f t="shared" si="183"/>
        <v>#N/A</v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e">
        <f>IF('Cable Info'!R727="","",CONCATENATE('Cable Info'!R727," - ",'Cable Info'!S727))</f>
        <v>#N/A</v>
      </c>
      <c r="BB1023" s="121" t="e">
        <f t="shared" si="182"/>
        <v>#N/A</v>
      </c>
      <c r="BD1023" s="121" t="e">
        <f>IF('Cable Info'!T727="","",CONCATENATE('Cable Info'!T727," - ",'Cable Info'!U727))</f>
        <v>#N/A</v>
      </c>
      <c r="BG1023" s="121" t="e">
        <f t="shared" si="183"/>
        <v>#N/A</v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e">
        <f>IF('Cable Info'!R728="","",CONCATENATE('Cable Info'!R728," - ",'Cable Info'!S728))</f>
        <v>#N/A</v>
      </c>
      <c r="BB1024" s="121" t="e">
        <f t="shared" si="182"/>
        <v>#N/A</v>
      </c>
      <c r="BD1024" s="121" t="e">
        <f>IF('Cable Info'!T728="","",CONCATENATE('Cable Info'!T728," - ",'Cable Info'!U728))</f>
        <v>#N/A</v>
      </c>
      <c r="BG1024" s="121" t="e">
        <f t="shared" si="183"/>
        <v>#N/A</v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e">
        <f>IF('Cable Info'!R729="","",CONCATENATE('Cable Info'!R729," - ",'Cable Info'!S729))</f>
        <v>#N/A</v>
      </c>
      <c r="BB1025" s="121" t="e">
        <f t="shared" si="182"/>
        <v>#N/A</v>
      </c>
      <c r="BD1025" s="121" t="e">
        <f>IF('Cable Info'!T729="","",CONCATENATE('Cable Info'!T729," - ",'Cable Info'!U729))</f>
        <v>#N/A</v>
      </c>
      <c r="BG1025" s="121" t="e">
        <f t="shared" si="183"/>
        <v>#N/A</v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e">
        <f>IF('Cable Info'!R730="","",CONCATENATE('Cable Info'!R730," - ",'Cable Info'!S730))</f>
        <v>#N/A</v>
      </c>
      <c r="BB1026" s="121" t="e">
        <f t="shared" si="182"/>
        <v>#N/A</v>
      </c>
      <c r="BD1026" s="121" t="e">
        <f>IF('Cable Info'!T730="","",CONCATENATE('Cable Info'!T730," - ",'Cable Info'!U730))</f>
        <v>#N/A</v>
      </c>
      <c r="BG1026" s="121" t="e">
        <f t="shared" si="183"/>
        <v>#N/A</v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e">
        <f>IF('Cable Info'!R731="","",CONCATENATE('Cable Info'!R731," - ",'Cable Info'!S731))</f>
        <v>#N/A</v>
      </c>
      <c r="BB1027" s="121" t="e">
        <f t="shared" si="182"/>
        <v>#N/A</v>
      </c>
      <c r="BD1027" s="121" t="e">
        <f>IF('Cable Info'!T731="","",CONCATENATE('Cable Info'!T731," - ",'Cable Info'!U731))</f>
        <v>#N/A</v>
      </c>
      <c r="BG1027" s="121" t="e">
        <f t="shared" si="183"/>
        <v>#N/A</v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e">
        <f>IF('Cable Info'!R732="","",CONCATENATE('Cable Info'!R732," - ",'Cable Info'!S732))</f>
        <v>#N/A</v>
      </c>
      <c r="BB1028" s="121" t="e">
        <f t="shared" si="182"/>
        <v>#N/A</v>
      </c>
      <c r="BD1028" s="121" t="e">
        <f>IF('Cable Info'!T732="","",CONCATENATE('Cable Info'!T732," - ",'Cable Info'!U732))</f>
        <v>#N/A</v>
      </c>
      <c r="BG1028" s="121" t="e">
        <f t="shared" si="183"/>
        <v>#N/A</v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e">
        <f>IF('Cable Info'!R733="","",CONCATENATE('Cable Info'!R733," - ",'Cable Info'!S733))</f>
        <v>#N/A</v>
      </c>
      <c r="BB1029" s="121" t="e">
        <f t="shared" si="182"/>
        <v>#N/A</v>
      </c>
      <c r="BD1029" s="121" t="e">
        <f>IF('Cable Info'!T733="","",CONCATENATE('Cable Info'!T733," - ",'Cable Info'!U733))</f>
        <v>#N/A</v>
      </c>
      <c r="BG1029" s="121" t="e">
        <f t="shared" si="183"/>
        <v>#N/A</v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e">
        <f>IF('Cable Info'!R734="","",CONCATENATE('Cable Info'!R734," - ",'Cable Info'!S734))</f>
        <v>#N/A</v>
      </c>
      <c r="BB1030" s="121" t="e">
        <f t="shared" si="182"/>
        <v>#N/A</v>
      </c>
      <c r="BD1030" s="121" t="e">
        <f>IF('Cable Info'!T734="","",CONCATENATE('Cable Info'!T734," - ",'Cable Info'!U734))</f>
        <v>#N/A</v>
      </c>
      <c r="BG1030" s="121" t="e">
        <f t="shared" si="183"/>
        <v>#N/A</v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e">
        <f>IF('Cable Info'!R735="","",CONCATENATE('Cable Info'!R735," - ",'Cable Info'!S735))</f>
        <v>#N/A</v>
      </c>
      <c r="BB1031" s="121" t="e">
        <f t="shared" si="182"/>
        <v>#N/A</v>
      </c>
      <c r="BD1031" s="121" t="e">
        <f>IF('Cable Info'!T735="","",CONCATENATE('Cable Info'!T735," - ",'Cable Info'!U735))</f>
        <v>#N/A</v>
      </c>
      <c r="BG1031" s="121" t="e">
        <f t="shared" si="183"/>
        <v>#N/A</v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e">
        <f>IF('Cable Info'!R736="","",CONCATENATE('Cable Info'!R736," - ",'Cable Info'!S736))</f>
        <v>#N/A</v>
      </c>
      <c r="BB1032" s="121" t="e">
        <f t="shared" si="182"/>
        <v>#N/A</v>
      </c>
      <c r="BD1032" s="121" t="e">
        <f>IF('Cable Info'!T736="","",CONCATENATE('Cable Info'!T736," - ",'Cable Info'!U736))</f>
        <v>#N/A</v>
      </c>
      <c r="BG1032" s="121" t="e">
        <f t="shared" si="183"/>
        <v>#N/A</v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e">
        <f>IF('Cable Info'!R737="","",CONCATENATE('Cable Info'!R737," - ",'Cable Info'!S737))</f>
        <v>#N/A</v>
      </c>
      <c r="BB1033" s="121" t="e">
        <f t="shared" si="182"/>
        <v>#N/A</v>
      </c>
      <c r="BD1033" s="121" t="e">
        <f>IF('Cable Info'!T737="","",CONCATENATE('Cable Info'!T737," - ",'Cable Info'!U737))</f>
        <v>#N/A</v>
      </c>
      <c r="BG1033" s="121" t="e">
        <f t="shared" si="183"/>
        <v>#N/A</v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e">
        <f>IF('Cable Info'!R738="","",CONCATENATE('Cable Info'!R738," - ",'Cable Info'!S738))</f>
        <v>#N/A</v>
      </c>
      <c r="BB1034" s="121" t="e">
        <f t="shared" si="182"/>
        <v>#N/A</v>
      </c>
      <c r="BD1034" s="121" t="e">
        <f>IF('Cable Info'!T738="","",CONCATENATE('Cable Info'!T738," - ",'Cable Info'!U738))</f>
        <v>#N/A</v>
      </c>
      <c r="BG1034" s="121" t="e">
        <f t="shared" si="183"/>
        <v>#N/A</v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e">
        <f>IF('Cable Info'!R739="","",CONCATENATE('Cable Info'!R739," - ",'Cable Info'!S739))</f>
        <v>#N/A</v>
      </c>
      <c r="BB1035" s="121" t="e">
        <f t="shared" si="182"/>
        <v>#N/A</v>
      </c>
      <c r="BD1035" s="121" t="e">
        <f>IF('Cable Info'!T739="","",CONCATENATE('Cable Info'!T739," - ",'Cable Info'!U739))</f>
        <v>#N/A</v>
      </c>
      <c r="BG1035" s="121" t="e">
        <f t="shared" si="183"/>
        <v>#N/A</v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e">
        <f>IF('Cable Info'!R740="","",CONCATENATE('Cable Info'!R740," - ",'Cable Info'!S740))</f>
        <v>#N/A</v>
      </c>
      <c r="BB1036" s="121" t="e">
        <f t="shared" si="182"/>
        <v>#N/A</v>
      </c>
      <c r="BD1036" s="121" t="e">
        <f>IF('Cable Info'!T740="","",CONCATENATE('Cable Info'!T740," - ",'Cable Info'!U740))</f>
        <v>#N/A</v>
      </c>
      <c r="BG1036" s="121" t="e">
        <f t="shared" si="183"/>
        <v>#N/A</v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e">
        <f>IF('Cable Info'!R741="","",CONCATENATE('Cable Info'!R741," - ",'Cable Info'!S741))</f>
        <v>#N/A</v>
      </c>
      <c r="BB1037" s="121" t="e">
        <f t="shared" si="182"/>
        <v>#N/A</v>
      </c>
      <c r="BD1037" s="121" t="e">
        <f>IF('Cable Info'!T741="","",CONCATENATE('Cable Info'!T741," - ",'Cable Info'!U741))</f>
        <v>#N/A</v>
      </c>
      <c r="BG1037" s="121" t="e">
        <f t="shared" si="183"/>
        <v>#N/A</v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e">
        <f>IF('Cable Info'!R742="","",CONCATENATE('Cable Info'!R742," - ",'Cable Info'!S742))</f>
        <v>#N/A</v>
      </c>
      <c r="BB1038" s="121" t="e">
        <f t="shared" si="182"/>
        <v>#N/A</v>
      </c>
      <c r="BD1038" s="121" t="e">
        <f>IF('Cable Info'!T742="","",CONCATENATE('Cable Info'!T742," - ",'Cable Info'!U742))</f>
        <v>#N/A</v>
      </c>
      <c r="BG1038" s="121" t="e">
        <f t="shared" si="183"/>
        <v>#N/A</v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e">
        <f>IF('Cable Info'!R743="","",CONCATENATE('Cable Info'!R743," - ",'Cable Info'!S743))</f>
        <v>#N/A</v>
      </c>
      <c r="BB1039" s="121" t="e">
        <f t="shared" si="182"/>
        <v>#N/A</v>
      </c>
      <c r="BD1039" s="121" t="e">
        <f>IF('Cable Info'!T743="","",CONCATENATE('Cable Info'!T743," - ",'Cable Info'!U743))</f>
        <v>#N/A</v>
      </c>
      <c r="BG1039" s="121" t="e">
        <f t="shared" si="183"/>
        <v>#N/A</v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e">
        <f>IF('Cable Info'!R744="","",CONCATENATE('Cable Info'!R744," - ",'Cable Info'!S744))</f>
        <v>#N/A</v>
      </c>
      <c r="BB1040" s="121" t="e">
        <f t="shared" si="182"/>
        <v>#N/A</v>
      </c>
      <c r="BD1040" s="121" t="e">
        <f>IF('Cable Info'!T744="","",CONCATENATE('Cable Info'!T744," - ",'Cable Info'!U744))</f>
        <v>#N/A</v>
      </c>
      <c r="BG1040" s="121" t="e">
        <f t="shared" si="183"/>
        <v>#N/A</v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e">
        <f>IF('Cable Info'!R745="","",CONCATENATE('Cable Info'!R745," - ",'Cable Info'!S745))</f>
        <v>#N/A</v>
      </c>
      <c r="BB1041" s="121" t="e">
        <f t="shared" si="182"/>
        <v>#N/A</v>
      </c>
      <c r="BD1041" s="121" t="e">
        <f>IF('Cable Info'!T745="","",CONCATENATE('Cable Info'!T745," - ",'Cable Info'!U745))</f>
        <v>#N/A</v>
      </c>
      <c r="BG1041" s="121" t="e">
        <f t="shared" si="183"/>
        <v>#N/A</v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e">
        <f>IF('Cable Info'!R746="","",CONCATENATE('Cable Info'!R746," - ",'Cable Info'!S746))</f>
        <v>#N/A</v>
      </c>
      <c r="BB1042" s="121" t="e">
        <f t="shared" si="182"/>
        <v>#N/A</v>
      </c>
      <c r="BD1042" s="121" t="e">
        <f>IF('Cable Info'!T746="","",CONCATENATE('Cable Info'!T746," - ",'Cable Info'!U746))</f>
        <v>#N/A</v>
      </c>
      <c r="BG1042" s="121" t="e">
        <f t="shared" si="183"/>
        <v>#N/A</v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e">
        <f>IF('Cable Info'!R747="","",CONCATENATE('Cable Info'!R747," - ",'Cable Info'!S747))</f>
        <v>#N/A</v>
      </c>
      <c r="BB1043" s="121" t="e">
        <f t="shared" si="182"/>
        <v>#N/A</v>
      </c>
      <c r="BD1043" s="121" t="e">
        <f>IF('Cable Info'!T747="","",CONCATENATE('Cable Info'!T747," - ",'Cable Info'!U747))</f>
        <v>#N/A</v>
      </c>
      <c r="BG1043" s="121" t="e">
        <f t="shared" si="183"/>
        <v>#N/A</v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e">
        <f>IF('Cable Info'!R748="","",CONCATENATE('Cable Info'!R748," - ",'Cable Info'!S748))</f>
        <v>#N/A</v>
      </c>
      <c r="BB1044" s="121" t="e">
        <f t="shared" si="182"/>
        <v>#N/A</v>
      </c>
      <c r="BD1044" s="121" t="e">
        <f>IF('Cable Info'!T748="","",CONCATENATE('Cable Info'!T748," - ",'Cable Info'!U748))</f>
        <v>#N/A</v>
      </c>
      <c r="BG1044" s="121" t="e">
        <f t="shared" si="183"/>
        <v>#N/A</v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e">
        <f>IF('Cable Info'!R749="","",CONCATENATE('Cable Info'!R749," - ",'Cable Info'!S749))</f>
        <v>#N/A</v>
      </c>
      <c r="BB1045" s="121" t="e">
        <f t="shared" si="182"/>
        <v>#N/A</v>
      </c>
      <c r="BD1045" s="121" t="e">
        <f>IF('Cable Info'!T749="","",CONCATENATE('Cable Info'!T749," - ",'Cable Info'!U749))</f>
        <v>#N/A</v>
      </c>
      <c r="BG1045" s="121" t="e">
        <f t="shared" si="183"/>
        <v>#N/A</v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e">
        <f>IF('Cable Info'!R750="","",CONCATENATE('Cable Info'!R750," - ",'Cable Info'!S750))</f>
        <v>#N/A</v>
      </c>
      <c r="BB1046" s="121" t="e">
        <f t="shared" si="182"/>
        <v>#N/A</v>
      </c>
      <c r="BD1046" s="121" t="e">
        <f>IF('Cable Info'!T750="","",CONCATENATE('Cable Info'!T750," - ",'Cable Info'!U750))</f>
        <v>#N/A</v>
      </c>
      <c r="BG1046" s="121" t="e">
        <f t="shared" si="183"/>
        <v>#N/A</v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e">
        <f>IF('Cable Info'!R751="","",CONCATENATE('Cable Info'!R751," - ",'Cable Info'!S751))</f>
        <v>#N/A</v>
      </c>
      <c r="BB1047" s="121" t="e">
        <f t="shared" si="182"/>
        <v>#N/A</v>
      </c>
      <c r="BD1047" s="121" t="e">
        <f>IF('Cable Info'!T751="","",CONCATENATE('Cable Info'!T751," - ",'Cable Info'!U751))</f>
        <v>#N/A</v>
      </c>
      <c r="BG1047" s="121" t="e">
        <f t="shared" si="183"/>
        <v>#N/A</v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e">
        <f>IF('Cable Info'!R752="","",CONCATENATE('Cable Info'!R752," - ",'Cable Info'!S752))</f>
        <v>#N/A</v>
      </c>
      <c r="BB1048" s="121" t="e">
        <f t="shared" si="182"/>
        <v>#N/A</v>
      </c>
      <c r="BD1048" s="121" t="e">
        <f>IF('Cable Info'!T752="","",CONCATENATE('Cable Info'!T752," - ",'Cable Info'!U752))</f>
        <v>#N/A</v>
      </c>
      <c r="BG1048" s="121" t="e">
        <f t="shared" si="183"/>
        <v>#N/A</v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e">
        <f>IF('Cable Info'!R753="","",CONCATENATE('Cable Info'!R753," - ",'Cable Info'!S753))</f>
        <v>#N/A</v>
      </c>
      <c r="BB1049" s="121" t="e">
        <f t="shared" si="182"/>
        <v>#N/A</v>
      </c>
      <c r="BD1049" s="121" t="e">
        <f>IF('Cable Info'!T753="","",CONCATENATE('Cable Info'!T753," - ",'Cable Info'!U753))</f>
        <v>#N/A</v>
      </c>
      <c r="BG1049" s="121" t="e">
        <f t="shared" si="183"/>
        <v>#N/A</v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e">
        <f>IF('Cable Info'!R754="","",CONCATENATE('Cable Info'!R754," - ",'Cable Info'!S754))</f>
        <v>#N/A</v>
      </c>
      <c r="BB1050" s="121" t="e">
        <f t="shared" si="182"/>
        <v>#N/A</v>
      </c>
      <c r="BD1050" s="121" t="e">
        <f>IF('Cable Info'!T754="","",CONCATENATE('Cable Info'!T754," - ",'Cable Info'!U754))</f>
        <v>#N/A</v>
      </c>
      <c r="BG1050" s="121" t="e">
        <f t="shared" si="183"/>
        <v>#N/A</v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e">
        <f>IF('Cable Info'!R755="","",CONCATENATE('Cable Info'!R755," - ",'Cable Info'!S755))</f>
        <v>#N/A</v>
      </c>
      <c r="BB1051" s="121" t="e">
        <f t="shared" si="182"/>
        <v>#N/A</v>
      </c>
      <c r="BD1051" s="121" t="e">
        <f>IF('Cable Info'!T755="","",CONCATENATE('Cable Info'!T755," - ",'Cable Info'!U755))</f>
        <v>#N/A</v>
      </c>
      <c r="BG1051" s="121" t="e">
        <f t="shared" si="183"/>
        <v>#N/A</v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e">
        <f>IF('Cable Info'!R756="","",CONCATENATE('Cable Info'!R756," - ",'Cable Info'!S756))</f>
        <v>#N/A</v>
      </c>
      <c r="BB1052" s="121" t="e">
        <f t="shared" si="182"/>
        <v>#N/A</v>
      </c>
      <c r="BD1052" s="121" t="e">
        <f>IF('Cable Info'!T756="","",CONCATENATE('Cable Info'!T756," - ",'Cable Info'!U756))</f>
        <v>#N/A</v>
      </c>
      <c r="BG1052" s="121" t="e">
        <f t="shared" si="183"/>
        <v>#N/A</v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e">
        <f>IF('Cable Info'!R757="","",CONCATENATE('Cable Info'!R757," - ",'Cable Info'!S757))</f>
        <v>#N/A</v>
      </c>
      <c r="BB1053" s="121" t="e">
        <f t="shared" si="182"/>
        <v>#N/A</v>
      </c>
      <c r="BD1053" s="121" t="e">
        <f>IF('Cable Info'!T757="","",CONCATENATE('Cable Info'!T757," - ",'Cable Info'!U757))</f>
        <v>#N/A</v>
      </c>
      <c r="BG1053" s="121" t="e">
        <f t="shared" si="183"/>
        <v>#N/A</v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e">
        <f>IF('Cable Info'!R758="","",CONCATENATE('Cable Info'!R758," - ",'Cable Info'!S758))</f>
        <v>#N/A</v>
      </c>
      <c r="BB1054" s="121" t="e">
        <f t="shared" si="182"/>
        <v>#N/A</v>
      </c>
      <c r="BD1054" s="121" t="e">
        <f>IF('Cable Info'!T758="","",CONCATENATE('Cable Info'!T758," - ",'Cable Info'!U758))</f>
        <v>#N/A</v>
      </c>
      <c r="BG1054" s="121" t="e">
        <f t="shared" si="183"/>
        <v>#N/A</v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e">
        <f>IF('Cable Info'!R759="","",CONCATENATE('Cable Info'!R759," - ",'Cable Info'!S759))</f>
        <v>#N/A</v>
      </c>
      <c r="BB1055" s="121" t="e">
        <f t="shared" si="182"/>
        <v>#N/A</v>
      </c>
      <c r="BD1055" s="121" t="e">
        <f>IF('Cable Info'!T759="","",CONCATENATE('Cable Info'!T759," - ",'Cable Info'!U759))</f>
        <v>#N/A</v>
      </c>
      <c r="BG1055" s="121" t="e">
        <f t="shared" si="183"/>
        <v>#N/A</v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e">
        <f>IF('Cable Info'!R760="","",CONCATENATE('Cable Info'!R760," - ",'Cable Info'!S760))</f>
        <v>#N/A</v>
      </c>
      <c r="BB1056" s="121" t="e">
        <f t="shared" si="182"/>
        <v>#N/A</v>
      </c>
      <c r="BD1056" s="121" t="e">
        <f>IF('Cable Info'!T760="","",CONCATENATE('Cable Info'!T760," - ",'Cable Info'!U760))</f>
        <v>#N/A</v>
      </c>
      <c r="BG1056" s="121" t="e">
        <f t="shared" si="183"/>
        <v>#N/A</v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e">
        <f>IF('Cable Info'!R761="","",CONCATENATE('Cable Info'!R761," - ",'Cable Info'!S761))</f>
        <v>#N/A</v>
      </c>
      <c r="BB1057" s="121" t="e">
        <f t="shared" si="182"/>
        <v>#N/A</v>
      </c>
      <c r="BD1057" s="121" t="e">
        <f>IF('Cable Info'!T761="","",CONCATENATE('Cable Info'!T761," - ",'Cable Info'!U761))</f>
        <v>#N/A</v>
      </c>
      <c r="BG1057" s="121" t="e">
        <f t="shared" si="183"/>
        <v>#N/A</v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e">
        <f>IF('Cable Info'!R762="","",CONCATENATE('Cable Info'!R762," - ",'Cable Info'!S762))</f>
        <v>#N/A</v>
      </c>
      <c r="BB1058" s="121" t="e">
        <f t="shared" si="182"/>
        <v>#N/A</v>
      </c>
      <c r="BD1058" s="121" t="e">
        <f>IF('Cable Info'!T762="","",CONCATENATE('Cable Info'!T762," - ",'Cable Info'!U762))</f>
        <v>#N/A</v>
      </c>
      <c r="BG1058" s="121" t="e">
        <f t="shared" si="183"/>
        <v>#N/A</v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e">
        <f>IF('Cable Info'!R763="","",CONCATENATE('Cable Info'!R763," - ",'Cable Info'!S763))</f>
        <v>#N/A</v>
      </c>
      <c r="BB1059" s="121" t="e">
        <f t="shared" si="182"/>
        <v>#N/A</v>
      </c>
      <c r="BD1059" s="121" t="e">
        <f>IF('Cable Info'!T763="","",CONCATENATE('Cable Info'!T763," - ",'Cable Info'!U763))</f>
        <v>#N/A</v>
      </c>
      <c r="BG1059" s="121" t="e">
        <f t="shared" si="183"/>
        <v>#N/A</v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e">
        <f>IF('Cable Info'!R764="","",CONCATENATE('Cable Info'!R764," - ",'Cable Info'!S764))</f>
        <v>#N/A</v>
      </c>
      <c r="BB1060" s="121" t="e">
        <f t="shared" si="182"/>
        <v>#N/A</v>
      </c>
      <c r="BD1060" s="121" t="e">
        <f>IF('Cable Info'!T764="","",CONCATENATE('Cable Info'!T764," - ",'Cable Info'!U764))</f>
        <v>#N/A</v>
      </c>
      <c r="BG1060" s="121" t="e">
        <f t="shared" si="183"/>
        <v>#N/A</v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e">
        <f>IF('Cable Info'!R765="","",CONCATENATE('Cable Info'!R765," - ",'Cable Info'!S765))</f>
        <v>#N/A</v>
      </c>
      <c r="BB1061" s="121" t="e">
        <f t="shared" si="182"/>
        <v>#N/A</v>
      </c>
      <c r="BD1061" s="121" t="e">
        <f>IF('Cable Info'!T765="","",CONCATENATE('Cable Info'!T765," - ",'Cable Info'!U765))</f>
        <v>#N/A</v>
      </c>
      <c r="BG1061" s="121" t="e">
        <f t="shared" si="183"/>
        <v>#N/A</v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e">
        <f>IF('Cable Info'!R766="","",CONCATENATE('Cable Info'!R766," - ",'Cable Info'!S766))</f>
        <v>#N/A</v>
      </c>
      <c r="BB1062" s="121" t="e">
        <f t="shared" si="182"/>
        <v>#N/A</v>
      </c>
      <c r="BD1062" s="121" t="e">
        <f>IF('Cable Info'!T766="","",CONCATENATE('Cable Info'!T766," - ",'Cable Info'!U766))</f>
        <v>#N/A</v>
      </c>
      <c r="BG1062" s="121" t="e">
        <f t="shared" si="183"/>
        <v>#N/A</v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e">
        <f>IF('Cable Info'!R767="","",CONCATENATE('Cable Info'!R767," - ",'Cable Info'!S767))</f>
        <v>#N/A</v>
      </c>
      <c r="BB1063" s="121" t="e">
        <f t="shared" si="182"/>
        <v>#N/A</v>
      </c>
      <c r="BD1063" s="121" t="e">
        <f>IF('Cable Info'!T767="","",CONCATENATE('Cable Info'!T767," - ",'Cable Info'!U767))</f>
        <v>#N/A</v>
      </c>
      <c r="BG1063" s="121" t="e">
        <f t="shared" si="183"/>
        <v>#N/A</v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e">
        <f>IF('Cable Info'!R768="","",CONCATENATE('Cable Info'!R768," - ",'Cable Info'!S768))</f>
        <v>#N/A</v>
      </c>
      <c r="BB1064" s="121" t="e">
        <f t="shared" si="182"/>
        <v>#N/A</v>
      </c>
      <c r="BD1064" s="121" t="e">
        <f>IF('Cable Info'!T768="","",CONCATENATE('Cable Info'!T768," - ",'Cable Info'!U768))</f>
        <v>#N/A</v>
      </c>
      <c r="BG1064" s="121" t="e">
        <f t="shared" si="183"/>
        <v>#N/A</v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e">
        <f>IF('Cable Info'!R769="","",CONCATENATE('Cable Info'!R769," - ",'Cable Info'!S769))</f>
        <v>#N/A</v>
      </c>
      <c r="BB1065" s="121" t="e">
        <f t="shared" si="182"/>
        <v>#N/A</v>
      </c>
      <c r="BD1065" s="121" t="e">
        <f>IF('Cable Info'!T769="","",CONCATENATE('Cable Info'!T769," - ",'Cable Info'!U769))</f>
        <v>#N/A</v>
      </c>
      <c r="BG1065" s="121" t="e">
        <f t="shared" si="183"/>
        <v>#N/A</v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e">
        <f>IF('Cable Info'!R770="","",CONCATENATE('Cable Info'!R770," - ",'Cable Info'!S770))</f>
        <v>#N/A</v>
      </c>
      <c r="BB1066" s="121" t="e">
        <f t="shared" si="182"/>
        <v>#N/A</v>
      </c>
      <c r="BD1066" s="121" t="e">
        <f>IF('Cable Info'!T770="","",CONCATENATE('Cable Info'!T770," - ",'Cable Info'!U770))</f>
        <v>#N/A</v>
      </c>
      <c r="BG1066" s="121" t="e">
        <f t="shared" si="183"/>
        <v>#N/A</v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e">
        <f>IF('Cable Info'!R771="","",CONCATENATE('Cable Info'!R771," - ",'Cable Info'!S771))</f>
        <v>#N/A</v>
      </c>
      <c r="BB1067" s="121" t="e">
        <f t="shared" ref="BB1067:BB1130" si="188">IF(AZ1067="",AY1067,CONCATENATE(AY1067,"  &lt;=&gt; ",AZ1067," ",BA1067))</f>
        <v>#N/A</v>
      </c>
      <c r="BD1067" s="121" t="e">
        <f>IF('Cable Info'!T771="","",CONCATENATE('Cable Info'!T771," - ",'Cable Info'!U771))</f>
        <v>#N/A</v>
      </c>
      <c r="BG1067" s="121" t="e">
        <f t="shared" ref="BG1067:BG1130" si="189">IF(BE1067="",BD1067,CONCATENATE(BD1067,"  &lt;=&gt; ",BE1067," ",BF1067))</f>
        <v>#N/A</v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e">
        <f>IF('Cable Info'!R772="","",CONCATENATE('Cable Info'!R772," - ",'Cable Info'!S772))</f>
        <v>#N/A</v>
      </c>
      <c r="BB1068" s="121" t="e">
        <f t="shared" si="188"/>
        <v>#N/A</v>
      </c>
      <c r="BD1068" s="121" t="e">
        <f>IF('Cable Info'!T772="","",CONCATENATE('Cable Info'!T772," - ",'Cable Info'!U772))</f>
        <v>#N/A</v>
      </c>
      <c r="BG1068" s="121" t="e">
        <f t="shared" si="189"/>
        <v>#N/A</v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e">
        <f>IF('Cable Info'!R773="","",CONCATENATE('Cable Info'!R773," - ",'Cable Info'!S773))</f>
        <v>#N/A</v>
      </c>
      <c r="BB1069" s="121" t="e">
        <f t="shared" si="188"/>
        <v>#N/A</v>
      </c>
      <c r="BD1069" s="121" t="e">
        <f>IF('Cable Info'!T773="","",CONCATENATE('Cable Info'!T773," - ",'Cable Info'!U773))</f>
        <v>#N/A</v>
      </c>
      <c r="BG1069" s="121" t="e">
        <f t="shared" si="189"/>
        <v>#N/A</v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e">
        <f>IF('Cable Info'!R774="","",CONCATENATE('Cable Info'!R774," - ",'Cable Info'!S774))</f>
        <v>#N/A</v>
      </c>
      <c r="BB1070" s="121" t="e">
        <f t="shared" si="188"/>
        <v>#N/A</v>
      </c>
      <c r="BD1070" s="121" t="e">
        <f>IF('Cable Info'!T774="","",CONCATENATE('Cable Info'!T774," - ",'Cable Info'!U774))</f>
        <v>#N/A</v>
      </c>
      <c r="BG1070" s="121" t="e">
        <f t="shared" si="189"/>
        <v>#N/A</v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e">
        <f>IF('Cable Info'!R775="","",CONCATENATE('Cable Info'!R775," - ",'Cable Info'!S775))</f>
        <v>#N/A</v>
      </c>
      <c r="BB1071" s="121" t="e">
        <f t="shared" si="188"/>
        <v>#N/A</v>
      </c>
      <c r="BD1071" s="121" t="e">
        <f>IF('Cable Info'!T775="","",CONCATENATE('Cable Info'!T775," - ",'Cable Info'!U775))</f>
        <v>#N/A</v>
      </c>
      <c r="BG1071" s="121" t="e">
        <f t="shared" si="189"/>
        <v>#N/A</v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e">
        <f>IF('Cable Info'!R776="","",CONCATENATE('Cable Info'!R776," - ",'Cable Info'!S776))</f>
        <v>#N/A</v>
      </c>
      <c r="BB1072" s="121" t="e">
        <f t="shared" si="188"/>
        <v>#N/A</v>
      </c>
      <c r="BD1072" s="121" t="e">
        <f>IF('Cable Info'!T776="","",CONCATENATE('Cable Info'!T776," - ",'Cable Info'!U776))</f>
        <v>#N/A</v>
      </c>
      <c r="BG1072" s="121" t="e">
        <f t="shared" si="189"/>
        <v>#N/A</v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e">
        <f>IF('Cable Info'!R777="","",CONCATENATE('Cable Info'!R777," - ",'Cable Info'!S777))</f>
        <v>#N/A</v>
      </c>
      <c r="BB1073" s="121" t="e">
        <f t="shared" si="188"/>
        <v>#N/A</v>
      </c>
      <c r="BD1073" s="121" t="e">
        <f>IF('Cable Info'!T777="","",CONCATENATE('Cable Info'!T777," - ",'Cable Info'!U777))</f>
        <v>#N/A</v>
      </c>
      <c r="BG1073" s="121" t="e">
        <f t="shared" si="189"/>
        <v>#N/A</v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e">
        <f>IF('Cable Info'!R778="","",CONCATENATE('Cable Info'!R778," - ",'Cable Info'!S778))</f>
        <v>#N/A</v>
      </c>
      <c r="BB1074" s="121" t="e">
        <f t="shared" si="188"/>
        <v>#N/A</v>
      </c>
      <c r="BD1074" s="121" t="e">
        <f>IF('Cable Info'!T778="","",CONCATENATE('Cable Info'!T778," - ",'Cable Info'!U778))</f>
        <v>#N/A</v>
      </c>
      <c r="BG1074" s="121" t="e">
        <f t="shared" si="189"/>
        <v>#N/A</v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e">
        <f>IF('Cable Info'!R779="","",CONCATENATE('Cable Info'!R779," - ",'Cable Info'!S779))</f>
        <v>#N/A</v>
      </c>
      <c r="BB1075" s="121" t="e">
        <f t="shared" si="188"/>
        <v>#N/A</v>
      </c>
      <c r="BD1075" s="121" t="e">
        <f>IF('Cable Info'!T779="","",CONCATENATE('Cable Info'!T779," - ",'Cable Info'!U779))</f>
        <v>#N/A</v>
      </c>
      <c r="BG1075" s="121" t="e">
        <f t="shared" si="189"/>
        <v>#N/A</v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e">
        <f>IF('Cable Info'!R780="","",CONCATENATE('Cable Info'!R780," - ",'Cable Info'!S780))</f>
        <v>#N/A</v>
      </c>
      <c r="BB1076" s="121" t="e">
        <f t="shared" si="188"/>
        <v>#N/A</v>
      </c>
      <c r="BD1076" s="121" t="e">
        <f>IF('Cable Info'!T780="","",CONCATENATE('Cable Info'!T780," - ",'Cable Info'!U780))</f>
        <v>#N/A</v>
      </c>
      <c r="BG1076" s="121" t="e">
        <f t="shared" si="189"/>
        <v>#N/A</v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e">
        <f>IF('Cable Info'!R781="","",CONCATENATE('Cable Info'!R781," - ",'Cable Info'!S781))</f>
        <v>#N/A</v>
      </c>
      <c r="BB1077" s="121" t="e">
        <f t="shared" si="188"/>
        <v>#N/A</v>
      </c>
      <c r="BD1077" s="121" t="e">
        <f>IF('Cable Info'!T781="","",CONCATENATE('Cable Info'!T781," - ",'Cable Info'!U781))</f>
        <v>#N/A</v>
      </c>
      <c r="BG1077" s="121" t="e">
        <f t="shared" si="189"/>
        <v>#N/A</v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e">
        <f>IF('Cable Info'!R782="","",CONCATENATE('Cable Info'!R782," - ",'Cable Info'!S782))</f>
        <v>#N/A</v>
      </c>
      <c r="BB1078" s="121" t="e">
        <f t="shared" si="188"/>
        <v>#N/A</v>
      </c>
      <c r="BD1078" s="121" t="e">
        <f>IF('Cable Info'!T782="","",CONCATENATE('Cable Info'!T782," - ",'Cable Info'!U782))</f>
        <v>#N/A</v>
      </c>
      <c r="BG1078" s="121" t="e">
        <f t="shared" si="189"/>
        <v>#N/A</v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e">
        <f>IF('Cable Info'!R783="","",CONCATENATE('Cable Info'!R783," - ",'Cable Info'!S783))</f>
        <v>#N/A</v>
      </c>
      <c r="BB1079" s="121" t="e">
        <f t="shared" si="188"/>
        <v>#N/A</v>
      </c>
      <c r="BD1079" s="121" t="e">
        <f>IF('Cable Info'!T783="","",CONCATENATE('Cable Info'!T783," - ",'Cable Info'!U783))</f>
        <v>#N/A</v>
      </c>
      <c r="BG1079" s="121" t="e">
        <f t="shared" si="189"/>
        <v>#N/A</v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e">
        <f>IF('Cable Info'!R784="","",CONCATENATE('Cable Info'!R784," - ",'Cable Info'!S784))</f>
        <v>#N/A</v>
      </c>
      <c r="BB1080" s="121" t="e">
        <f t="shared" si="188"/>
        <v>#N/A</v>
      </c>
      <c r="BD1080" s="121" t="e">
        <f>IF('Cable Info'!T784="","",CONCATENATE('Cable Info'!T784," - ",'Cable Info'!U784))</f>
        <v>#N/A</v>
      </c>
      <c r="BG1080" s="121" t="e">
        <f t="shared" si="189"/>
        <v>#N/A</v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e">
        <f>IF('Cable Info'!R785="","",CONCATENATE('Cable Info'!R785," - ",'Cable Info'!S785))</f>
        <v>#N/A</v>
      </c>
      <c r="BB1081" s="121" t="e">
        <f t="shared" si="188"/>
        <v>#N/A</v>
      </c>
      <c r="BD1081" s="121" t="e">
        <f>IF('Cable Info'!T785="","",CONCATENATE('Cable Info'!T785," - ",'Cable Info'!U785))</f>
        <v>#N/A</v>
      </c>
      <c r="BG1081" s="121" t="e">
        <f t="shared" si="189"/>
        <v>#N/A</v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e">
        <f>IF('Cable Info'!R786="","",CONCATENATE('Cable Info'!R786," - ",'Cable Info'!S786))</f>
        <v>#N/A</v>
      </c>
      <c r="BB1082" s="121" t="e">
        <f t="shared" si="188"/>
        <v>#N/A</v>
      </c>
      <c r="BD1082" s="121" t="e">
        <f>IF('Cable Info'!T786="","",CONCATENATE('Cable Info'!T786," - ",'Cable Info'!U786))</f>
        <v>#N/A</v>
      </c>
      <c r="BG1082" s="121" t="e">
        <f t="shared" si="189"/>
        <v>#N/A</v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e">
        <f>IF('Cable Info'!R787="","",CONCATENATE('Cable Info'!R787," - ",'Cable Info'!S787))</f>
        <v>#N/A</v>
      </c>
      <c r="BB1083" s="121" t="e">
        <f t="shared" si="188"/>
        <v>#N/A</v>
      </c>
      <c r="BD1083" s="121" t="e">
        <f>IF('Cable Info'!T787="","",CONCATENATE('Cable Info'!T787," - ",'Cable Info'!U787))</f>
        <v>#N/A</v>
      </c>
      <c r="BG1083" s="121" t="e">
        <f t="shared" si="189"/>
        <v>#N/A</v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e">
        <f>IF('Cable Info'!R788="","",CONCATENATE('Cable Info'!R788," - ",'Cable Info'!S788))</f>
        <v>#N/A</v>
      </c>
      <c r="BB1084" s="121" t="e">
        <f t="shared" si="188"/>
        <v>#N/A</v>
      </c>
      <c r="BD1084" s="121" t="e">
        <f>IF('Cable Info'!T788="","",CONCATENATE('Cable Info'!T788," - ",'Cable Info'!U788))</f>
        <v>#N/A</v>
      </c>
      <c r="BG1084" s="121" t="e">
        <f t="shared" si="189"/>
        <v>#N/A</v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e">
        <f>IF('Cable Info'!R789="","",CONCATENATE('Cable Info'!R789," - ",'Cable Info'!S789))</f>
        <v>#N/A</v>
      </c>
      <c r="BB1085" s="121" t="e">
        <f t="shared" si="188"/>
        <v>#N/A</v>
      </c>
      <c r="BD1085" s="121" t="e">
        <f>IF('Cable Info'!T789="","",CONCATENATE('Cable Info'!T789," - ",'Cable Info'!U789))</f>
        <v>#N/A</v>
      </c>
      <c r="BG1085" s="121" t="e">
        <f t="shared" si="189"/>
        <v>#N/A</v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e">
        <f>IF('Cable Info'!R790="","",CONCATENATE('Cable Info'!R790," - ",'Cable Info'!S790))</f>
        <v>#N/A</v>
      </c>
      <c r="BB1086" s="121" t="e">
        <f t="shared" si="188"/>
        <v>#N/A</v>
      </c>
      <c r="BD1086" s="121" t="e">
        <f>IF('Cable Info'!T790="","",CONCATENATE('Cable Info'!T790," - ",'Cable Info'!U790))</f>
        <v>#N/A</v>
      </c>
      <c r="BG1086" s="121" t="e">
        <f t="shared" si="189"/>
        <v>#N/A</v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e">
        <f>IF('Cable Info'!R791="","",CONCATENATE('Cable Info'!R791," - ",'Cable Info'!S791))</f>
        <v>#N/A</v>
      </c>
      <c r="BB1087" s="121" t="e">
        <f t="shared" si="188"/>
        <v>#N/A</v>
      </c>
      <c r="BD1087" s="121" t="e">
        <f>IF('Cable Info'!T791="","",CONCATENATE('Cable Info'!T791," - ",'Cable Info'!U791))</f>
        <v>#N/A</v>
      </c>
      <c r="BG1087" s="121" t="e">
        <f t="shared" si="189"/>
        <v>#N/A</v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e">
        <f>IF('Cable Info'!R792="","",CONCATENATE('Cable Info'!R792," - ",'Cable Info'!S792))</f>
        <v>#N/A</v>
      </c>
      <c r="BB1088" s="121" t="e">
        <f t="shared" si="188"/>
        <v>#N/A</v>
      </c>
      <c r="BD1088" s="121" t="e">
        <f>IF('Cable Info'!T792="","",CONCATENATE('Cable Info'!T792," - ",'Cable Info'!U792))</f>
        <v>#N/A</v>
      </c>
      <c r="BG1088" s="121" t="e">
        <f t="shared" si="189"/>
        <v>#N/A</v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e">
        <f>IF('Cable Info'!R793="","",CONCATENATE('Cable Info'!R793," - ",'Cable Info'!S793))</f>
        <v>#N/A</v>
      </c>
      <c r="BB1089" s="121" t="e">
        <f t="shared" si="188"/>
        <v>#N/A</v>
      </c>
      <c r="BD1089" s="121" t="e">
        <f>IF('Cable Info'!T793="","",CONCATENATE('Cable Info'!T793," - ",'Cable Info'!U793))</f>
        <v>#N/A</v>
      </c>
      <c r="BG1089" s="121" t="e">
        <f t="shared" si="189"/>
        <v>#N/A</v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e">
        <f>IF('Cable Info'!R794="","",CONCATENATE('Cable Info'!R794," - ",'Cable Info'!S794))</f>
        <v>#N/A</v>
      </c>
      <c r="BB1090" s="121" t="e">
        <f t="shared" si="188"/>
        <v>#N/A</v>
      </c>
      <c r="BD1090" s="121" t="e">
        <f>IF('Cable Info'!T794="","",CONCATENATE('Cable Info'!T794," - ",'Cable Info'!U794))</f>
        <v>#N/A</v>
      </c>
      <c r="BG1090" s="121" t="e">
        <f t="shared" si="189"/>
        <v>#N/A</v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e">
        <f>IF('Cable Info'!R795="","",CONCATENATE('Cable Info'!R795," - ",'Cable Info'!S795))</f>
        <v>#N/A</v>
      </c>
      <c r="BB1091" s="121" t="e">
        <f t="shared" si="188"/>
        <v>#N/A</v>
      </c>
      <c r="BD1091" s="121" t="e">
        <f>IF('Cable Info'!T795="","",CONCATENATE('Cable Info'!T795," - ",'Cable Info'!U795))</f>
        <v>#N/A</v>
      </c>
      <c r="BG1091" s="121" t="e">
        <f t="shared" si="189"/>
        <v>#N/A</v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e">
        <f>IF('Cable Info'!R796="","",CONCATENATE('Cable Info'!R796," - ",'Cable Info'!S796))</f>
        <v>#N/A</v>
      </c>
      <c r="BB1092" s="121" t="e">
        <f t="shared" si="188"/>
        <v>#N/A</v>
      </c>
      <c r="BD1092" s="121" t="e">
        <f>IF('Cable Info'!T796="","",CONCATENATE('Cable Info'!T796," - ",'Cable Info'!U796))</f>
        <v>#N/A</v>
      </c>
      <c r="BG1092" s="121" t="e">
        <f t="shared" si="189"/>
        <v>#N/A</v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e">
        <f>IF('Cable Info'!R797="","",CONCATENATE('Cable Info'!R797," - ",'Cable Info'!S797))</f>
        <v>#N/A</v>
      </c>
      <c r="BB1093" s="121" t="e">
        <f t="shared" si="188"/>
        <v>#N/A</v>
      </c>
      <c r="BD1093" s="121" t="e">
        <f>IF('Cable Info'!T797="","",CONCATENATE('Cable Info'!T797," - ",'Cable Info'!U797))</f>
        <v>#N/A</v>
      </c>
      <c r="BG1093" s="121" t="e">
        <f t="shared" si="189"/>
        <v>#N/A</v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e">
        <f>IF('Cable Info'!R798="","",CONCATENATE('Cable Info'!R798," - ",'Cable Info'!S798))</f>
        <v>#N/A</v>
      </c>
      <c r="BB1094" s="121" t="e">
        <f t="shared" si="188"/>
        <v>#N/A</v>
      </c>
      <c r="BD1094" s="121" t="e">
        <f>IF('Cable Info'!T798="","",CONCATENATE('Cable Info'!T798," - ",'Cable Info'!U798))</f>
        <v>#N/A</v>
      </c>
      <c r="BG1094" s="121" t="e">
        <f t="shared" si="189"/>
        <v>#N/A</v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e">
        <f>IF('Cable Info'!R799="","",CONCATENATE('Cable Info'!R799," - ",'Cable Info'!S799))</f>
        <v>#N/A</v>
      </c>
      <c r="BB1095" s="121" t="e">
        <f t="shared" si="188"/>
        <v>#N/A</v>
      </c>
      <c r="BD1095" s="121" t="e">
        <f>IF('Cable Info'!T799="","",CONCATENATE('Cable Info'!T799," - ",'Cable Info'!U799))</f>
        <v>#N/A</v>
      </c>
      <c r="BG1095" s="121" t="e">
        <f t="shared" si="189"/>
        <v>#N/A</v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e">
        <f>IF('Cable Info'!R800="","",CONCATENATE('Cable Info'!R800," - ",'Cable Info'!S800))</f>
        <v>#N/A</v>
      </c>
      <c r="BB1096" s="121" t="e">
        <f t="shared" si="188"/>
        <v>#N/A</v>
      </c>
      <c r="BD1096" s="121" t="e">
        <f>IF('Cable Info'!T800="","",CONCATENATE('Cable Info'!T800," - ",'Cable Info'!U800))</f>
        <v>#N/A</v>
      </c>
      <c r="BG1096" s="121" t="e">
        <f t="shared" si="189"/>
        <v>#N/A</v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e">
        <f>IF('Cable Info'!R801="","",CONCATENATE('Cable Info'!R801," - ",'Cable Info'!S801))</f>
        <v>#N/A</v>
      </c>
      <c r="BB1097" s="121" t="e">
        <f t="shared" si="188"/>
        <v>#N/A</v>
      </c>
      <c r="BD1097" s="121" t="e">
        <f>IF('Cable Info'!T801="","",CONCATENATE('Cable Info'!T801," - ",'Cable Info'!U801))</f>
        <v>#N/A</v>
      </c>
      <c r="BG1097" s="121" t="e">
        <f t="shared" si="189"/>
        <v>#N/A</v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e">
        <f>IF('Cable Info'!R802="","",CONCATENATE('Cable Info'!R802," - ",'Cable Info'!S802))</f>
        <v>#N/A</v>
      </c>
      <c r="BB1098" s="121" t="e">
        <f t="shared" si="188"/>
        <v>#N/A</v>
      </c>
      <c r="BD1098" s="121" t="e">
        <f>IF('Cable Info'!T802="","",CONCATENATE('Cable Info'!T802," - ",'Cable Info'!U802))</f>
        <v>#N/A</v>
      </c>
      <c r="BG1098" s="121" t="e">
        <f t="shared" si="189"/>
        <v>#N/A</v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e">
        <f>IF('Cable Info'!R803="","",CONCATENATE('Cable Info'!R803," - ",'Cable Info'!S803))</f>
        <v>#N/A</v>
      </c>
      <c r="BB1099" s="121" t="e">
        <f t="shared" si="188"/>
        <v>#N/A</v>
      </c>
      <c r="BD1099" s="121" t="e">
        <f>IF('Cable Info'!T803="","",CONCATENATE('Cable Info'!T803," - ",'Cable Info'!U803))</f>
        <v>#N/A</v>
      </c>
      <c r="BG1099" s="121" t="e">
        <f t="shared" si="189"/>
        <v>#N/A</v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e">
        <f>IF('Cable Info'!R804="","",CONCATENATE('Cable Info'!R804," - ",'Cable Info'!S804))</f>
        <v>#N/A</v>
      </c>
      <c r="BB1100" s="121" t="e">
        <f t="shared" si="188"/>
        <v>#N/A</v>
      </c>
      <c r="BD1100" s="121" t="e">
        <f>IF('Cable Info'!T804="","",CONCATENATE('Cable Info'!T804," - ",'Cable Info'!U804))</f>
        <v>#N/A</v>
      </c>
      <c r="BG1100" s="121" t="e">
        <f t="shared" si="189"/>
        <v>#N/A</v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e">
        <f>IF('Cable Info'!R805="","",CONCATENATE('Cable Info'!R805," - ",'Cable Info'!S805))</f>
        <v>#N/A</v>
      </c>
      <c r="BB1101" s="121" t="e">
        <f t="shared" si="188"/>
        <v>#N/A</v>
      </c>
      <c r="BD1101" s="121" t="e">
        <f>IF('Cable Info'!T805="","",CONCATENATE('Cable Info'!T805," - ",'Cable Info'!U805))</f>
        <v>#N/A</v>
      </c>
      <c r="BG1101" s="121" t="e">
        <f t="shared" si="189"/>
        <v>#N/A</v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e">
        <f>IF('Cable Info'!R806="","",CONCATENATE('Cable Info'!R806," - ",'Cable Info'!S806))</f>
        <v>#N/A</v>
      </c>
      <c r="BB1102" s="121" t="e">
        <f t="shared" si="188"/>
        <v>#N/A</v>
      </c>
      <c r="BD1102" s="121" t="e">
        <f>IF('Cable Info'!T806="","",CONCATENATE('Cable Info'!T806," - ",'Cable Info'!U806))</f>
        <v>#N/A</v>
      </c>
      <c r="BG1102" s="121" t="e">
        <f t="shared" si="189"/>
        <v>#N/A</v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e">
        <f>IF('Cable Info'!R807="","",CONCATENATE('Cable Info'!R807," - ",'Cable Info'!S807))</f>
        <v>#N/A</v>
      </c>
      <c r="BB1103" s="121" t="e">
        <f t="shared" si="188"/>
        <v>#N/A</v>
      </c>
      <c r="BD1103" s="121" t="e">
        <f>IF('Cable Info'!T807="","",CONCATENATE('Cable Info'!T807," - ",'Cable Info'!U807))</f>
        <v>#N/A</v>
      </c>
      <c r="BG1103" s="121" t="e">
        <f t="shared" si="189"/>
        <v>#N/A</v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e">
        <f>IF('Cable Info'!R808="","",CONCATENATE('Cable Info'!R808," - ",'Cable Info'!S808))</f>
        <v>#N/A</v>
      </c>
      <c r="BB1104" s="121" t="e">
        <f t="shared" si="188"/>
        <v>#N/A</v>
      </c>
      <c r="BD1104" s="121" t="e">
        <f>IF('Cable Info'!T808="","",CONCATENATE('Cable Info'!T808," - ",'Cable Info'!U808))</f>
        <v>#N/A</v>
      </c>
      <c r="BG1104" s="121" t="e">
        <f t="shared" si="189"/>
        <v>#N/A</v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e">
        <f>IF('Cable Info'!R809="","",CONCATENATE('Cable Info'!R809," - ",'Cable Info'!S809))</f>
        <v>#N/A</v>
      </c>
      <c r="BB1105" s="121" t="e">
        <f t="shared" si="188"/>
        <v>#N/A</v>
      </c>
      <c r="BD1105" s="121" t="e">
        <f>IF('Cable Info'!T809="","",CONCATENATE('Cable Info'!T809," - ",'Cable Info'!U809))</f>
        <v>#N/A</v>
      </c>
      <c r="BG1105" s="121" t="e">
        <f t="shared" si="189"/>
        <v>#N/A</v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e">
        <f>IF('Cable Info'!R810="","",CONCATENATE('Cable Info'!R810," - ",'Cable Info'!S810))</f>
        <v>#N/A</v>
      </c>
      <c r="BB1106" s="121" t="e">
        <f t="shared" si="188"/>
        <v>#N/A</v>
      </c>
      <c r="BD1106" s="121" t="e">
        <f>IF('Cable Info'!T810="","",CONCATENATE('Cable Info'!T810," - ",'Cable Info'!U810))</f>
        <v>#N/A</v>
      </c>
      <c r="BG1106" s="121" t="e">
        <f t="shared" si="189"/>
        <v>#N/A</v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e">
        <f>IF('Cable Info'!R811="","",CONCATENATE('Cable Info'!R811," - ",'Cable Info'!S811))</f>
        <v>#N/A</v>
      </c>
      <c r="BB1107" s="121" t="e">
        <f t="shared" si="188"/>
        <v>#N/A</v>
      </c>
      <c r="BD1107" s="121" t="e">
        <f>IF('Cable Info'!T811="","",CONCATENATE('Cable Info'!T811," - ",'Cable Info'!U811))</f>
        <v>#N/A</v>
      </c>
      <c r="BG1107" s="121" t="e">
        <f t="shared" si="189"/>
        <v>#N/A</v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e">
        <f>IF('Cable Info'!R812="","",CONCATENATE('Cable Info'!R812," - ",'Cable Info'!S812))</f>
        <v>#N/A</v>
      </c>
      <c r="BB1108" s="121" t="e">
        <f t="shared" si="188"/>
        <v>#N/A</v>
      </c>
      <c r="BD1108" s="121" t="e">
        <f>IF('Cable Info'!T812="","",CONCATENATE('Cable Info'!T812," - ",'Cable Info'!U812))</f>
        <v>#N/A</v>
      </c>
      <c r="BG1108" s="121" t="e">
        <f t="shared" si="189"/>
        <v>#N/A</v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e">
        <f>IF('Cable Info'!R813="","",CONCATENATE('Cable Info'!R813," - ",'Cable Info'!S813))</f>
        <v>#N/A</v>
      </c>
      <c r="BB1109" s="121" t="e">
        <f t="shared" si="188"/>
        <v>#N/A</v>
      </c>
      <c r="BD1109" s="121" t="e">
        <f>IF('Cable Info'!T813="","",CONCATENATE('Cable Info'!T813," - ",'Cable Info'!U813))</f>
        <v>#N/A</v>
      </c>
      <c r="BG1109" s="121" t="e">
        <f t="shared" si="189"/>
        <v>#N/A</v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e">
        <f>IF('Cable Info'!R814="","",CONCATENATE('Cable Info'!R814," - ",'Cable Info'!S814))</f>
        <v>#N/A</v>
      </c>
      <c r="BB1110" s="121" t="e">
        <f t="shared" si="188"/>
        <v>#N/A</v>
      </c>
      <c r="BD1110" s="121" t="e">
        <f>IF('Cable Info'!T814="","",CONCATENATE('Cable Info'!T814," - ",'Cable Info'!U814))</f>
        <v>#N/A</v>
      </c>
      <c r="BG1110" s="121" t="e">
        <f t="shared" si="189"/>
        <v>#N/A</v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e">
        <f>IF('Cable Info'!R815="","",CONCATENATE('Cable Info'!R815," - ",'Cable Info'!S815))</f>
        <v>#N/A</v>
      </c>
      <c r="BB1111" s="121" t="e">
        <f t="shared" si="188"/>
        <v>#N/A</v>
      </c>
      <c r="BD1111" s="121" t="e">
        <f>IF('Cable Info'!T815="","",CONCATENATE('Cable Info'!T815," - ",'Cable Info'!U815))</f>
        <v>#N/A</v>
      </c>
      <c r="BG1111" s="121" t="e">
        <f t="shared" si="189"/>
        <v>#N/A</v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e">
        <f>IF('Cable Info'!R816="","",CONCATENATE('Cable Info'!R816," - ",'Cable Info'!S816))</f>
        <v>#N/A</v>
      </c>
      <c r="BB1112" s="121" t="e">
        <f t="shared" si="188"/>
        <v>#N/A</v>
      </c>
      <c r="BD1112" s="121" t="e">
        <f>IF('Cable Info'!T816="","",CONCATENATE('Cable Info'!T816," - ",'Cable Info'!U816))</f>
        <v>#N/A</v>
      </c>
      <c r="BG1112" s="121" t="e">
        <f t="shared" si="189"/>
        <v>#N/A</v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e">
        <f>IF('Cable Info'!R817="","",CONCATENATE('Cable Info'!R817," - ",'Cable Info'!S817))</f>
        <v>#N/A</v>
      </c>
      <c r="BB1113" s="121" t="e">
        <f t="shared" si="188"/>
        <v>#N/A</v>
      </c>
      <c r="BD1113" s="121" t="e">
        <f>IF('Cable Info'!T817="","",CONCATENATE('Cable Info'!T817," - ",'Cable Info'!U817))</f>
        <v>#N/A</v>
      </c>
      <c r="BG1113" s="121" t="e">
        <f t="shared" si="189"/>
        <v>#N/A</v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e">
        <f>IF('Cable Info'!R818="","",CONCATENATE('Cable Info'!R818," - ",'Cable Info'!S818))</f>
        <v>#N/A</v>
      </c>
      <c r="BB1114" s="121" t="e">
        <f t="shared" si="188"/>
        <v>#N/A</v>
      </c>
      <c r="BD1114" s="121" t="e">
        <f>IF('Cable Info'!T818="","",CONCATENATE('Cable Info'!T818," - ",'Cable Info'!U818))</f>
        <v>#N/A</v>
      </c>
      <c r="BG1114" s="121" t="e">
        <f t="shared" si="189"/>
        <v>#N/A</v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e">
        <f>IF('Cable Info'!R819="","",CONCATENATE('Cable Info'!R819," - ",'Cable Info'!S819))</f>
        <v>#N/A</v>
      </c>
      <c r="BB1115" s="121" t="e">
        <f t="shared" si="188"/>
        <v>#N/A</v>
      </c>
      <c r="BD1115" s="121" t="e">
        <f>IF('Cable Info'!T819="","",CONCATENATE('Cable Info'!T819," - ",'Cable Info'!U819))</f>
        <v>#N/A</v>
      </c>
      <c r="BG1115" s="121" t="e">
        <f t="shared" si="189"/>
        <v>#N/A</v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e">
        <f>IF('Cable Info'!R820="","",CONCATENATE('Cable Info'!R820," - ",'Cable Info'!S820))</f>
        <v>#N/A</v>
      </c>
      <c r="BB1116" s="121" t="e">
        <f t="shared" si="188"/>
        <v>#N/A</v>
      </c>
      <c r="BD1116" s="121" t="e">
        <f>IF('Cable Info'!T820="","",CONCATENATE('Cable Info'!T820," - ",'Cable Info'!U820))</f>
        <v>#N/A</v>
      </c>
      <c r="BG1116" s="121" t="e">
        <f t="shared" si="189"/>
        <v>#N/A</v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e">
        <f>IF('Cable Info'!R821="","",CONCATENATE('Cable Info'!R821," - ",'Cable Info'!S821))</f>
        <v>#N/A</v>
      </c>
      <c r="BB1117" s="121" t="e">
        <f t="shared" si="188"/>
        <v>#N/A</v>
      </c>
      <c r="BD1117" s="121" t="e">
        <f>IF('Cable Info'!T821="","",CONCATENATE('Cable Info'!T821," - ",'Cable Info'!U821))</f>
        <v>#N/A</v>
      </c>
      <c r="BG1117" s="121" t="e">
        <f t="shared" si="189"/>
        <v>#N/A</v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e">
        <f>IF('Cable Info'!R822="","",CONCATENATE('Cable Info'!R822," - ",'Cable Info'!S822))</f>
        <v>#N/A</v>
      </c>
      <c r="BB1118" s="121" t="e">
        <f t="shared" si="188"/>
        <v>#N/A</v>
      </c>
      <c r="BD1118" s="121" t="e">
        <f>IF('Cable Info'!T822="","",CONCATENATE('Cable Info'!T822," - ",'Cable Info'!U822))</f>
        <v>#N/A</v>
      </c>
      <c r="BG1118" s="121" t="e">
        <f t="shared" si="189"/>
        <v>#N/A</v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e">
        <f>IF('Cable Info'!R823="","",CONCATENATE('Cable Info'!R823," - ",'Cable Info'!S823))</f>
        <v>#N/A</v>
      </c>
      <c r="BB1119" s="121" t="e">
        <f t="shared" si="188"/>
        <v>#N/A</v>
      </c>
      <c r="BD1119" s="121" t="e">
        <f>IF('Cable Info'!T823="","",CONCATENATE('Cable Info'!T823," - ",'Cable Info'!U823))</f>
        <v>#N/A</v>
      </c>
      <c r="BG1119" s="121" t="e">
        <f t="shared" si="189"/>
        <v>#N/A</v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e">
        <f>IF('Cable Info'!R824="","",CONCATENATE('Cable Info'!R824," - ",'Cable Info'!S824))</f>
        <v>#N/A</v>
      </c>
      <c r="BB1120" s="121" t="e">
        <f t="shared" si="188"/>
        <v>#N/A</v>
      </c>
      <c r="BD1120" s="121" t="e">
        <f>IF('Cable Info'!T824="","",CONCATENATE('Cable Info'!T824," - ",'Cable Info'!U824))</f>
        <v>#N/A</v>
      </c>
      <c r="BG1120" s="121" t="e">
        <f t="shared" si="189"/>
        <v>#N/A</v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e">
        <f>IF('Cable Info'!R825="","",CONCATENATE('Cable Info'!R825," - ",'Cable Info'!S825))</f>
        <v>#N/A</v>
      </c>
      <c r="BB1121" s="121" t="e">
        <f t="shared" si="188"/>
        <v>#N/A</v>
      </c>
      <c r="BD1121" s="121" t="e">
        <f>IF('Cable Info'!T825="","",CONCATENATE('Cable Info'!T825," - ",'Cable Info'!U825))</f>
        <v>#N/A</v>
      </c>
      <c r="BG1121" s="121" t="e">
        <f t="shared" si="189"/>
        <v>#N/A</v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e">
        <f>IF('Cable Info'!R826="","",CONCATENATE('Cable Info'!R826," - ",'Cable Info'!S826))</f>
        <v>#N/A</v>
      </c>
      <c r="BB1122" s="121" t="e">
        <f t="shared" si="188"/>
        <v>#N/A</v>
      </c>
      <c r="BD1122" s="121" t="e">
        <f>IF('Cable Info'!T826="","",CONCATENATE('Cable Info'!T826," - ",'Cable Info'!U826))</f>
        <v>#N/A</v>
      </c>
      <c r="BG1122" s="121" t="e">
        <f t="shared" si="189"/>
        <v>#N/A</v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e">
        <f>IF('Cable Info'!R827="","",CONCATENATE('Cable Info'!R827," - ",'Cable Info'!S827))</f>
        <v>#N/A</v>
      </c>
      <c r="BB1123" s="121" t="e">
        <f t="shared" si="188"/>
        <v>#N/A</v>
      </c>
      <c r="BD1123" s="121" t="e">
        <f>IF('Cable Info'!T827="","",CONCATENATE('Cable Info'!T827," - ",'Cable Info'!U827))</f>
        <v>#N/A</v>
      </c>
      <c r="BG1123" s="121" t="e">
        <f t="shared" si="189"/>
        <v>#N/A</v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e">
        <f>IF('Cable Info'!R828="","",CONCATENATE('Cable Info'!R828," - ",'Cable Info'!S828))</f>
        <v>#N/A</v>
      </c>
      <c r="BB1124" s="121" t="e">
        <f t="shared" si="188"/>
        <v>#N/A</v>
      </c>
      <c r="BD1124" s="121" t="e">
        <f>IF('Cable Info'!T828="","",CONCATENATE('Cable Info'!T828," - ",'Cable Info'!U828))</f>
        <v>#N/A</v>
      </c>
      <c r="BG1124" s="121" t="e">
        <f t="shared" si="189"/>
        <v>#N/A</v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e">
        <f>IF('Cable Info'!R829="","",CONCATENATE('Cable Info'!R829," - ",'Cable Info'!S829))</f>
        <v>#N/A</v>
      </c>
      <c r="BB1125" s="121" t="e">
        <f t="shared" si="188"/>
        <v>#N/A</v>
      </c>
      <c r="BD1125" s="121" t="e">
        <f>IF('Cable Info'!T829="","",CONCATENATE('Cable Info'!T829," - ",'Cable Info'!U829))</f>
        <v>#N/A</v>
      </c>
      <c r="BG1125" s="121" t="e">
        <f t="shared" si="189"/>
        <v>#N/A</v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e">
        <f>IF('Cable Info'!R830="","",CONCATENATE('Cable Info'!R830," - ",'Cable Info'!S830))</f>
        <v>#N/A</v>
      </c>
      <c r="BB1126" s="121" t="e">
        <f t="shared" si="188"/>
        <v>#N/A</v>
      </c>
      <c r="BD1126" s="121" t="e">
        <f>IF('Cable Info'!T830="","",CONCATENATE('Cable Info'!T830," - ",'Cable Info'!U830))</f>
        <v>#N/A</v>
      </c>
      <c r="BG1126" s="121" t="e">
        <f t="shared" si="189"/>
        <v>#N/A</v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e">
        <f>IF('Cable Info'!R831="","",CONCATENATE('Cable Info'!R831," - ",'Cable Info'!S831))</f>
        <v>#N/A</v>
      </c>
      <c r="BB1127" s="121" t="e">
        <f t="shared" si="188"/>
        <v>#N/A</v>
      </c>
      <c r="BD1127" s="121" t="e">
        <f>IF('Cable Info'!T831="","",CONCATENATE('Cable Info'!T831," - ",'Cable Info'!U831))</f>
        <v>#N/A</v>
      </c>
      <c r="BG1127" s="121" t="e">
        <f t="shared" si="189"/>
        <v>#N/A</v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e">
        <f>IF('Cable Info'!R832="","",CONCATENATE('Cable Info'!R832," - ",'Cable Info'!S832))</f>
        <v>#N/A</v>
      </c>
      <c r="BB1128" s="121" t="e">
        <f t="shared" si="188"/>
        <v>#N/A</v>
      </c>
      <c r="BD1128" s="121" t="e">
        <f>IF('Cable Info'!T832="","",CONCATENATE('Cable Info'!T832," - ",'Cable Info'!U832))</f>
        <v>#N/A</v>
      </c>
      <c r="BG1128" s="121" t="e">
        <f t="shared" si="189"/>
        <v>#N/A</v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e">
        <f>IF('Cable Info'!R833="","",CONCATENATE('Cable Info'!R833," - ",'Cable Info'!S833))</f>
        <v>#N/A</v>
      </c>
      <c r="BB1129" s="121" t="e">
        <f t="shared" si="188"/>
        <v>#N/A</v>
      </c>
      <c r="BD1129" s="121" t="e">
        <f>IF('Cable Info'!T833="","",CONCATENATE('Cable Info'!T833," - ",'Cable Info'!U833))</f>
        <v>#N/A</v>
      </c>
      <c r="BG1129" s="121" t="e">
        <f t="shared" si="189"/>
        <v>#N/A</v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e">
        <f>IF('Cable Info'!R834="","",CONCATENATE('Cable Info'!R834," - ",'Cable Info'!S834))</f>
        <v>#N/A</v>
      </c>
      <c r="BB1130" s="121" t="e">
        <f t="shared" si="188"/>
        <v>#N/A</v>
      </c>
      <c r="BD1130" s="121" t="e">
        <f>IF('Cable Info'!T834="","",CONCATENATE('Cable Info'!T834," - ",'Cable Info'!U834))</f>
        <v>#N/A</v>
      </c>
      <c r="BG1130" s="121" t="e">
        <f t="shared" si="189"/>
        <v>#N/A</v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e">
        <f>IF('Cable Info'!R835="","",CONCATENATE('Cable Info'!R835," - ",'Cable Info'!S835))</f>
        <v>#N/A</v>
      </c>
      <c r="BB1131" s="121" t="e">
        <f t="shared" ref="BB1131:BB1161" si="194">IF(AZ1131="",AY1131,CONCATENATE(AY1131,"  &lt;=&gt; ",AZ1131," ",BA1131))</f>
        <v>#N/A</v>
      </c>
      <c r="BD1131" s="121" t="e">
        <f>IF('Cable Info'!T835="","",CONCATENATE('Cable Info'!T835," - ",'Cable Info'!U835))</f>
        <v>#N/A</v>
      </c>
      <c r="BG1131" s="121" t="e">
        <f t="shared" ref="BG1131:BG1161" si="195">IF(BE1131="",BD1131,CONCATENATE(BD1131,"  &lt;=&gt; ",BE1131," ",BF1131))</f>
        <v>#N/A</v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e">
        <f>IF('Cable Info'!R836="","",CONCATENATE('Cable Info'!R836," - ",'Cable Info'!S836))</f>
        <v>#N/A</v>
      </c>
      <c r="BB1132" s="121" t="e">
        <f t="shared" si="194"/>
        <v>#N/A</v>
      </c>
      <c r="BD1132" s="121" t="e">
        <f>IF('Cable Info'!T836="","",CONCATENATE('Cable Info'!T836," - ",'Cable Info'!U836))</f>
        <v>#N/A</v>
      </c>
      <c r="BG1132" s="121" t="e">
        <f t="shared" si="195"/>
        <v>#N/A</v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e">
        <f>IF('Cable Info'!R837="","",CONCATENATE('Cable Info'!R837," - ",'Cable Info'!S837))</f>
        <v>#N/A</v>
      </c>
      <c r="BB1133" s="121" t="e">
        <f t="shared" si="194"/>
        <v>#N/A</v>
      </c>
      <c r="BD1133" s="121" t="e">
        <f>IF('Cable Info'!T837="","",CONCATENATE('Cable Info'!T837," - ",'Cable Info'!U837))</f>
        <v>#N/A</v>
      </c>
      <c r="BG1133" s="121" t="e">
        <f t="shared" si="195"/>
        <v>#N/A</v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e">
        <f>IF('Cable Info'!R838="","",CONCATENATE('Cable Info'!R838," - ",'Cable Info'!S838))</f>
        <v>#N/A</v>
      </c>
      <c r="BB1134" s="121" t="e">
        <f t="shared" si="194"/>
        <v>#N/A</v>
      </c>
      <c r="BD1134" s="121" t="e">
        <f>IF('Cable Info'!T838="","",CONCATENATE('Cable Info'!T838," - ",'Cable Info'!U838))</f>
        <v>#N/A</v>
      </c>
      <c r="BG1134" s="121" t="e">
        <f t="shared" si="195"/>
        <v>#N/A</v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e">
        <f>IF('Cable Info'!R839="","",CONCATENATE('Cable Info'!R839," - ",'Cable Info'!S839))</f>
        <v>#N/A</v>
      </c>
      <c r="BB1135" s="121" t="e">
        <f t="shared" si="194"/>
        <v>#N/A</v>
      </c>
      <c r="BD1135" s="121" t="e">
        <f>IF('Cable Info'!T839="","",CONCATENATE('Cable Info'!T839," - ",'Cable Info'!U839))</f>
        <v>#N/A</v>
      </c>
      <c r="BG1135" s="121" t="e">
        <f t="shared" si="195"/>
        <v>#N/A</v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e">
        <f>IF('Cable Info'!R840="","",CONCATENATE('Cable Info'!R840," - ",'Cable Info'!S840))</f>
        <v>#N/A</v>
      </c>
      <c r="BB1136" s="121" t="e">
        <f t="shared" si="194"/>
        <v>#N/A</v>
      </c>
      <c r="BD1136" s="121" t="e">
        <f>IF('Cable Info'!T840="","",CONCATENATE('Cable Info'!T840," - ",'Cable Info'!U840))</f>
        <v>#N/A</v>
      </c>
      <c r="BG1136" s="121" t="e">
        <f t="shared" si="195"/>
        <v>#N/A</v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e">
        <f>IF('Cable Info'!R841="","",CONCATENATE('Cable Info'!R841," - ",'Cable Info'!S841))</f>
        <v>#N/A</v>
      </c>
      <c r="BB1137" s="121" t="e">
        <f t="shared" si="194"/>
        <v>#N/A</v>
      </c>
      <c r="BD1137" s="121" t="e">
        <f>IF('Cable Info'!T841="","",CONCATENATE('Cable Info'!T841," - ",'Cable Info'!U841))</f>
        <v>#N/A</v>
      </c>
      <c r="BG1137" s="121" t="e">
        <f t="shared" si="195"/>
        <v>#N/A</v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e">
        <f>IF('Cable Info'!R842="","",CONCATENATE('Cable Info'!R842," - ",'Cable Info'!S842))</f>
        <v>#N/A</v>
      </c>
      <c r="BB1138" s="121" t="e">
        <f t="shared" si="194"/>
        <v>#N/A</v>
      </c>
      <c r="BD1138" s="121" t="e">
        <f>IF('Cable Info'!T842="","",CONCATENATE('Cable Info'!T842," - ",'Cable Info'!U842))</f>
        <v>#N/A</v>
      </c>
      <c r="BG1138" s="121" t="e">
        <f t="shared" si="195"/>
        <v>#N/A</v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e">
        <f>IF('Cable Info'!R843="","",CONCATENATE('Cable Info'!R843," - ",'Cable Info'!S843))</f>
        <v>#N/A</v>
      </c>
      <c r="BB1139" s="121" t="e">
        <f t="shared" si="194"/>
        <v>#N/A</v>
      </c>
      <c r="BD1139" s="121" t="e">
        <f>IF('Cable Info'!T843="","",CONCATENATE('Cable Info'!T843," - ",'Cable Info'!U843))</f>
        <v>#N/A</v>
      </c>
      <c r="BG1139" s="121" t="e">
        <f t="shared" si="195"/>
        <v>#N/A</v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e">
        <f>IF('Cable Info'!R844="","",CONCATENATE('Cable Info'!R844," - ",'Cable Info'!S844))</f>
        <v>#N/A</v>
      </c>
      <c r="BB1140" s="121" t="e">
        <f t="shared" si="194"/>
        <v>#N/A</v>
      </c>
      <c r="BD1140" s="121" t="e">
        <f>IF('Cable Info'!T844="","",CONCATENATE('Cable Info'!T844," - ",'Cable Info'!U844))</f>
        <v>#N/A</v>
      </c>
      <c r="BG1140" s="121" t="e">
        <f t="shared" si="195"/>
        <v>#N/A</v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e">
        <f>IF('Cable Info'!R845="","",CONCATENATE('Cable Info'!R845," - ",'Cable Info'!S845))</f>
        <v>#N/A</v>
      </c>
      <c r="BB1141" s="121" t="e">
        <f t="shared" si="194"/>
        <v>#N/A</v>
      </c>
      <c r="BD1141" s="121" t="e">
        <f>IF('Cable Info'!T845="","",CONCATENATE('Cable Info'!T845," - ",'Cable Info'!U845))</f>
        <v>#N/A</v>
      </c>
      <c r="BG1141" s="121" t="e">
        <f t="shared" si="195"/>
        <v>#N/A</v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e">
        <f>IF('Cable Info'!R846="","",CONCATENATE('Cable Info'!R846," - ",'Cable Info'!S846))</f>
        <v>#N/A</v>
      </c>
      <c r="BB1142" s="121" t="e">
        <f t="shared" si="194"/>
        <v>#N/A</v>
      </c>
      <c r="BD1142" s="121" t="e">
        <f>IF('Cable Info'!T846="","",CONCATENATE('Cable Info'!T846," - ",'Cable Info'!U846))</f>
        <v>#N/A</v>
      </c>
      <c r="BG1142" s="121" t="e">
        <f t="shared" si="195"/>
        <v>#N/A</v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e">
        <f>IF('Cable Info'!R847="","",CONCATENATE('Cable Info'!R847," - ",'Cable Info'!S847))</f>
        <v>#N/A</v>
      </c>
      <c r="BB1143" s="121" t="e">
        <f t="shared" si="194"/>
        <v>#N/A</v>
      </c>
      <c r="BD1143" s="121" t="e">
        <f>IF('Cable Info'!T847="","",CONCATENATE('Cable Info'!T847," - ",'Cable Info'!U847))</f>
        <v>#N/A</v>
      </c>
      <c r="BG1143" s="121" t="e">
        <f t="shared" si="195"/>
        <v>#N/A</v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e">
        <f>IF('Cable Info'!R848="","",CONCATENATE('Cable Info'!R848," - ",'Cable Info'!S848))</f>
        <v>#N/A</v>
      </c>
      <c r="BB1144" s="121" t="e">
        <f t="shared" si="194"/>
        <v>#N/A</v>
      </c>
      <c r="BD1144" s="121" t="e">
        <f>IF('Cable Info'!T848="","",CONCATENATE('Cable Info'!T848," - ",'Cable Info'!U848))</f>
        <v>#N/A</v>
      </c>
      <c r="BG1144" s="121" t="e">
        <f t="shared" si="195"/>
        <v>#N/A</v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e">
        <f>IF('Cable Info'!R849="","",CONCATENATE('Cable Info'!R849," - ",'Cable Info'!S849))</f>
        <v>#N/A</v>
      </c>
      <c r="BB1145" s="121" t="e">
        <f t="shared" si="194"/>
        <v>#N/A</v>
      </c>
      <c r="BD1145" s="121" t="e">
        <f>IF('Cable Info'!T849="","",CONCATENATE('Cable Info'!T849," - ",'Cable Info'!U849))</f>
        <v>#N/A</v>
      </c>
      <c r="BG1145" s="121" t="e">
        <f t="shared" si="195"/>
        <v>#N/A</v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e">
        <f>IF('Cable Info'!R850="","",CONCATENATE('Cable Info'!R850," - ",'Cable Info'!S850))</f>
        <v>#N/A</v>
      </c>
      <c r="BB1146" s="121" t="e">
        <f t="shared" si="194"/>
        <v>#N/A</v>
      </c>
      <c r="BD1146" s="121" t="e">
        <f>IF('Cable Info'!T850="","",CONCATENATE('Cable Info'!T850," - ",'Cable Info'!U850))</f>
        <v>#N/A</v>
      </c>
      <c r="BG1146" s="121" t="e">
        <f t="shared" si="195"/>
        <v>#N/A</v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e">
        <f>IF('Cable Info'!R851="","",CONCATENATE('Cable Info'!R851," - ",'Cable Info'!S851))</f>
        <v>#N/A</v>
      </c>
      <c r="BB1147" s="121" t="e">
        <f t="shared" si="194"/>
        <v>#N/A</v>
      </c>
      <c r="BD1147" s="121" t="e">
        <f>IF('Cable Info'!T851="","",CONCATENATE('Cable Info'!T851," - ",'Cable Info'!U851))</f>
        <v>#N/A</v>
      </c>
      <c r="BG1147" s="121" t="e">
        <f t="shared" si="195"/>
        <v>#N/A</v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e">
        <f>IF('Cable Info'!R852="","",CONCATENATE('Cable Info'!R852," - ",'Cable Info'!S852))</f>
        <v>#N/A</v>
      </c>
      <c r="BB1148" s="121" t="e">
        <f t="shared" si="194"/>
        <v>#N/A</v>
      </c>
      <c r="BD1148" s="121" t="e">
        <f>IF('Cable Info'!T852="","",CONCATENATE('Cable Info'!T852," - ",'Cable Info'!U852))</f>
        <v>#N/A</v>
      </c>
      <c r="BG1148" s="121" t="e">
        <f t="shared" si="195"/>
        <v>#N/A</v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e">
        <f>IF('Cable Info'!R853="","",CONCATENATE('Cable Info'!R853," - ",'Cable Info'!S853))</f>
        <v>#N/A</v>
      </c>
      <c r="BB1149" s="121" t="e">
        <f t="shared" si="194"/>
        <v>#N/A</v>
      </c>
      <c r="BD1149" s="121" t="e">
        <f>IF('Cable Info'!T853="","",CONCATENATE('Cable Info'!T853," - ",'Cable Info'!U853))</f>
        <v>#N/A</v>
      </c>
      <c r="BG1149" s="121" t="e">
        <f t="shared" si="195"/>
        <v>#N/A</v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e">
        <f>IF('Cable Info'!R854="","",CONCATENATE('Cable Info'!R854," - ",'Cable Info'!S854))</f>
        <v>#N/A</v>
      </c>
      <c r="BB1150" s="121" t="e">
        <f t="shared" si="194"/>
        <v>#N/A</v>
      </c>
      <c r="BD1150" s="121" t="e">
        <f>IF('Cable Info'!T854="","",CONCATENATE('Cable Info'!T854," - ",'Cable Info'!U854))</f>
        <v>#N/A</v>
      </c>
      <c r="BG1150" s="121" t="e">
        <f t="shared" si="195"/>
        <v>#N/A</v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e">
        <f>IF('Cable Info'!R855="","",CONCATENATE('Cable Info'!R855," - ",'Cable Info'!S855))</f>
        <v>#N/A</v>
      </c>
      <c r="BB1151" s="121" t="e">
        <f t="shared" si="194"/>
        <v>#N/A</v>
      </c>
      <c r="BD1151" s="121" t="e">
        <f>IF('Cable Info'!T855="","",CONCATENATE('Cable Info'!T855," - ",'Cable Info'!U855))</f>
        <v>#N/A</v>
      </c>
      <c r="BG1151" s="121" t="e">
        <f t="shared" si="195"/>
        <v>#N/A</v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e">
        <f>IF('Cable Info'!R856="","",CONCATENATE('Cable Info'!R856," - ",'Cable Info'!S856))</f>
        <v>#N/A</v>
      </c>
      <c r="BB1152" s="121" t="e">
        <f t="shared" si="194"/>
        <v>#N/A</v>
      </c>
      <c r="BD1152" s="121" t="e">
        <f>IF('Cable Info'!T856="","",CONCATENATE('Cable Info'!T856," - ",'Cable Info'!U856))</f>
        <v>#N/A</v>
      </c>
      <c r="BG1152" s="121" t="e">
        <f t="shared" si="195"/>
        <v>#N/A</v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e">
        <f>IF('Cable Info'!R857="","",CONCATENATE('Cable Info'!R857," - ",'Cable Info'!S857))</f>
        <v>#N/A</v>
      </c>
      <c r="BB1153" s="121" t="e">
        <f t="shared" si="194"/>
        <v>#N/A</v>
      </c>
      <c r="BD1153" s="121" t="e">
        <f>IF('Cable Info'!T857="","",CONCATENATE('Cable Info'!T857," - ",'Cable Info'!U857))</f>
        <v>#N/A</v>
      </c>
      <c r="BG1153" s="121" t="e">
        <f t="shared" si="195"/>
        <v>#N/A</v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e">
        <f>IF('Cable Info'!R858="","",CONCATENATE('Cable Info'!R858," - ",'Cable Info'!S858))</f>
        <v>#N/A</v>
      </c>
      <c r="BB1154" s="121" t="e">
        <f t="shared" si="194"/>
        <v>#N/A</v>
      </c>
      <c r="BD1154" s="121" t="e">
        <f>IF('Cable Info'!T858="","",CONCATENATE('Cable Info'!T858," - ",'Cable Info'!U858))</f>
        <v>#N/A</v>
      </c>
      <c r="BG1154" s="121" t="e">
        <f t="shared" si="195"/>
        <v>#N/A</v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e">
        <f>IF('Cable Info'!R859="","",CONCATENATE('Cable Info'!R859," - ",'Cable Info'!S859))</f>
        <v>#N/A</v>
      </c>
      <c r="BB1155" s="121" t="e">
        <f t="shared" si="194"/>
        <v>#N/A</v>
      </c>
      <c r="BD1155" s="121" t="e">
        <f>IF('Cable Info'!T859="","",CONCATENATE('Cable Info'!T859," - ",'Cable Info'!U859))</f>
        <v>#N/A</v>
      </c>
      <c r="BG1155" s="121" t="e">
        <f t="shared" si="195"/>
        <v>#N/A</v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e">
        <f>IF('Cable Info'!R860="","",CONCATENATE('Cable Info'!R860," - ",'Cable Info'!S860))</f>
        <v>#N/A</v>
      </c>
      <c r="BB1156" s="121" t="e">
        <f t="shared" si="194"/>
        <v>#N/A</v>
      </c>
      <c r="BD1156" s="121" t="e">
        <f>IF('Cable Info'!T860="","",CONCATENATE('Cable Info'!T860," - ",'Cable Info'!U860))</f>
        <v>#N/A</v>
      </c>
      <c r="BG1156" s="121" t="e">
        <f t="shared" si="195"/>
        <v>#N/A</v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e">
        <f>IF('Cable Info'!R861="","",CONCATENATE('Cable Info'!R861," - ",'Cable Info'!S861))</f>
        <v>#N/A</v>
      </c>
      <c r="BB1157" s="121" t="e">
        <f t="shared" si="194"/>
        <v>#N/A</v>
      </c>
      <c r="BD1157" s="121" t="e">
        <f>IF('Cable Info'!T861="","",CONCATENATE('Cable Info'!T861," - ",'Cable Info'!U861))</f>
        <v>#N/A</v>
      </c>
      <c r="BG1157" s="121" t="e">
        <f t="shared" si="195"/>
        <v>#N/A</v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e">
        <f>IF('Cable Info'!R862="","",CONCATENATE('Cable Info'!R862," - ",'Cable Info'!S862))</f>
        <v>#N/A</v>
      </c>
      <c r="BB1158" s="121" t="e">
        <f t="shared" si="194"/>
        <v>#N/A</v>
      </c>
      <c r="BD1158" s="121" t="e">
        <f>IF('Cable Info'!T862="","",CONCATENATE('Cable Info'!T862," - ",'Cable Info'!U862))</f>
        <v>#N/A</v>
      </c>
      <c r="BG1158" s="121" t="e">
        <f t="shared" si="195"/>
        <v>#N/A</v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e">
        <f>IF('Cable Info'!R863="","",CONCATENATE('Cable Info'!R863," - ",'Cable Info'!S863))</f>
        <v>#N/A</v>
      </c>
      <c r="BB1159" s="121" t="e">
        <f t="shared" si="194"/>
        <v>#N/A</v>
      </c>
      <c r="BD1159" s="121" t="e">
        <f>IF('Cable Info'!T863="","",CONCATENATE('Cable Info'!T863," - ",'Cable Info'!U863))</f>
        <v>#N/A</v>
      </c>
      <c r="BG1159" s="121" t="e">
        <f t="shared" si="195"/>
        <v>#N/A</v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e">
        <f>IF('Cable Info'!R864="","",CONCATENATE('Cable Info'!R864," - ",'Cable Info'!S864))</f>
        <v>#N/A</v>
      </c>
      <c r="BB1160" s="121" t="e">
        <f t="shared" si="194"/>
        <v>#N/A</v>
      </c>
      <c r="BD1160" s="121" t="e">
        <f>IF('Cable Info'!T864="","",CONCATENATE('Cable Info'!T864," - ",'Cable Info'!U864))</f>
        <v>#N/A</v>
      </c>
      <c r="BG1160" s="121" t="e">
        <f t="shared" si="195"/>
        <v>#N/A</v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e">
        <f>IF('Cable Info'!R865="","",CONCATENATE('Cable Info'!R865," - ",'Cable Info'!S865))</f>
        <v>#N/A</v>
      </c>
      <c r="BB1161" s="121" t="e">
        <f t="shared" si="194"/>
        <v>#N/A</v>
      </c>
      <c r="BD1161" s="121" t="e">
        <f>IF('Cable Info'!T865="","",CONCATENATE('Cable Info'!T865," - ",'Cable Info'!U865))</f>
        <v>#N/A</v>
      </c>
      <c r="BG1161" s="121" t="e">
        <f t="shared" si="195"/>
        <v>#N/A</v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Mike Wendinger</cp:lastModifiedBy>
  <cp:lastPrinted>2013-11-22T22:56:05Z</cp:lastPrinted>
  <dcterms:created xsi:type="dcterms:W3CDTF">1998-05-29T15:48:38Z</dcterms:created>
  <dcterms:modified xsi:type="dcterms:W3CDTF">2018-02-26T16:34:13Z</dcterms:modified>
</cp:coreProperties>
</file>